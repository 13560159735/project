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LearnPython\project\工作\20260404\"/>
    </mc:Choice>
  </mc:AlternateContent>
  <xr:revisionPtr revIDLastSave="0" documentId="8_{00818DBC-971F-492B-8821-518EDFCB9BC8}" xr6:coauthVersionLast="47" xr6:coauthVersionMax="47" xr10:uidLastSave="{00000000-0000-0000-0000-000000000000}"/>
  <bookViews>
    <workbookView xWindow="2280" yWindow="2280" windowWidth="16800" windowHeight="9670" activeTab="5" xr2:uid="{00000000-000D-0000-FFFF-FFFF00000000}"/>
  </bookViews>
  <sheets>
    <sheet name="汇总" sheetId="8" r:id="rId1"/>
    <sheet name="云汀汇 " sheetId="10" r:id="rId2"/>
    <sheet name="金澎来 " sheetId="9" r:id="rId3"/>
    <sheet name="庆丰二路" sheetId="3" r:id="rId4"/>
    <sheet name="创意园" sheetId="4" r:id="rId5"/>
    <sheet name="兆丰壹号" sheetId="5" r:id="rId6"/>
    <sheet name="国大广场" sheetId="6" r:id="rId7"/>
    <sheet name="皮具城" sheetId="7" r:id="rId8"/>
    <sheet name="鞋城" sheetId="11" r:id="rId9"/>
    <sheet name="纺织中心" sheetId="12" r:id="rId10"/>
  </sheets>
  <externalReferences>
    <externalReference r:id="rId11"/>
    <externalReference r:id="rId12"/>
  </externalReferences>
  <definedNames>
    <definedName name="_xlnm._FilterDatabase" localSheetId="4" hidden="1">创意园!$A$1:$O$248</definedName>
    <definedName name="_xlnm._FilterDatabase" localSheetId="9" hidden="1">纺织中心!$A$1:$O$586</definedName>
    <definedName name="_xlnm._FilterDatabase" localSheetId="2" hidden="1">'金澎来 '!$A$1:$N$144</definedName>
    <definedName name="_xlnm._FilterDatabase" localSheetId="7" hidden="1">皮具城!$A$1:$O$772</definedName>
    <definedName name="_xlnm._FilterDatabase" localSheetId="3" hidden="1">庆丰二路!$A$1:$O$98</definedName>
    <definedName name="_xlnm._FilterDatabase" localSheetId="1" hidden="1">'云汀汇 '!$A$1:$O$481</definedName>
    <definedName name="_xlnm._FilterDatabase" localSheetId="5" hidden="1">兆丰壹号!$A$1:$O$7</definedName>
    <definedName name="_xleta.today" hidden="1">#NAME?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82" i="12" l="1"/>
  <c r="N772" i="7"/>
  <c r="M772" i="7"/>
  <c r="N771" i="7"/>
  <c r="M771" i="7"/>
  <c r="N770" i="7"/>
  <c r="M770" i="7"/>
  <c r="N769" i="7"/>
  <c r="M769" i="7"/>
  <c r="N768" i="7"/>
  <c r="M768" i="7"/>
  <c r="N767" i="7"/>
  <c r="M767" i="7"/>
  <c r="N766" i="7"/>
  <c r="M766" i="7"/>
  <c r="N765" i="7"/>
  <c r="M765" i="7"/>
  <c r="N764" i="7"/>
  <c r="M764" i="7"/>
  <c r="N763" i="7"/>
  <c r="M763" i="7"/>
  <c r="N762" i="7"/>
  <c r="M762" i="7"/>
  <c r="N761" i="7"/>
  <c r="M761" i="7"/>
  <c r="N760" i="7"/>
  <c r="M760" i="7"/>
  <c r="N759" i="7"/>
  <c r="M759" i="7"/>
  <c r="N758" i="7"/>
  <c r="M758" i="7"/>
  <c r="N757" i="7"/>
  <c r="M757" i="7"/>
  <c r="N756" i="7"/>
  <c r="M756" i="7"/>
  <c r="N755" i="7"/>
  <c r="M755" i="7"/>
  <c r="N754" i="7"/>
  <c r="M754" i="7"/>
  <c r="N753" i="7"/>
  <c r="M753" i="7"/>
  <c r="N752" i="7"/>
  <c r="M752" i="7"/>
  <c r="N751" i="7"/>
  <c r="M751" i="7"/>
  <c r="N750" i="7"/>
  <c r="M750" i="7"/>
  <c r="N749" i="7"/>
  <c r="M749" i="7"/>
  <c r="N748" i="7"/>
  <c r="M748" i="7"/>
  <c r="N747" i="7"/>
  <c r="M747" i="7"/>
  <c r="N746" i="7"/>
  <c r="M746" i="7"/>
  <c r="N745" i="7"/>
  <c r="M745" i="7"/>
  <c r="N744" i="7"/>
  <c r="M744" i="7"/>
  <c r="N743" i="7"/>
  <c r="M743" i="7"/>
  <c r="N742" i="7"/>
  <c r="M742" i="7"/>
  <c r="N741" i="7"/>
  <c r="M741" i="7"/>
  <c r="N740" i="7"/>
  <c r="M740" i="7"/>
  <c r="N739" i="7"/>
  <c r="M739" i="7"/>
  <c r="N738" i="7"/>
  <c r="M738" i="7"/>
  <c r="N737" i="7"/>
  <c r="M737" i="7"/>
  <c r="N736" i="7"/>
  <c r="M736" i="7"/>
  <c r="D736" i="7"/>
  <c r="N735" i="7"/>
  <c r="M735" i="7"/>
  <c r="N734" i="7"/>
  <c r="M734" i="7"/>
  <c r="N733" i="7"/>
  <c r="M733" i="7"/>
  <c r="N732" i="7"/>
  <c r="M732" i="7"/>
  <c r="N731" i="7"/>
  <c r="M731" i="7"/>
  <c r="N730" i="7"/>
  <c r="M730" i="7"/>
  <c r="N729" i="7"/>
  <c r="M729" i="7"/>
  <c r="N728" i="7"/>
  <c r="M728" i="7"/>
  <c r="N727" i="7"/>
  <c r="M727" i="7"/>
  <c r="N726" i="7"/>
  <c r="M726" i="7"/>
  <c r="N725" i="7"/>
  <c r="M725" i="7"/>
  <c r="N724" i="7"/>
  <c r="M724" i="7"/>
  <c r="N723" i="7"/>
  <c r="M723" i="7"/>
  <c r="N722" i="7"/>
  <c r="M722" i="7"/>
  <c r="N721" i="7"/>
  <c r="M721" i="7"/>
  <c r="N720" i="7"/>
  <c r="M720" i="7"/>
  <c r="N719" i="7"/>
  <c r="M719" i="7"/>
  <c r="N718" i="7"/>
  <c r="M718" i="7"/>
  <c r="N717" i="7"/>
  <c r="M717" i="7"/>
  <c r="N716" i="7"/>
  <c r="M716" i="7"/>
  <c r="N715" i="7"/>
  <c r="M715" i="7"/>
  <c r="N714" i="7"/>
  <c r="M714" i="7"/>
  <c r="N713" i="7"/>
  <c r="M713" i="7"/>
  <c r="N712" i="7"/>
  <c r="M712" i="7"/>
  <c r="N711" i="7"/>
  <c r="M711" i="7"/>
  <c r="N710" i="7"/>
  <c r="M710" i="7"/>
  <c r="N709" i="7"/>
  <c r="M709" i="7"/>
  <c r="N708" i="7"/>
  <c r="M708" i="7"/>
  <c r="N707" i="7"/>
  <c r="M707" i="7"/>
  <c r="N706" i="7"/>
  <c r="M706" i="7"/>
  <c r="N705" i="7"/>
  <c r="M705" i="7"/>
  <c r="N704" i="7"/>
  <c r="M704" i="7"/>
  <c r="N703" i="7"/>
  <c r="M703" i="7"/>
  <c r="N702" i="7"/>
  <c r="M702" i="7"/>
  <c r="N701" i="7"/>
  <c r="M701" i="7"/>
  <c r="N700" i="7"/>
  <c r="M700" i="7"/>
  <c r="N699" i="7"/>
  <c r="M699" i="7"/>
  <c r="N698" i="7"/>
  <c r="M698" i="7"/>
  <c r="N697" i="7"/>
  <c r="M697" i="7"/>
  <c r="N696" i="7"/>
  <c r="M696" i="7"/>
  <c r="N695" i="7"/>
  <c r="M695" i="7"/>
  <c r="N694" i="7"/>
  <c r="M694" i="7"/>
  <c r="N693" i="7"/>
  <c r="M693" i="7"/>
  <c r="N692" i="7"/>
  <c r="M692" i="7"/>
  <c r="N691" i="7"/>
  <c r="M691" i="7"/>
  <c r="N690" i="7"/>
  <c r="M690" i="7"/>
  <c r="N689" i="7"/>
  <c r="M689" i="7"/>
  <c r="N688" i="7"/>
  <c r="M688" i="7"/>
  <c r="N687" i="7"/>
  <c r="M687" i="7"/>
  <c r="N686" i="7"/>
  <c r="M686" i="7"/>
  <c r="N685" i="7"/>
  <c r="M685" i="7"/>
  <c r="N684" i="7"/>
  <c r="M684" i="7"/>
  <c r="N683" i="7"/>
  <c r="M683" i="7"/>
  <c r="N682" i="7"/>
  <c r="M682" i="7"/>
  <c r="N681" i="7"/>
  <c r="M681" i="7"/>
  <c r="N680" i="7"/>
  <c r="M680" i="7"/>
  <c r="N679" i="7"/>
  <c r="M679" i="7"/>
  <c r="N678" i="7"/>
  <c r="M678" i="7"/>
  <c r="N677" i="7"/>
  <c r="M677" i="7"/>
  <c r="N676" i="7"/>
  <c r="M676" i="7"/>
  <c r="N675" i="7"/>
  <c r="M675" i="7"/>
  <c r="N674" i="7"/>
  <c r="M674" i="7"/>
  <c r="N673" i="7"/>
  <c r="M673" i="7"/>
  <c r="N672" i="7"/>
  <c r="M672" i="7"/>
  <c r="N671" i="7"/>
  <c r="M671" i="7"/>
  <c r="N670" i="7"/>
  <c r="M670" i="7"/>
  <c r="N669" i="7"/>
  <c r="M669" i="7"/>
  <c r="N668" i="7"/>
  <c r="M668" i="7"/>
  <c r="N667" i="7"/>
  <c r="M667" i="7"/>
  <c r="N666" i="7"/>
  <c r="M666" i="7"/>
  <c r="N665" i="7"/>
  <c r="M665" i="7"/>
  <c r="N664" i="7"/>
  <c r="M664" i="7"/>
  <c r="N663" i="7"/>
  <c r="M663" i="7"/>
  <c r="N662" i="7"/>
  <c r="M662" i="7"/>
  <c r="N661" i="7"/>
  <c r="M661" i="7"/>
  <c r="N660" i="7"/>
  <c r="M660" i="7"/>
  <c r="N659" i="7"/>
  <c r="M659" i="7"/>
  <c r="N658" i="7"/>
  <c r="M658" i="7"/>
  <c r="N657" i="7"/>
  <c r="M657" i="7"/>
  <c r="N656" i="7"/>
  <c r="M656" i="7"/>
  <c r="N655" i="7"/>
  <c r="M655" i="7"/>
  <c r="N654" i="7"/>
  <c r="M654" i="7"/>
  <c r="N653" i="7"/>
  <c r="M653" i="7"/>
  <c r="N652" i="7"/>
  <c r="M652" i="7"/>
  <c r="N651" i="7"/>
  <c r="M651" i="7"/>
  <c r="N650" i="7"/>
  <c r="M650" i="7"/>
  <c r="N649" i="7"/>
  <c r="M649" i="7"/>
  <c r="N648" i="7"/>
  <c r="M648" i="7"/>
  <c r="N647" i="7"/>
  <c r="M647" i="7"/>
  <c r="N646" i="7"/>
  <c r="M646" i="7"/>
  <c r="N645" i="7"/>
  <c r="M645" i="7"/>
  <c r="N644" i="7"/>
  <c r="M644" i="7"/>
  <c r="N643" i="7"/>
  <c r="M643" i="7"/>
  <c r="N642" i="7"/>
  <c r="M642" i="7"/>
  <c r="N641" i="7"/>
  <c r="M641" i="7"/>
  <c r="N640" i="7"/>
  <c r="M640" i="7"/>
  <c r="N639" i="7"/>
  <c r="M639" i="7"/>
  <c r="N638" i="7"/>
  <c r="M638" i="7"/>
  <c r="N637" i="7"/>
  <c r="M637" i="7"/>
  <c r="N636" i="7"/>
  <c r="M636" i="7"/>
  <c r="N635" i="7"/>
  <c r="M635" i="7"/>
  <c r="N634" i="7"/>
  <c r="M634" i="7"/>
  <c r="N633" i="7"/>
  <c r="M633" i="7"/>
  <c r="N632" i="7"/>
  <c r="M632" i="7"/>
  <c r="N631" i="7"/>
  <c r="M631" i="7"/>
  <c r="N630" i="7"/>
  <c r="M630" i="7"/>
  <c r="N629" i="7"/>
  <c r="M629" i="7"/>
  <c r="N628" i="7"/>
  <c r="M628" i="7"/>
  <c r="N627" i="7"/>
  <c r="M627" i="7"/>
  <c r="N626" i="7"/>
  <c r="M626" i="7"/>
  <c r="N625" i="7"/>
  <c r="M625" i="7"/>
  <c r="N624" i="7"/>
  <c r="M624" i="7"/>
  <c r="N623" i="7"/>
  <c r="M623" i="7"/>
  <c r="N622" i="7"/>
  <c r="M622" i="7"/>
  <c r="N621" i="7"/>
  <c r="M621" i="7"/>
  <c r="N620" i="7"/>
  <c r="M620" i="7"/>
  <c r="N619" i="7"/>
  <c r="M619" i="7"/>
  <c r="N618" i="7"/>
  <c r="M618" i="7"/>
  <c r="N617" i="7"/>
  <c r="M617" i="7"/>
  <c r="N616" i="7"/>
  <c r="M616" i="7"/>
  <c r="N615" i="7"/>
  <c r="M615" i="7"/>
  <c r="N614" i="7"/>
  <c r="M614" i="7"/>
  <c r="N613" i="7"/>
  <c r="M613" i="7"/>
  <c r="N612" i="7"/>
  <c r="M612" i="7"/>
  <c r="N611" i="7"/>
  <c r="M611" i="7"/>
  <c r="N610" i="7"/>
  <c r="M610" i="7"/>
  <c r="N609" i="7"/>
  <c r="M609" i="7"/>
  <c r="N608" i="7"/>
  <c r="M608" i="7"/>
  <c r="N607" i="7"/>
  <c r="M607" i="7"/>
  <c r="N606" i="7"/>
  <c r="M606" i="7"/>
  <c r="N605" i="7"/>
  <c r="M605" i="7"/>
  <c r="N604" i="7"/>
  <c r="M604" i="7"/>
  <c r="N603" i="7"/>
  <c r="M603" i="7"/>
  <c r="N602" i="7"/>
  <c r="M602" i="7"/>
  <c r="N601" i="7"/>
  <c r="M601" i="7"/>
  <c r="N600" i="7"/>
  <c r="M600" i="7"/>
  <c r="N599" i="7"/>
  <c r="M599" i="7"/>
  <c r="N598" i="7"/>
  <c r="M598" i="7"/>
  <c r="N597" i="7"/>
  <c r="M597" i="7"/>
  <c r="N596" i="7"/>
  <c r="M596" i="7"/>
  <c r="N595" i="7"/>
  <c r="M595" i="7"/>
  <c r="N594" i="7"/>
  <c r="M594" i="7"/>
  <c r="N593" i="7"/>
  <c r="M593" i="7"/>
  <c r="N592" i="7"/>
  <c r="M592" i="7"/>
  <c r="N591" i="7"/>
  <c r="M591" i="7"/>
  <c r="N590" i="7"/>
  <c r="M590" i="7"/>
  <c r="N589" i="7"/>
  <c r="M589" i="7"/>
  <c r="N588" i="7"/>
  <c r="M588" i="7"/>
  <c r="N587" i="7"/>
  <c r="M587" i="7"/>
  <c r="N586" i="7"/>
  <c r="M586" i="7"/>
  <c r="N585" i="7"/>
  <c r="M585" i="7"/>
  <c r="N584" i="7"/>
  <c r="M584" i="7"/>
  <c r="N583" i="7"/>
  <c r="M583" i="7"/>
  <c r="N582" i="7"/>
  <c r="M582" i="7"/>
  <c r="N581" i="7"/>
  <c r="M581" i="7"/>
  <c r="N580" i="7"/>
  <c r="M580" i="7"/>
  <c r="N579" i="7"/>
  <c r="M579" i="7"/>
  <c r="N578" i="7"/>
  <c r="M578" i="7"/>
  <c r="N577" i="7"/>
  <c r="M577" i="7"/>
  <c r="N576" i="7"/>
  <c r="M576" i="7"/>
  <c r="N575" i="7"/>
  <c r="M575" i="7"/>
  <c r="N574" i="7"/>
  <c r="M574" i="7"/>
  <c r="N573" i="7"/>
  <c r="M573" i="7"/>
  <c r="N572" i="7"/>
  <c r="M572" i="7"/>
  <c r="N571" i="7"/>
  <c r="M571" i="7"/>
  <c r="N570" i="7"/>
  <c r="M570" i="7"/>
  <c r="N569" i="7"/>
  <c r="M569" i="7"/>
  <c r="N568" i="7"/>
  <c r="M568" i="7"/>
  <c r="N567" i="7"/>
  <c r="M567" i="7"/>
  <c r="N566" i="7"/>
  <c r="M566" i="7"/>
  <c r="N565" i="7"/>
  <c r="M565" i="7"/>
  <c r="N564" i="7"/>
  <c r="M564" i="7"/>
  <c r="N563" i="7"/>
  <c r="M563" i="7"/>
  <c r="N562" i="7"/>
  <c r="M562" i="7"/>
  <c r="N561" i="7"/>
  <c r="M561" i="7"/>
  <c r="N560" i="7"/>
  <c r="M560" i="7"/>
  <c r="N559" i="7"/>
  <c r="M559" i="7"/>
  <c r="N558" i="7"/>
  <c r="M558" i="7"/>
  <c r="N557" i="7"/>
  <c r="M557" i="7"/>
  <c r="N556" i="7"/>
  <c r="M556" i="7"/>
  <c r="N555" i="7"/>
  <c r="M555" i="7"/>
  <c r="N554" i="7"/>
  <c r="M554" i="7"/>
  <c r="N553" i="7"/>
  <c r="M553" i="7"/>
  <c r="N552" i="7"/>
  <c r="M552" i="7"/>
  <c r="N551" i="7"/>
  <c r="M551" i="7"/>
  <c r="N550" i="7"/>
  <c r="M550" i="7"/>
  <c r="N549" i="7"/>
  <c r="M549" i="7"/>
  <c r="N548" i="7"/>
  <c r="M548" i="7"/>
  <c r="N547" i="7"/>
  <c r="M547" i="7"/>
  <c r="N546" i="7"/>
  <c r="M546" i="7"/>
  <c r="N545" i="7"/>
  <c r="M545" i="7"/>
  <c r="N544" i="7"/>
  <c r="M544" i="7"/>
  <c r="N543" i="7"/>
  <c r="M543" i="7"/>
  <c r="N542" i="7"/>
  <c r="M542" i="7"/>
  <c r="N541" i="7"/>
  <c r="M541" i="7"/>
  <c r="N540" i="7"/>
  <c r="M540" i="7"/>
  <c r="N539" i="7"/>
  <c r="M539" i="7"/>
  <c r="N538" i="7"/>
  <c r="M538" i="7"/>
  <c r="N537" i="7"/>
  <c r="M537" i="7"/>
  <c r="N536" i="7"/>
  <c r="M536" i="7"/>
  <c r="N535" i="7"/>
  <c r="M535" i="7"/>
  <c r="N534" i="7"/>
  <c r="M534" i="7"/>
  <c r="N533" i="7"/>
  <c r="M533" i="7"/>
  <c r="N532" i="7"/>
  <c r="M532" i="7"/>
  <c r="N531" i="7"/>
  <c r="M531" i="7"/>
  <c r="N530" i="7"/>
  <c r="M530" i="7"/>
  <c r="N529" i="7"/>
  <c r="M529" i="7"/>
  <c r="N528" i="7"/>
  <c r="M528" i="7"/>
  <c r="N527" i="7"/>
  <c r="M527" i="7"/>
  <c r="N526" i="7"/>
  <c r="M526" i="7"/>
  <c r="N525" i="7"/>
  <c r="M525" i="7"/>
  <c r="N524" i="7"/>
  <c r="M524" i="7"/>
  <c r="N523" i="7"/>
  <c r="M523" i="7"/>
  <c r="N522" i="7"/>
  <c r="M522" i="7"/>
  <c r="N521" i="7"/>
  <c r="M521" i="7"/>
  <c r="N520" i="7"/>
  <c r="M520" i="7"/>
  <c r="N519" i="7"/>
  <c r="M519" i="7"/>
  <c r="N518" i="7"/>
  <c r="M518" i="7"/>
  <c r="N517" i="7"/>
  <c r="M517" i="7"/>
  <c r="N516" i="7"/>
  <c r="M516" i="7"/>
  <c r="N515" i="7"/>
  <c r="M515" i="7"/>
  <c r="N514" i="7"/>
  <c r="M514" i="7"/>
  <c r="N513" i="7"/>
  <c r="M513" i="7"/>
  <c r="N512" i="7"/>
  <c r="M512" i="7"/>
  <c r="N511" i="7"/>
  <c r="M511" i="7"/>
  <c r="N510" i="7"/>
  <c r="M510" i="7"/>
  <c r="N509" i="7"/>
  <c r="M509" i="7"/>
  <c r="N508" i="7"/>
  <c r="M508" i="7"/>
  <c r="N507" i="7"/>
  <c r="M507" i="7"/>
  <c r="N506" i="7"/>
  <c r="M506" i="7"/>
  <c r="N505" i="7"/>
  <c r="M505" i="7"/>
  <c r="N504" i="7"/>
  <c r="M504" i="7"/>
  <c r="N503" i="7"/>
  <c r="M503" i="7"/>
  <c r="N502" i="7"/>
  <c r="M502" i="7"/>
  <c r="N501" i="7"/>
  <c r="M501" i="7"/>
  <c r="N500" i="7"/>
  <c r="M500" i="7"/>
  <c r="N499" i="7"/>
  <c r="M499" i="7"/>
  <c r="N498" i="7"/>
  <c r="M498" i="7"/>
  <c r="N497" i="7"/>
  <c r="M497" i="7"/>
  <c r="N496" i="7"/>
  <c r="M496" i="7"/>
  <c r="N495" i="7"/>
  <c r="M495" i="7"/>
  <c r="N494" i="7"/>
  <c r="M494" i="7"/>
  <c r="N493" i="7"/>
  <c r="M493" i="7"/>
  <c r="N492" i="7"/>
  <c r="M492" i="7"/>
  <c r="N491" i="7"/>
  <c r="M491" i="7"/>
  <c r="N490" i="7"/>
  <c r="M490" i="7"/>
  <c r="N489" i="7"/>
  <c r="M489" i="7"/>
  <c r="N488" i="7"/>
  <c r="M488" i="7"/>
  <c r="N487" i="7"/>
  <c r="M487" i="7"/>
  <c r="N486" i="7"/>
  <c r="M486" i="7"/>
  <c r="N485" i="7"/>
  <c r="M485" i="7"/>
  <c r="N484" i="7"/>
  <c r="M484" i="7"/>
  <c r="N483" i="7"/>
  <c r="M483" i="7"/>
  <c r="N482" i="7"/>
  <c r="M482" i="7"/>
  <c r="N481" i="7"/>
  <c r="M481" i="7"/>
  <c r="N480" i="7"/>
  <c r="M480" i="7"/>
  <c r="N479" i="7"/>
  <c r="M479" i="7"/>
  <c r="N478" i="7"/>
  <c r="M478" i="7"/>
  <c r="N477" i="7"/>
  <c r="M477" i="7"/>
  <c r="N476" i="7"/>
  <c r="M476" i="7"/>
  <c r="N475" i="7"/>
  <c r="M475" i="7"/>
  <c r="N474" i="7"/>
  <c r="M474" i="7"/>
  <c r="N473" i="7"/>
  <c r="M473" i="7"/>
  <c r="N472" i="7"/>
  <c r="M472" i="7"/>
  <c r="N471" i="7"/>
  <c r="M471" i="7"/>
  <c r="N470" i="7"/>
  <c r="M470" i="7"/>
  <c r="N469" i="7"/>
  <c r="M469" i="7"/>
  <c r="N468" i="7"/>
  <c r="M468" i="7"/>
  <c r="N467" i="7"/>
  <c r="M467" i="7"/>
  <c r="N466" i="7"/>
  <c r="M466" i="7"/>
  <c r="N465" i="7"/>
  <c r="M465" i="7"/>
  <c r="N464" i="7"/>
  <c r="M464" i="7"/>
  <c r="N463" i="7"/>
  <c r="M463" i="7"/>
  <c r="N462" i="7"/>
  <c r="M462" i="7"/>
  <c r="N461" i="7"/>
  <c r="M461" i="7"/>
  <c r="N460" i="7"/>
  <c r="M460" i="7"/>
  <c r="N459" i="7"/>
  <c r="M459" i="7"/>
  <c r="N458" i="7"/>
  <c r="M458" i="7"/>
  <c r="N457" i="7"/>
  <c r="M457" i="7"/>
  <c r="N456" i="7"/>
  <c r="M456" i="7"/>
  <c r="N455" i="7"/>
  <c r="M455" i="7"/>
  <c r="N454" i="7"/>
  <c r="M454" i="7"/>
  <c r="N453" i="7"/>
  <c r="M453" i="7"/>
  <c r="N452" i="7"/>
  <c r="M452" i="7"/>
  <c r="N451" i="7"/>
  <c r="M451" i="7"/>
  <c r="N450" i="7"/>
  <c r="M450" i="7"/>
  <c r="N449" i="7"/>
  <c r="M449" i="7"/>
  <c r="N448" i="7"/>
  <c r="M448" i="7"/>
  <c r="N447" i="7"/>
  <c r="M447" i="7"/>
  <c r="N446" i="7"/>
  <c r="M446" i="7"/>
  <c r="N445" i="7"/>
  <c r="M445" i="7"/>
  <c r="N444" i="7"/>
  <c r="M444" i="7"/>
  <c r="N443" i="7"/>
  <c r="M443" i="7"/>
  <c r="N442" i="7"/>
  <c r="M442" i="7"/>
  <c r="N441" i="7"/>
  <c r="M441" i="7"/>
  <c r="N440" i="7"/>
  <c r="M440" i="7"/>
  <c r="N439" i="7"/>
  <c r="M439" i="7"/>
  <c r="N438" i="7"/>
  <c r="M438" i="7"/>
  <c r="N437" i="7"/>
  <c r="M437" i="7"/>
  <c r="N436" i="7"/>
  <c r="M436" i="7"/>
  <c r="N435" i="7"/>
  <c r="M435" i="7"/>
  <c r="N434" i="7"/>
  <c r="M434" i="7"/>
  <c r="N433" i="7"/>
  <c r="M433" i="7"/>
  <c r="N432" i="7"/>
  <c r="M432" i="7"/>
  <c r="N431" i="7"/>
  <c r="M431" i="7"/>
  <c r="N430" i="7"/>
  <c r="M430" i="7"/>
  <c r="N429" i="7"/>
  <c r="M429" i="7"/>
  <c r="N428" i="7"/>
  <c r="M428" i="7"/>
  <c r="N427" i="7"/>
  <c r="M427" i="7"/>
  <c r="N426" i="7"/>
  <c r="M426" i="7"/>
  <c r="N425" i="7"/>
  <c r="M425" i="7"/>
  <c r="N424" i="7"/>
  <c r="M424" i="7"/>
  <c r="N423" i="7"/>
  <c r="M423" i="7"/>
  <c r="N422" i="7"/>
  <c r="M422" i="7"/>
  <c r="N421" i="7"/>
  <c r="M421" i="7"/>
  <c r="N420" i="7"/>
  <c r="M420" i="7"/>
  <c r="N419" i="7"/>
  <c r="M419" i="7"/>
  <c r="N418" i="7"/>
  <c r="M418" i="7"/>
  <c r="N417" i="7"/>
  <c r="M417" i="7"/>
  <c r="N416" i="7"/>
  <c r="M416" i="7"/>
  <c r="N415" i="7"/>
  <c r="M415" i="7"/>
  <c r="N414" i="7"/>
  <c r="M414" i="7"/>
  <c r="N413" i="7"/>
  <c r="M413" i="7"/>
  <c r="N412" i="7"/>
  <c r="M412" i="7"/>
  <c r="N411" i="7"/>
  <c r="M411" i="7"/>
  <c r="N410" i="7"/>
  <c r="M410" i="7"/>
  <c r="N409" i="7"/>
  <c r="M409" i="7"/>
  <c r="N408" i="7"/>
  <c r="M408" i="7"/>
  <c r="N407" i="7"/>
  <c r="M407" i="7"/>
  <c r="N406" i="7"/>
  <c r="M406" i="7"/>
  <c r="N405" i="7"/>
  <c r="M405" i="7"/>
  <c r="N404" i="7"/>
  <c r="M404" i="7"/>
  <c r="N403" i="7"/>
  <c r="M403" i="7"/>
  <c r="N402" i="7"/>
  <c r="M402" i="7"/>
  <c r="N401" i="7"/>
  <c r="M401" i="7"/>
  <c r="N400" i="7"/>
  <c r="M400" i="7"/>
  <c r="N399" i="7"/>
  <c r="M399" i="7"/>
  <c r="N398" i="7"/>
  <c r="M398" i="7"/>
  <c r="N397" i="7"/>
  <c r="M397" i="7"/>
  <c r="N396" i="7"/>
  <c r="M396" i="7"/>
  <c r="N395" i="7"/>
  <c r="M395" i="7"/>
  <c r="N394" i="7"/>
  <c r="M394" i="7"/>
  <c r="N393" i="7"/>
  <c r="M393" i="7"/>
  <c r="N392" i="7"/>
  <c r="M392" i="7"/>
  <c r="N391" i="7"/>
  <c r="M391" i="7"/>
  <c r="N390" i="7"/>
  <c r="M390" i="7"/>
  <c r="N389" i="7"/>
  <c r="M389" i="7"/>
  <c r="N388" i="7"/>
  <c r="M388" i="7"/>
  <c r="N387" i="7"/>
  <c r="M387" i="7"/>
  <c r="N386" i="7"/>
  <c r="M386" i="7"/>
  <c r="N385" i="7"/>
  <c r="M385" i="7"/>
  <c r="N384" i="7"/>
  <c r="M384" i="7"/>
  <c r="N383" i="7"/>
  <c r="M383" i="7"/>
  <c r="N382" i="7"/>
  <c r="M382" i="7"/>
  <c r="N381" i="7"/>
  <c r="M381" i="7"/>
  <c r="N380" i="7"/>
  <c r="M380" i="7"/>
  <c r="N379" i="7"/>
  <c r="M379" i="7"/>
  <c r="N378" i="7"/>
  <c r="M378" i="7"/>
  <c r="N377" i="7"/>
  <c r="M377" i="7"/>
  <c r="N376" i="7"/>
  <c r="M376" i="7"/>
  <c r="N375" i="7"/>
  <c r="M375" i="7"/>
  <c r="N374" i="7"/>
  <c r="M374" i="7"/>
  <c r="N373" i="7"/>
  <c r="M373" i="7"/>
  <c r="N372" i="7"/>
  <c r="M372" i="7"/>
  <c r="N371" i="7"/>
  <c r="M371" i="7"/>
  <c r="N370" i="7"/>
  <c r="M370" i="7"/>
  <c r="N369" i="7"/>
  <c r="M369" i="7"/>
  <c r="N368" i="7"/>
  <c r="M368" i="7"/>
  <c r="N367" i="7"/>
  <c r="M367" i="7"/>
  <c r="N366" i="7"/>
  <c r="M366" i="7"/>
  <c r="N365" i="7"/>
  <c r="M365" i="7"/>
  <c r="N364" i="7"/>
  <c r="M364" i="7"/>
  <c r="N363" i="7"/>
  <c r="M363" i="7"/>
  <c r="N362" i="7"/>
  <c r="M362" i="7"/>
  <c r="N361" i="7"/>
  <c r="M361" i="7"/>
  <c r="N360" i="7"/>
  <c r="M360" i="7"/>
  <c r="N359" i="7"/>
  <c r="M359" i="7"/>
  <c r="N358" i="7"/>
  <c r="M358" i="7"/>
  <c r="N357" i="7"/>
  <c r="M357" i="7"/>
  <c r="N356" i="7"/>
  <c r="M356" i="7"/>
  <c r="N355" i="7"/>
  <c r="M355" i="7"/>
  <c r="N354" i="7"/>
  <c r="M354" i="7"/>
  <c r="N353" i="7"/>
  <c r="M353" i="7"/>
  <c r="N352" i="7"/>
  <c r="M352" i="7"/>
  <c r="N351" i="7"/>
  <c r="M351" i="7"/>
  <c r="N350" i="7"/>
  <c r="M350" i="7"/>
  <c r="N349" i="7"/>
  <c r="M349" i="7"/>
  <c r="N348" i="7"/>
  <c r="M348" i="7"/>
  <c r="N347" i="7"/>
  <c r="M347" i="7"/>
  <c r="N346" i="7"/>
  <c r="M346" i="7"/>
  <c r="N345" i="7"/>
  <c r="M345" i="7"/>
  <c r="N344" i="7"/>
  <c r="M344" i="7"/>
  <c r="N343" i="7"/>
  <c r="M343" i="7"/>
  <c r="N342" i="7"/>
  <c r="M342" i="7"/>
  <c r="N341" i="7"/>
  <c r="M341" i="7"/>
  <c r="N340" i="7"/>
  <c r="M340" i="7"/>
  <c r="N339" i="7"/>
  <c r="M339" i="7"/>
  <c r="N338" i="7"/>
  <c r="M338" i="7"/>
  <c r="N337" i="7"/>
  <c r="M337" i="7"/>
  <c r="N336" i="7"/>
  <c r="M336" i="7"/>
  <c r="N335" i="7"/>
  <c r="M335" i="7"/>
  <c r="N334" i="7"/>
  <c r="M334" i="7"/>
  <c r="N333" i="7"/>
  <c r="M333" i="7"/>
  <c r="N332" i="7"/>
  <c r="M332" i="7"/>
  <c r="N331" i="7"/>
  <c r="M331" i="7"/>
  <c r="N330" i="7"/>
  <c r="M330" i="7"/>
  <c r="N329" i="7"/>
  <c r="M329" i="7"/>
  <c r="N328" i="7"/>
  <c r="M328" i="7"/>
  <c r="N327" i="7"/>
  <c r="M327" i="7"/>
  <c r="N326" i="7"/>
  <c r="M326" i="7"/>
  <c r="N325" i="7"/>
  <c r="M325" i="7"/>
  <c r="N324" i="7"/>
  <c r="M324" i="7"/>
  <c r="N323" i="7"/>
  <c r="M323" i="7"/>
  <c r="N322" i="7"/>
  <c r="M322" i="7"/>
  <c r="N321" i="7"/>
  <c r="M321" i="7"/>
  <c r="N320" i="7"/>
  <c r="M320" i="7"/>
  <c r="N319" i="7"/>
  <c r="M319" i="7"/>
  <c r="N318" i="7"/>
  <c r="M318" i="7"/>
  <c r="N317" i="7"/>
  <c r="M317" i="7"/>
  <c r="N316" i="7"/>
  <c r="M316" i="7"/>
  <c r="N315" i="7"/>
  <c r="M315" i="7"/>
  <c r="N314" i="7"/>
  <c r="M314" i="7"/>
  <c r="N313" i="7"/>
  <c r="M313" i="7"/>
  <c r="N312" i="7"/>
  <c r="M312" i="7"/>
  <c r="N311" i="7"/>
  <c r="M311" i="7"/>
  <c r="N310" i="7"/>
  <c r="M310" i="7"/>
  <c r="N309" i="7"/>
  <c r="M309" i="7"/>
  <c r="N308" i="7"/>
  <c r="M308" i="7"/>
  <c r="N307" i="7"/>
  <c r="M307" i="7"/>
  <c r="N306" i="7"/>
  <c r="M306" i="7"/>
  <c r="N305" i="7"/>
  <c r="M305" i="7"/>
  <c r="N304" i="7"/>
  <c r="M304" i="7"/>
  <c r="N303" i="7"/>
  <c r="M303" i="7"/>
  <c r="N302" i="7"/>
  <c r="M302" i="7"/>
  <c r="N301" i="7"/>
  <c r="M301" i="7"/>
  <c r="N300" i="7"/>
  <c r="M300" i="7"/>
  <c r="N299" i="7"/>
  <c r="M299" i="7"/>
  <c r="N298" i="7"/>
  <c r="M298" i="7"/>
  <c r="N297" i="7"/>
  <c r="M297" i="7"/>
  <c r="N296" i="7"/>
  <c r="M296" i="7"/>
  <c r="N295" i="7"/>
  <c r="M295" i="7"/>
  <c r="N294" i="7"/>
  <c r="M294" i="7"/>
  <c r="N293" i="7"/>
  <c r="M293" i="7"/>
  <c r="N292" i="7"/>
  <c r="M292" i="7"/>
  <c r="N291" i="7"/>
  <c r="M291" i="7"/>
  <c r="N290" i="7"/>
  <c r="M290" i="7"/>
  <c r="N289" i="7"/>
  <c r="M289" i="7"/>
  <c r="N288" i="7"/>
  <c r="M288" i="7"/>
  <c r="N287" i="7"/>
  <c r="M287" i="7"/>
  <c r="N286" i="7"/>
  <c r="M286" i="7"/>
  <c r="N285" i="7"/>
  <c r="M285" i="7"/>
  <c r="N284" i="7"/>
  <c r="M284" i="7"/>
  <c r="N283" i="7"/>
  <c r="M283" i="7"/>
  <c r="N282" i="7"/>
  <c r="M282" i="7"/>
  <c r="N281" i="7"/>
  <c r="M281" i="7"/>
  <c r="N280" i="7"/>
  <c r="M280" i="7"/>
  <c r="N279" i="7"/>
  <c r="M279" i="7"/>
  <c r="N278" i="7"/>
  <c r="M278" i="7"/>
  <c r="D278" i="7"/>
  <c r="N277" i="7"/>
  <c r="M277" i="7"/>
  <c r="N276" i="7"/>
  <c r="M276" i="7"/>
  <c r="N275" i="7"/>
  <c r="M275" i="7"/>
  <c r="N274" i="7"/>
  <c r="M274" i="7"/>
  <c r="N273" i="7"/>
  <c r="M273" i="7"/>
  <c r="N272" i="7"/>
  <c r="M272" i="7"/>
  <c r="N271" i="7"/>
  <c r="M271" i="7"/>
  <c r="N270" i="7"/>
  <c r="M270" i="7"/>
  <c r="N269" i="7"/>
  <c r="M269" i="7"/>
  <c r="N268" i="7"/>
  <c r="M268" i="7"/>
  <c r="N267" i="7"/>
  <c r="M267" i="7"/>
  <c r="N266" i="7"/>
  <c r="M266" i="7"/>
  <c r="N265" i="7"/>
  <c r="M265" i="7"/>
  <c r="N264" i="7"/>
  <c r="M264" i="7"/>
  <c r="N263" i="7"/>
  <c r="M263" i="7"/>
  <c r="N262" i="7"/>
  <c r="M262" i="7"/>
  <c r="N261" i="7"/>
  <c r="M261" i="7"/>
  <c r="N260" i="7"/>
  <c r="M260" i="7"/>
  <c r="N259" i="7"/>
  <c r="M259" i="7"/>
  <c r="N258" i="7"/>
  <c r="M258" i="7"/>
  <c r="N257" i="7"/>
  <c r="M257" i="7"/>
  <c r="N256" i="7"/>
  <c r="M256" i="7"/>
  <c r="N255" i="7"/>
  <c r="M255" i="7"/>
  <c r="N254" i="7"/>
  <c r="M254" i="7"/>
  <c r="N253" i="7"/>
  <c r="M253" i="7"/>
  <c r="N252" i="7"/>
  <c r="M252" i="7"/>
  <c r="N251" i="7"/>
  <c r="M251" i="7"/>
  <c r="N250" i="7"/>
  <c r="M250" i="7"/>
  <c r="N249" i="7"/>
  <c r="M249" i="7"/>
  <c r="N248" i="7"/>
  <c r="M248" i="7"/>
  <c r="N247" i="7"/>
  <c r="M247" i="7"/>
  <c r="N246" i="7"/>
  <c r="M246" i="7"/>
  <c r="N245" i="7"/>
  <c r="M245" i="7"/>
  <c r="N244" i="7"/>
  <c r="M244" i="7"/>
  <c r="N243" i="7"/>
  <c r="M243" i="7"/>
  <c r="N242" i="7"/>
  <c r="M242" i="7"/>
  <c r="N241" i="7"/>
  <c r="M241" i="7"/>
  <c r="N240" i="7"/>
  <c r="M240" i="7"/>
  <c r="N239" i="7"/>
  <c r="M239" i="7"/>
  <c r="N238" i="7"/>
  <c r="M238" i="7"/>
  <c r="N237" i="7"/>
  <c r="M237" i="7"/>
  <c r="N236" i="7"/>
  <c r="M236" i="7"/>
  <c r="N235" i="7"/>
  <c r="M235" i="7"/>
  <c r="N234" i="7"/>
  <c r="M234" i="7"/>
  <c r="N233" i="7"/>
  <c r="M233" i="7"/>
  <c r="N232" i="7"/>
  <c r="M232" i="7"/>
  <c r="N231" i="7"/>
  <c r="M231" i="7"/>
  <c r="N230" i="7"/>
  <c r="M230" i="7"/>
  <c r="N229" i="7"/>
  <c r="M229" i="7"/>
  <c r="N228" i="7"/>
  <c r="M228" i="7"/>
  <c r="N227" i="7"/>
  <c r="M227" i="7"/>
  <c r="N226" i="7"/>
  <c r="M226" i="7"/>
  <c r="N225" i="7"/>
  <c r="M225" i="7"/>
  <c r="N224" i="7"/>
  <c r="M224" i="7"/>
  <c r="N223" i="7"/>
  <c r="M223" i="7"/>
  <c r="N222" i="7"/>
  <c r="M222" i="7"/>
  <c r="N221" i="7"/>
  <c r="M221" i="7"/>
  <c r="N220" i="7"/>
  <c r="M220" i="7"/>
  <c r="N219" i="7"/>
  <c r="M219" i="7"/>
  <c r="N218" i="7"/>
  <c r="M218" i="7"/>
  <c r="N217" i="7"/>
  <c r="M217" i="7"/>
  <c r="N216" i="7"/>
  <c r="M216" i="7"/>
  <c r="N215" i="7"/>
  <c r="M215" i="7"/>
  <c r="N214" i="7"/>
  <c r="M214" i="7"/>
  <c r="N213" i="7"/>
  <c r="M213" i="7"/>
  <c r="N212" i="7"/>
  <c r="M212" i="7"/>
  <c r="N211" i="7"/>
  <c r="M211" i="7"/>
  <c r="N210" i="7"/>
  <c r="M210" i="7"/>
  <c r="N209" i="7"/>
  <c r="M209" i="7"/>
  <c r="N208" i="7"/>
  <c r="M208" i="7"/>
  <c r="N207" i="7"/>
  <c r="M207" i="7"/>
  <c r="N206" i="7"/>
  <c r="M206" i="7"/>
  <c r="N205" i="7"/>
  <c r="M205" i="7"/>
  <c r="N204" i="7"/>
  <c r="M204" i="7"/>
  <c r="N203" i="7"/>
  <c r="M203" i="7"/>
  <c r="N202" i="7"/>
  <c r="M202" i="7"/>
  <c r="N201" i="7"/>
  <c r="M201" i="7"/>
  <c r="N200" i="7"/>
  <c r="M200" i="7"/>
  <c r="N199" i="7"/>
  <c r="M199" i="7"/>
  <c r="N198" i="7"/>
  <c r="M198" i="7"/>
  <c r="N197" i="7"/>
  <c r="M197" i="7"/>
  <c r="N196" i="7"/>
  <c r="M196" i="7"/>
  <c r="N195" i="7"/>
  <c r="M195" i="7"/>
  <c r="N194" i="7"/>
  <c r="M194" i="7"/>
  <c r="N193" i="7"/>
  <c r="M193" i="7"/>
  <c r="N192" i="7"/>
  <c r="M192" i="7"/>
  <c r="N191" i="7"/>
  <c r="M191" i="7"/>
  <c r="N190" i="7"/>
  <c r="M190" i="7"/>
  <c r="N189" i="7"/>
  <c r="M189" i="7"/>
  <c r="N188" i="7"/>
  <c r="M188" i="7"/>
  <c r="N187" i="7"/>
  <c r="M187" i="7"/>
  <c r="N186" i="7"/>
  <c r="M186" i="7"/>
  <c r="N185" i="7"/>
  <c r="M185" i="7"/>
  <c r="N184" i="7"/>
  <c r="M184" i="7"/>
  <c r="N183" i="7"/>
  <c r="M183" i="7"/>
  <c r="N182" i="7"/>
  <c r="M182" i="7"/>
  <c r="N181" i="7"/>
  <c r="M181" i="7"/>
  <c r="N180" i="7"/>
  <c r="M180" i="7"/>
  <c r="N179" i="7"/>
  <c r="M179" i="7"/>
  <c r="N178" i="7"/>
  <c r="M178" i="7"/>
  <c r="N177" i="7"/>
  <c r="M177" i="7"/>
  <c r="N176" i="7"/>
  <c r="M176" i="7"/>
  <c r="N175" i="7"/>
  <c r="M175" i="7"/>
  <c r="N174" i="7"/>
  <c r="M174" i="7"/>
  <c r="N173" i="7"/>
  <c r="M173" i="7"/>
  <c r="N172" i="7"/>
  <c r="M172" i="7"/>
  <c r="N171" i="7"/>
  <c r="M171" i="7"/>
  <c r="N170" i="7"/>
  <c r="M170" i="7"/>
  <c r="N169" i="7"/>
  <c r="M169" i="7"/>
  <c r="N168" i="7"/>
  <c r="M168" i="7"/>
  <c r="N167" i="7"/>
  <c r="M167" i="7"/>
  <c r="N166" i="7"/>
  <c r="M166" i="7"/>
  <c r="N165" i="7"/>
  <c r="M165" i="7"/>
  <c r="N164" i="7"/>
  <c r="M164" i="7"/>
  <c r="N163" i="7"/>
  <c r="M163" i="7"/>
  <c r="N162" i="7"/>
  <c r="M162" i="7"/>
  <c r="N161" i="7"/>
  <c r="M161" i="7"/>
  <c r="N160" i="7"/>
  <c r="M160" i="7"/>
  <c r="N159" i="7"/>
  <c r="M159" i="7"/>
  <c r="N158" i="7"/>
  <c r="M158" i="7"/>
  <c r="N157" i="7"/>
  <c r="M157" i="7"/>
  <c r="N156" i="7"/>
  <c r="M156" i="7"/>
  <c r="N155" i="7"/>
  <c r="M155" i="7"/>
  <c r="N154" i="7"/>
  <c r="M154" i="7"/>
  <c r="N153" i="7"/>
  <c r="M153" i="7"/>
  <c r="N152" i="7"/>
  <c r="M152" i="7"/>
  <c r="N151" i="7"/>
  <c r="M151" i="7"/>
  <c r="N150" i="7"/>
  <c r="M150" i="7"/>
  <c r="N149" i="7"/>
  <c r="M149" i="7"/>
  <c r="N148" i="7"/>
  <c r="M148" i="7"/>
  <c r="N147" i="7"/>
  <c r="M147" i="7"/>
  <c r="N146" i="7"/>
  <c r="M146" i="7"/>
  <c r="N145" i="7"/>
  <c r="M145" i="7"/>
  <c r="N144" i="7"/>
  <c r="M144" i="7"/>
  <c r="N143" i="7"/>
  <c r="M143" i="7"/>
  <c r="N142" i="7"/>
  <c r="M142" i="7"/>
  <c r="N141" i="7"/>
  <c r="M141" i="7"/>
  <c r="N140" i="7"/>
  <c r="M140" i="7"/>
  <c r="N139" i="7"/>
  <c r="M139" i="7"/>
  <c r="N138" i="7"/>
  <c r="M138" i="7"/>
  <c r="N137" i="7"/>
  <c r="M137" i="7"/>
  <c r="N136" i="7"/>
  <c r="M136" i="7"/>
  <c r="N135" i="7"/>
  <c r="M135" i="7"/>
  <c r="N134" i="7"/>
  <c r="M134" i="7"/>
  <c r="N133" i="7"/>
  <c r="M133" i="7"/>
  <c r="N132" i="7"/>
  <c r="M132" i="7"/>
  <c r="N131" i="7"/>
  <c r="M131" i="7"/>
  <c r="N130" i="7"/>
  <c r="M130" i="7"/>
  <c r="N129" i="7"/>
  <c r="M129" i="7"/>
  <c r="N128" i="7"/>
  <c r="M128" i="7"/>
  <c r="N127" i="7"/>
  <c r="M127" i="7"/>
  <c r="N126" i="7"/>
  <c r="M126" i="7"/>
  <c r="N125" i="7"/>
  <c r="M125" i="7"/>
  <c r="N124" i="7"/>
  <c r="M124" i="7"/>
  <c r="N123" i="7"/>
  <c r="M123" i="7"/>
  <c r="N122" i="7"/>
  <c r="M122" i="7"/>
  <c r="N121" i="7"/>
  <c r="M121" i="7"/>
  <c r="N120" i="7"/>
  <c r="M120" i="7"/>
  <c r="N119" i="7"/>
  <c r="M119" i="7"/>
  <c r="N118" i="7"/>
  <c r="M118" i="7"/>
  <c r="D118" i="7"/>
  <c r="N117" i="7"/>
  <c r="M117" i="7"/>
  <c r="N116" i="7"/>
  <c r="M116" i="7"/>
  <c r="N115" i="7"/>
  <c r="M115" i="7"/>
  <c r="N114" i="7"/>
  <c r="M114" i="7"/>
  <c r="N113" i="7"/>
  <c r="M113" i="7"/>
  <c r="N112" i="7"/>
  <c r="M112" i="7"/>
  <c r="N111" i="7"/>
  <c r="M111" i="7"/>
  <c r="N110" i="7"/>
  <c r="M110" i="7"/>
  <c r="N109" i="7"/>
  <c r="M109" i="7"/>
  <c r="N108" i="7"/>
  <c r="M108" i="7"/>
  <c r="N107" i="7"/>
  <c r="M107" i="7"/>
  <c r="N106" i="7"/>
  <c r="M106" i="7"/>
  <c r="N105" i="7"/>
  <c r="M105" i="7"/>
  <c r="N104" i="7"/>
  <c r="M104" i="7"/>
  <c r="N103" i="7"/>
  <c r="M103" i="7"/>
  <c r="N102" i="7"/>
  <c r="M102" i="7"/>
  <c r="N101" i="7"/>
  <c r="M101" i="7"/>
  <c r="N100" i="7"/>
  <c r="M100" i="7"/>
  <c r="N99" i="7"/>
  <c r="M99" i="7"/>
  <c r="N98" i="7"/>
  <c r="M98" i="7"/>
  <c r="N97" i="7"/>
  <c r="M97" i="7"/>
  <c r="N96" i="7"/>
  <c r="M96" i="7"/>
  <c r="N95" i="7"/>
  <c r="M95" i="7"/>
  <c r="N94" i="7"/>
  <c r="M94" i="7"/>
  <c r="N93" i="7"/>
  <c r="M93" i="7"/>
  <c r="N92" i="7"/>
  <c r="M92" i="7"/>
  <c r="N91" i="7"/>
  <c r="M91" i="7"/>
  <c r="N90" i="7"/>
  <c r="M90" i="7"/>
  <c r="N89" i="7"/>
  <c r="M89" i="7"/>
  <c r="N88" i="7"/>
  <c r="M88" i="7"/>
  <c r="N87" i="7"/>
  <c r="M87" i="7"/>
  <c r="N86" i="7"/>
  <c r="M86" i="7"/>
  <c r="N85" i="7"/>
  <c r="M85" i="7"/>
  <c r="N84" i="7"/>
  <c r="M84" i="7"/>
  <c r="N83" i="7"/>
  <c r="M83" i="7"/>
  <c r="N82" i="7"/>
  <c r="M82" i="7"/>
  <c r="N81" i="7"/>
  <c r="M81" i="7"/>
  <c r="N80" i="7"/>
  <c r="M80" i="7"/>
  <c r="N79" i="7"/>
  <c r="M79" i="7"/>
  <c r="N78" i="7"/>
  <c r="M78" i="7"/>
  <c r="N77" i="7"/>
  <c r="M77" i="7"/>
  <c r="N76" i="7"/>
  <c r="M76" i="7"/>
  <c r="N75" i="7"/>
  <c r="M75" i="7"/>
  <c r="N74" i="7"/>
  <c r="M74" i="7"/>
  <c r="N73" i="7"/>
  <c r="M73" i="7"/>
  <c r="N72" i="7"/>
  <c r="M72" i="7"/>
  <c r="N71" i="7"/>
  <c r="M71" i="7"/>
  <c r="N70" i="7"/>
  <c r="M70" i="7"/>
  <c r="N69" i="7"/>
  <c r="M69" i="7"/>
  <c r="N68" i="7"/>
  <c r="M68" i="7"/>
  <c r="N67" i="7"/>
  <c r="M67" i="7"/>
  <c r="N66" i="7"/>
  <c r="M66" i="7"/>
  <c r="N65" i="7"/>
  <c r="M65" i="7"/>
  <c r="N64" i="7"/>
  <c r="M64" i="7"/>
  <c r="N63" i="7"/>
  <c r="M63" i="7"/>
  <c r="N62" i="7"/>
  <c r="M62" i="7"/>
  <c r="N61" i="7"/>
  <c r="M61" i="7"/>
  <c r="N60" i="7"/>
  <c r="M60" i="7"/>
  <c r="N59" i="7"/>
  <c r="M59" i="7"/>
  <c r="N58" i="7"/>
  <c r="M58" i="7"/>
  <c r="N57" i="7"/>
  <c r="M57" i="7"/>
  <c r="N56" i="7"/>
  <c r="M56" i="7"/>
  <c r="N55" i="7"/>
  <c r="M55" i="7"/>
  <c r="N54" i="7"/>
  <c r="M54" i="7"/>
  <c r="N53" i="7"/>
  <c r="M53" i="7"/>
  <c r="N52" i="7"/>
  <c r="M52" i="7"/>
  <c r="N51" i="7"/>
  <c r="M51" i="7"/>
  <c r="N50" i="7"/>
  <c r="M50" i="7"/>
  <c r="N49" i="7"/>
  <c r="M49" i="7"/>
  <c r="N48" i="7"/>
  <c r="M48" i="7"/>
  <c r="N47" i="7"/>
  <c r="M47" i="7"/>
  <c r="N46" i="7"/>
  <c r="M46" i="7"/>
  <c r="N45" i="7"/>
  <c r="M45" i="7"/>
  <c r="N44" i="7"/>
  <c r="M44" i="7"/>
  <c r="N43" i="7"/>
  <c r="M43" i="7"/>
  <c r="N42" i="7"/>
  <c r="M42" i="7"/>
  <c r="N41" i="7"/>
  <c r="M41" i="7"/>
  <c r="N40" i="7"/>
  <c r="M40" i="7"/>
  <c r="N39" i="7"/>
  <c r="M39" i="7"/>
  <c r="N38" i="7"/>
  <c r="M38" i="7"/>
  <c r="N37" i="7"/>
  <c r="M37" i="7"/>
  <c r="N36" i="7"/>
  <c r="M36" i="7"/>
  <c r="N35" i="7"/>
  <c r="M35" i="7"/>
  <c r="N34" i="7"/>
  <c r="M34" i="7"/>
  <c r="N33" i="7"/>
  <c r="M33" i="7"/>
  <c r="N32" i="7"/>
  <c r="M32" i="7"/>
  <c r="N31" i="7"/>
  <c r="M31" i="7"/>
  <c r="N30" i="7"/>
  <c r="M30" i="7"/>
  <c r="N29" i="7"/>
  <c r="M29" i="7"/>
  <c r="N28" i="7"/>
  <c r="M28" i="7"/>
  <c r="N27" i="7"/>
  <c r="M27" i="7"/>
  <c r="N26" i="7"/>
  <c r="M26" i="7"/>
  <c r="N25" i="7"/>
  <c r="M25" i="7"/>
  <c r="N24" i="7"/>
  <c r="M24" i="7"/>
  <c r="N23" i="7"/>
  <c r="M23" i="7"/>
  <c r="N22" i="7"/>
  <c r="M22" i="7"/>
  <c r="N21" i="7"/>
  <c r="M21" i="7"/>
  <c r="N20" i="7"/>
  <c r="M20" i="7"/>
  <c r="N19" i="7"/>
  <c r="M19" i="7"/>
  <c r="N18" i="7"/>
  <c r="M18" i="7"/>
  <c r="N17" i="7"/>
  <c r="M17" i="7"/>
  <c r="N16" i="7"/>
  <c r="M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N5" i="7"/>
  <c r="M5" i="7"/>
  <c r="N4" i="7"/>
  <c r="M4" i="7"/>
  <c r="N3" i="7"/>
  <c r="M3" i="7"/>
  <c r="N2" i="7"/>
  <c r="M2" i="7"/>
  <c r="N41" i="6"/>
  <c r="M41" i="6"/>
  <c r="N40" i="6"/>
  <c r="M40" i="6"/>
  <c r="N39" i="6"/>
  <c r="M39" i="6"/>
  <c r="N38" i="6"/>
  <c r="M38" i="6"/>
  <c r="N37" i="6"/>
  <c r="M37" i="6"/>
  <c r="N36" i="6"/>
  <c r="M36" i="6"/>
  <c r="N35" i="6"/>
  <c r="M35" i="6"/>
  <c r="N34" i="6"/>
  <c r="M34" i="6"/>
  <c r="N33" i="6"/>
  <c r="M33" i="6"/>
  <c r="N32" i="6"/>
  <c r="M32" i="6"/>
  <c r="N31" i="6"/>
  <c r="M31" i="6"/>
  <c r="N30" i="6"/>
  <c r="M30" i="6"/>
  <c r="N29" i="6"/>
  <c r="M29" i="6"/>
  <c r="N28" i="6"/>
  <c r="M28" i="6"/>
  <c r="N27" i="6"/>
  <c r="M27" i="6"/>
  <c r="N26" i="6"/>
  <c r="M26" i="6"/>
  <c r="N25" i="6"/>
  <c r="M25" i="6"/>
  <c r="N24" i="6"/>
  <c r="M24" i="6"/>
  <c r="N23" i="6"/>
  <c r="M23" i="6"/>
  <c r="N22" i="6"/>
  <c r="M22" i="6"/>
  <c r="N21" i="6"/>
  <c r="M21" i="6"/>
  <c r="N20" i="6"/>
  <c r="M20" i="6"/>
  <c r="N19" i="6"/>
  <c r="M19" i="6"/>
  <c r="N18" i="6"/>
  <c r="M18" i="6"/>
  <c r="N17" i="6"/>
  <c r="M17" i="6"/>
  <c r="N16" i="6"/>
  <c r="M16" i="6"/>
  <c r="N15" i="6"/>
  <c r="M15" i="6"/>
  <c r="N14" i="6"/>
  <c r="M14" i="6"/>
  <c r="N13" i="6"/>
  <c r="M13" i="6"/>
  <c r="N12" i="6"/>
  <c r="M12" i="6"/>
  <c r="N11" i="6"/>
  <c r="M11" i="6"/>
  <c r="N10" i="6"/>
  <c r="M10" i="6"/>
  <c r="N9" i="6"/>
  <c r="M9" i="6"/>
  <c r="N8" i="6"/>
  <c r="M8" i="6"/>
  <c r="S7" i="6"/>
  <c r="R7" i="6"/>
  <c r="Q7" i="6"/>
  <c r="N7" i="6"/>
  <c r="M7" i="6"/>
  <c r="S6" i="6"/>
  <c r="R6" i="6"/>
  <c r="Q6" i="6"/>
  <c r="N6" i="6"/>
  <c r="M6" i="6"/>
  <c r="S5" i="6"/>
  <c r="R5" i="6"/>
  <c r="N5" i="6"/>
  <c r="M5" i="6"/>
  <c r="N4" i="6"/>
  <c r="M4" i="6"/>
  <c r="N3" i="6"/>
  <c r="M3" i="6"/>
  <c r="N2" i="6"/>
  <c r="M2" i="6"/>
  <c r="N7" i="5"/>
  <c r="M7" i="5"/>
  <c r="N6" i="5"/>
  <c r="M6" i="5"/>
  <c r="N5" i="5"/>
  <c r="N4" i="5"/>
  <c r="M4" i="5"/>
  <c r="N3" i="5"/>
  <c r="M3" i="5"/>
  <c r="N2" i="5"/>
  <c r="M2" i="5"/>
  <c r="N98" i="3"/>
  <c r="M98" i="3"/>
  <c r="N97" i="3"/>
  <c r="M97" i="3"/>
  <c r="N96" i="3"/>
  <c r="M96" i="3"/>
  <c r="N95" i="3"/>
  <c r="M95" i="3"/>
  <c r="N94" i="3"/>
  <c r="M94" i="3"/>
  <c r="N93" i="3"/>
  <c r="M93" i="3"/>
  <c r="N92" i="3"/>
  <c r="M92" i="3"/>
  <c r="N91" i="3"/>
  <c r="M91" i="3"/>
  <c r="N90" i="3"/>
  <c r="M90" i="3"/>
  <c r="N89" i="3"/>
  <c r="M89" i="3"/>
  <c r="N88" i="3"/>
  <c r="M88" i="3"/>
  <c r="N87" i="3"/>
  <c r="M87" i="3"/>
  <c r="N86" i="3"/>
  <c r="M86" i="3"/>
  <c r="N85" i="3"/>
  <c r="M85" i="3"/>
  <c r="N84" i="3"/>
  <c r="M84" i="3"/>
  <c r="N83" i="3"/>
  <c r="M83" i="3"/>
  <c r="N82" i="3"/>
  <c r="M82" i="3"/>
  <c r="N81" i="3"/>
  <c r="M81" i="3"/>
  <c r="N80" i="3"/>
  <c r="M80" i="3"/>
  <c r="N79" i="3"/>
  <c r="M79" i="3"/>
  <c r="N78" i="3"/>
  <c r="M78" i="3"/>
  <c r="N77" i="3"/>
  <c r="M77" i="3"/>
  <c r="N76" i="3"/>
  <c r="M76" i="3"/>
  <c r="N75" i="3"/>
  <c r="M75" i="3"/>
  <c r="N74" i="3"/>
  <c r="M74" i="3"/>
  <c r="N73" i="3"/>
  <c r="M73" i="3"/>
  <c r="N72" i="3"/>
  <c r="M72" i="3"/>
  <c r="N71" i="3"/>
  <c r="M71" i="3"/>
  <c r="N70" i="3"/>
  <c r="M70" i="3"/>
  <c r="N69" i="3"/>
  <c r="M69" i="3"/>
  <c r="N68" i="3"/>
  <c r="M68" i="3"/>
  <c r="N67" i="3"/>
  <c r="M67" i="3"/>
  <c r="L67" i="3"/>
  <c r="K67" i="3"/>
  <c r="J67" i="3"/>
  <c r="N66" i="3"/>
  <c r="M66" i="3"/>
  <c r="N65" i="3"/>
  <c r="M65" i="3"/>
  <c r="L65" i="3"/>
  <c r="K65" i="3"/>
  <c r="J65" i="3"/>
  <c r="N64" i="3"/>
  <c r="M64" i="3"/>
  <c r="L64" i="3"/>
  <c r="K64" i="3"/>
  <c r="J64" i="3"/>
  <c r="N63" i="3"/>
  <c r="M63" i="3"/>
  <c r="L63" i="3"/>
  <c r="K63" i="3"/>
  <c r="J63" i="3"/>
  <c r="N62" i="3"/>
  <c r="M62" i="3"/>
  <c r="N61" i="3"/>
  <c r="M61" i="3"/>
  <c r="L61" i="3"/>
  <c r="K61" i="3"/>
  <c r="J61" i="3"/>
  <c r="N60" i="3"/>
  <c r="M60" i="3"/>
  <c r="L60" i="3"/>
  <c r="K60" i="3"/>
  <c r="J60" i="3"/>
  <c r="N59" i="3"/>
  <c r="M59" i="3"/>
  <c r="L59" i="3"/>
  <c r="K59" i="3"/>
  <c r="J59" i="3"/>
  <c r="N58" i="3"/>
  <c r="M58" i="3"/>
  <c r="L58" i="3"/>
  <c r="K58" i="3"/>
  <c r="J58" i="3"/>
  <c r="N57" i="3"/>
  <c r="M57" i="3"/>
  <c r="L57" i="3"/>
  <c r="K57" i="3"/>
  <c r="J57" i="3"/>
  <c r="N56" i="3"/>
  <c r="M56" i="3"/>
  <c r="L56" i="3"/>
  <c r="K56" i="3"/>
  <c r="J56" i="3"/>
  <c r="N55" i="3"/>
  <c r="M55" i="3"/>
  <c r="L55" i="3"/>
  <c r="K55" i="3"/>
  <c r="J55" i="3"/>
  <c r="H55" i="3"/>
  <c r="N54" i="3"/>
  <c r="M54" i="3"/>
  <c r="N53" i="3"/>
  <c r="M53" i="3"/>
  <c r="N52" i="3"/>
  <c r="M52" i="3"/>
  <c r="L52" i="3"/>
  <c r="K52" i="3"/>
  <c r="N51" i="3"/>
  <c r="M51" i="3"/>
  <c r="L51" i="3"/>
  <c r="K51" i="3"/>
  <c r="N50" i="3"/>
  <c r="M50" i="3"/>
  <c r="L50" i="3"/>
  <c r="K50" i="3"/>
  <c r="N49" i="3"/>
  <c r="M49" i="3"/>
  <c r="L49" i="3"/>
  <c r="K49" i="3"/>
  <c r="N48" i="3"/>
  <c r="M48" i="3"/>
  <c r="L48" i="3"/>
  <c r="K48" i="3"/>
  <c r="N47" i="3"/>
  <c r="M47" i="3"/>
  <c r="L47" i="3"/>
  <c r="K47" i="3"/>
  <c r="N46" i="3"/>
  <c r="M46" i="3"/>
  <c r="L46" i="3"/>
  <c r="K46" i="3"/>
  <c r="N45" i="3"/>
  <c r="M45" i="3"/>
  <c r="L45" i="3"/>
  <c r="K45" i="3"/>
  <c r="N44" i="3"/>
  <c r="M44" i="3"/>
  <c r="L44" i="3"/>
  <c r="K44" i="3"/>
  <c r="N43" i="3"/>
  <c r="M43" i="3"/>
  <c r="L43" i="3"/>
  <c r="K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L30" i="3"/>
  <c r="K30" i="3"/>
  <c r="J30" i="3"/>
  <c r="N29" i="3"/>
  <c r="M29" i="3"/>
  <c r="N28" i="3"/>
  <c r="M28" i="3"/>
  <c r="L28" i="3"/>
  <c r="K28" i="3"/>
  <c r="J28" i="3"/>
  <c r="N27" i="3"/>
  <c r="M27" i="3"/>
  <c r="L27" i="3"/>
  <c r="K27" i="3"/>
  <c r="N26" i="3"/>
  <c r="M26" i="3"/>
  <c r="L26" i="3"/>
  <c r="K26" i="3"/>
  <c r="J26" i="3"/>
  <c r="N25" i="3"/>
  <c r="M25" i="3"/>
  <c r="L25" i="3"/>
  <c r="K25" i="3"/>
  <c r="J25" i="3"/>
  <c r="N24" i="3"/>
  <c r="M24" i="3"/>
  <c r="N23" i="3"/>
  <c r="M23" i="3"/>
  <c r="L23" i="3"/>
  <c r="K23" i="3"/>
  <c r="J23" i="3"/>
  <c r="N22" i="3"/>
  <c r="M22" i="3"/>
  <c r="L22" i="3"/>
  <c r="K22" i="3"/>
  <c r="J22" i="3"/>
  <c r="N21" i="3"/>
  <c r="M21" i="3"/>
  <c r="N20" i="3"/>
  <c r="M20" i="3"/>
  <c r="N19" i="3"/>
  <c r="M19" i="3"/>
  <c r="N18" i="3"/>
  <c r="M18" i="3"/>
  <c r="N17" i="3"/>
  <c r="M17" i="3"/>
  <c r="N16" i="3"/>
  <c r="M16" i="3"/>
  <c r="L16" i="3"/>
  <c r="K16" i="3"/>
  <c r="J16" i="3"/>
  <c r="N15" i="3"/>
  <c r="M15" i="3"/>
  <c r="N14" i="3"/>
  <c r="M14" i="3"/>
  <c r="L14" i="3"/>
  <c r="K14" i="3"/>
  <c r="J14" i="3"/>
  <c r="N13" i="3"/>
  <c r="M13" i="3"/>
  <c r="L13" i="3"/>
  <c r="K13" i="3"/>
  <c r="J13" i="3"/>
  <c r="N12" i="3"/>
  <c r="M12" i="3"/>
  <c r="L12" i="3"/>
  <c r="K12" i="3"/>
  <c r="J12" i="3"/>
  <c r="N11" i="3"/>
  <c r="M11" i="3"/>
  <c r="L11" i="3"/>
  <c r="K11" i="3"/>
  <c r="J11" i="3"/>
  <c r="N10" i="3"/>
  <c r="M10" i="3"/>
  <c r="N9" i="3"/>
  <c r="M9" i="3"/>
  <c r="L9" i="3"/>
  <c r="K9" i="3"/>
  <c r="J9" i="3"/>
  <c r="N8" i="3"/>
  <c r="M8" i="3"/>
  <c r="L8" i="3"/>
  <c r="K8" i="3"/>
  <c r="J8" i="3"/>
  <c r="N7" i="3"/>
  <c r="M7" i="3"/>
  <c r="N6" i="3"/>
  <c r="M6" i="3"/>
  <c r="L6" i="3"/>
  <c r="K6" i="3"/>
  <c r="J6" i="3"/>
  <c r="N5" i="3"/>
  <c r="M5" i="3"/>
  <c r="L5" i="3"/>
  <c r="K5" i="3"/>
  <c r="J5" i="3"/>
  <c r="N4" i="3"/>
  <c r="M4" i="3"/>
  <c r="L4" i="3"/>
  <c r="K4" i="3"/>
  <c r="J4" i="3"/>
  <c r="N3" i="3"/>
  <c r="M3" i="3"/>
  <c r="L3" i="3"/>
  <c r="K3" i="3"/>
  <c r="J3" i="3"/>
  <c r="N2" i="3"/>
  <c r="M2" i="3"/>
  <c r="N481" i="10"/>
  <c r="M481" i="10"/>
  <c r="N480" i="10"/>
  <c r="M480" i="10"/>
  <c r="N479" i="10"/>
  <c r="M479" i="10"/>
  <c r="N478" i="10"/>
  <c r="M478" i="10"/>
  <c r="N477" i="10"/>
  <c r="M477" i="10"/>
  <c r="N476" i="10"/>
  <c r="M476" i="10"/>
  <c r="N475" i="10"/>
  <c r="M475" i="10"/>
  <c r="N474" i="10"/>
  <c r="M474" i="10"/>
  <c r="N473" i="10"/>
  <c r="M473" i="10"/>
  <c r="N472" i="10"/>
  <c r="M472" i="10"/>
  <c r="N471" i="10"/>
  <c r="M471" i="10"/>
  <c r="N470" i="10"/>
  <c r="M470" i="10"/>
  <c r="N469" i="10"/>
  <c r="M469" i="10"/>
  <c r="N468" i="10"/>
  <c r="M468" i="10"/>
  <c r="N467" i="10"/>
  <c r="M467" i="10"/>
  <c r="N466" i="10"/>
  <c r="M466" i="10"/>
  <c r="N465" i="10"/>
  <c r="M465" i="10"/>
  <c r="N464" i="10"/>
  <c r="M464" i="10"/>
  <c r="N463" i="10"/>
  <c r="M463" i="10"/>
  <c r="N462" i="10"/>
  <c r="M462" i="10"/>
  <c r="N461" i="10"/>
  <c r="M461" i="10"/>
  <c r="N460" i="10"/>
  <c r="M460" i="10"/>
  <c r="N459" i="10"/>
  <c r="M459" i="10"/>
  <c r="N458" i="10"/>
  <c r="M458" i="10"/>
  <c r="N457" i="10"/>
  <c r="M457" i="10"/>
  <c r="N456" i="10"/>
  <c r="M456" i="10"/>
  <c r="N455" i="10"/>
  <c r="M455" i="10"/>
  <c r="N454" i="10"/>
  <c r="M454" i="10"/>
  <c r="N453" i="10"/>
  <c r="M453" i="10"/>
  <c r="N452" i="10"/>
  <c r="M452" i="10"/>
  <c r="N451" i="10"/>
  <c r="M451" i="10"/>
  <c r="N450" i="10"/>
  <c r="M450" i="10"/>
  <c r="N449" i="10"/>
  <c r="M449" i="10"/>
  <c r="N448" i="10"/>
  <c r="M448" i="10"/>
  <c r="N447" i="10"/>
  <c r="M447" i="10"/>
  <c r="N446" i="10"/>
  <c r="M446" i="10"/>
  <c r="N445" i="10"/>
  <c r="M445" i="10"/>
  <c r="N444" i="10"/>
  <c r="M444" i="10"/>
  <c r="N443" i="10"/>
  <c r="M443" i="10"/>
  <c r="N442" i="10"/>
  <c r="M442" i="10"/>
  <c r="N441" i="10"/>
  <c r="M441" i="10"/>
  <c r="N440" i="10"/>
  <c r="M440" i="10"/>
  <c r="N439" i="10"/>
  <c r="M439" i="10"/>
  <c r="N438" i="10"/>
  <c r="M438" i="10"/>
  <c r="N437" i="10"/>
  <c r="M437" i="10"/>
  <c r="N436" i="10"/>
  <c r="M436" i="10"/>
  <c r="N435" i="10"/>
  <c r="M435" i="10"/>
  <c r="N434" i="10"/>
  <c r="M434" i="10"/>
  <c r="N433" i="10"/>
  <c r="M433" i="10"/>
  <c r="N432" i="10"/>
  <c r="M432" i="10"/>
  <c r="N431" i="10"/>
  <c r="M431" i="10"/>
  <c r="N430" i="10"/>
  <c r="M430" i="10"/>
  <c r="N429" i="10"/>
  <c r="M429" i="10"/>
  <c r="N428" i="10"/>
  <c r="M428" i="10"/>
  <c r="N427" i="10"/>
  <c r="M427" i="10"/>
  <c r="N426" i="10"/>
  <c r="M426" i="10"/>
  <c r="N425" i="10"/>
  <c r="M425" i="10"/>
  <c r="N424" i="10"/>
  <c r="M424" i="10"/>
  <c r="N423" i="10"/>
  <c r="M423" i="10"/>
  <c r="N422" i="10"/>
  <c r="M422" i="10"/>
  <c r="N421" i="10"/>
  <c r="M421" i="10"/>
  <c r="N420" i="10"/>
  <c r="M420" i="10"/>
  <c r="N419" i="10"/>
  <c r="M419" i="10"/>
  <c r="N418" i="10"/>
  <c r="M418" i="10"/>
  <c r="N417" i="10"/>
  <c r="M417" i="10"/>
  <c r="N416" i="10"/>
  <c r="M416" i="10"/>
  <c r="N415" i="10"/>
  <c r="M415" i="10"/>
  <c r="N414" i="10"/>
  <c r="M414" i="10"/>
  <c r="N413" i="10"/>
  <c r="M413" i="10"/>
  <c r="N412" i="10"/>
  <c r="M412" i="10"/>
  <c r="N411" i="10"/>
  <c r="M411" i="10"/>
  <c r="N410" i="10"/>
  <c r="M410" i="10"/>
  <c r="N409" i="10"/>
  <c r="M409" i="10"/>
  <c r="N408" i="10"/>
  <c r="M408" i="10"/>
  <c r="N407" i="10"/>
  <c r="M407" i="10"/>
  <c r="N406" i="10"/>
  <c r="M406" i="10"/>
  <c r="N405" i="10"/>
  <c r="M405" i="10"/>
  <c r="N404" i="10"/>
  <c r="M404" i="10"/>
  <c r="N403" i="10"/>
  <c r="M403" i="10"/>
  <c r="N402" i="10"/>
  <c r="M402" i="10"/>
  <c r="N401" i="10"/>
  <c r="M401" i="10"/>
  <c r="N400" i="10"/>
  <c r="M400" i="10"/>
  <c r="N399" i="10"/>
  <c r="M399" i="10"/>
  <c r="N398" i="10"/>
  <c r="M398" i="10"/>
  <c r="N397" i="10"/>
  <c r="M397" i="10"/>
  <c r="N396" i="10"/>
  <c r="M396" i="10"/>
  <c r="N395" i="10"/>
  <c r="M395" i="10"/>
  <c r="N394" i="10"/>
  <c r="M394" i="10"/>
  <c r="N393" i="10"/>
  <c r="M393" i="10"/>
  <c r="N392" i="10"/>
  <c r="M392" i="10"/>
  <c r="N391" i="10"/>
  <c r="M391" i="10"/>
  <c r="N390" i="10"/>
  <c r="M390" i="10"/>
  <c r="N389" i="10"/>
  <c r="M389" i="10"/>
  <c r="N388" i="10"/>
  <c r="M388" i="10"/>
  <c r="N387" i="10"/>
  <c r="M387" i="10"/>
  <c r="N386" i="10"/>
  <c r="M386" i="10"/>
  <c r="N385" i="10"/>
  <c r="M385" i="10"/>
  <c r="N384" i="10"/>
  <c r="M384" i="10"/>
  <c r="N383" i="10"/>
  <c r="M383" i="10"/>
  <c r="N382" i="10"/>
  <c r="M382" i="10"/>
  <c r="N381" i="10"/>
  <c r="M381" i="10"/>
  <c r="N380" i="10"/>
  <c r="M380" i="10"/>
  <c r="N379" i="10"/>
  <c r="M379" i="10"/>
  <c r="N378" i="10"/>
  <c r="M378" i="10"/>
  <c r="N377" i="10"/>
  <c r="M377" i="10"/>
  <c r="N376" i="10"/>
  <c r="M376" i="10"/>
  <c r="N375" i="10"/>
  <c r="M375" i="10"/>
  <c r="N374" i="10"/>
  <c r="M374" i="10"/>
  <c r="N373" i="10"/>
  <c r="M373" i="10"/>
  <c r="N372" i="10"/>
  <c r="M372" i="10"/>
  <c r="N371" i="10"/>
  <c r="M371" i="10"/>
  <c r="N370" i="10"/>
  <c r="M370" i="10"/>
  <c r="N369" i="10"/>
  <c r="M369" i="10"/>
  <c r="N368" i="10"/>
  <c r="M368" i="10"/>
  <c r="N367" i="10"/>
  <c r="M367" i="10"/>
  <c r="N366" i="10"/>
  <c r="M366" i="10"/>
  <c r="N365" i="10"/>
  <c r="M365" i="10"/>
  <c r="N364" i="10"/>
  <c r="M364" i="10"/>
  <c r="N363" i="10"/>
  <c r="M363" i="10"/>
  <c r="N362" i="10"/>
  <c r="M362" i="10"/>
  <c r="N361" i="10"/>
  <c r="M361" i="10"/>
  <c r="N360" i="10"/>
  <c r="M360" i="10"/>
  <c r="N359" i="10"/>
  <c r="M359" i="10"/>
  <c r="N358" i="10"/>
  <c r="M358" i="10"/>
  <c r="N357" i="10"/>
  <c r="M357" i="10"/>
  <c r="N356" i="10"/>
  <c r="M356" i="10"/>
  <c r="N355" i="10"/>
  <c r="M355" i="10"/>
  <c r="N354" i="10"/>
  <c r="M354" i="10"/>
  <c r="N353" i="10"/>
  <c r="M353" i="10"/>
  <c r="N352" i="10"/>
  <c r="M352" i="10"/>
  <c r="N351" i="10"/>
  <c r="M351" i="10"/>
  <c r="N350" i="10"/>
  <c r="M350" i="10"/>
  <c r="N349" i="10"/>
  <c r="M349" i="10"/>
  <c r="N348" i="10"/>
  <c r="M348" i="10"/>
  <c r="N347" i="10"/>
  <c r="M347" i="10"/>
  <c r="N346" i="10"/>
  <c r="M346" i="10"/>
  <c r="N345" i="10"/>
  <c r="M345" i="10"/>
  <c r="N344" i="10"/>
  <c r="M344" i="10"/>
  <c r="N343" i="10"/>
  <c r="M343" i="10"/>
  <c r="N342" i="10"/>
  <c r="M342" i="10"/>
  <c r="N341" i="10"/>
  <c r="M341" i="10"/>
  <c r="N340" i="10"/>
  <c r="M340" i="10"/>
  <c r="N339" i="10"/>
  <c r="M339" i="10"/>
  <c r="N338" i="10"/>
  <c r="M338" i="10"/>
  <c r="N337" i="10"/>
  <c r="M337" i="10"/>
  <c r="N336" i="10"/>
  <c r="M336" i="10"/>
  <c r="N335" i="10"/>
  <c r="M335" i="10"/>
  <c r="N334" i="10"/>
  <c r="M334" i="10"/>
  <c r="N333" i="10"/>
  <c r="M333" i="10"/>
  <c r="N332" i="10"/>
  <c r="M332" i="10"/>
  <c r="N331" i="10"/>
  <c r="M331" i="10"/>
  <c r="N330" i="10"/>
  <c r="M330" i="10"/>
  <c r="N329" i="10"/>
  <c r="M329" i="10"/>
  <c r="N328" i="10"/>
  <c r="M328" i="10"/>
  <c r="N327" i="10"/>
  <c r="M327" i="10"/>
  <c r="N326" i="10"/>
  <c r="M326" i="10"/>
  <c r="N325" i="10"/>
  <c r="M325" i="10"/>
  <c r="N324" i="10"/>
  <c r="M324" i="10"/>
  <c r="N323" i="10"/>
  <c r="M323" i="10"/>
  <c r="N322" i="10"/>
  <c r="M322" i="10"/>
  <c r="N321" i="10"/>
  <c r="M321" i="10"/>
  <c r="N320" i="10"/>
  <c r="M320" i="10"/>
  <c r="N319" i="10"/>
  <c r="M319" i="10"/>
  <c r="N318" i="10"/>
  <c r="M318" i="10"/>
  <c r="N317" i="10"/>
  <c r="M317" i="10"/>
  <c r="N316" i="10"/>
  <c r="M316" i="10"/>
  <c r="N315" i="10"/>
  <c r="M315" i="10"/>
  <c r="N314" i="10"/>
  <c r="M314" i="10"/>
  <c r="N313" i="10"/>
  <c r="M313" i="10"/>
  <c r="N312" i="10"/>
  <c r="M312" i="10"/>
  <c r="N311" i="10"/>
  <c r="M311" i="10"/>
  <c r="N310" i="10"/>
  <c r="M310" i="10"/>
  <c r="N309" i="10"/>
  <c r="M309" i="10"/>
  <c r="N308" i="10"/>
  <c r="M308" i="10"/>
  <c r="N307" i="10"/>
  <c r="M307" i="10"/>
  <c r="N306" i="10"/>
  <c r="M306" i="10"/>
  <c r="N305" i="10"/>
  <c r="M305" i="10"/>
  <c r="N304" i="10"/>
  <c r="M304" i="10"/>
  <c r="N303" i="10"/>
  <c r="M303" i="10"/>
  <c r="N302" i="10"/>
  <c r="M302" i="10"/>
  <c r="N301" i="10"/>
  <c r="M301" i="10"/>
  <c r="N300" i="10"/>
  <c r="M300" i="10"/>
  <c r="N299" i="10"/>
  <c r="M299" i="10"/>
  <c r="N298" i="10"/>
  <c r="M298" i="10"/>
  <c r="N297" i="10"/>
  <c r="M297" i="10"/>
  <c r="N296" i="10"/>
  <c r="M296" i="10"/>
  <c r="N295" i="10"/>
  <c r="M295" i="10"/>
  <c r="N294" i="10"/>
  <c r="M294" i="10"/>
  <c r="N293" i="10"/>
  <c r="M293" i="10"/>
  <c r="N292" i="10"/>
  <c r="M292" i="10"/>
  <c r="N291" i="10"/>
  <c r="M291" i="10"/>
  <c r="N290" i="10"/>
  <c r="M290" i="10"/>
  <c r="N289" i="10"/>
  <c r="M289" i="10"/>
  <c r="N288" i="10"/>
  <c r="M288" i="10"/>
  <c r="N287" i="10"/>
  <c r="M287" i="10"/>
  <c r="N286" i="10"/>
  <c r="M286" i="10"/>
  <c r="N285" i="10"/>
  <c r="M285" i="10"/>
  <c r="N284" i="10"/>
  <c r="M284" i="10"/>
  <c r="N283" i="10"/>
  <c r="M283" i="10"/>
  <c r="N282" i="10"/>
  <c r="M282" i="10"/>
  <c r="N281" i="10"/>
  <c r="M281" i="10"/>
  <c r="N280" i="10"/>
  <c r="M280" i="10"/>
  <c r="N279" i="10"/>
  <c r="M279" i="10"/>
  <c r="N278" i="10"/>
  <c r="M278" i="10"/>
  <c r="N277" i="10"/>
  <c r="M277" i="10"/>
  <c r="N276" i="10"/>
  <c r="M276" i="10"/>
  <c r="L276" i="10"/>
  <c r="K276" i="10"/>
  <c r="N275" i="10"/>
  <c r="M275" i="10"/>
  <c r="N274" i="10"/>
  <c r="M274" i="10"/>
  <c r="N273" i="10"/>
  <c r="M273" i="10"/>
  <c r="N272" i="10"/>
  <c r="M272" i="10"/>
  <c r="N271" i="10"/>
  <c r="M271" i="10"/>
  <c r="N270" i="10"/>
  <c r="M270" i="10"/>
  <c r="N269" i="10"/>
  <c r="M269" i="10"/>
  <c r="N268" i="10"/>
  <c r="M268" i="10"/>
  <c r="N267" i="10"/>
  <c r="M267" i="10"/>
  <c r="N266" i="10"/>
  <c r="M266" i="10"/>
  <c r="N265" i="10"/>
  <c r="M265" i="10"/>
  <c r="N264" i="10"/>
  <c r="M264" i="10"/>
  <c r="N263" i="10"/>
  <c r="M263" i="10"/>
  <c r="N262" i="10"/>
  <c r="M262" i="10"/>
  <c r="N261" i="10"/>
  <c r="M261" i="10"/>
  <c r="N260" i="10"/>
  <c r="M260" i="10"/>
  <c r="N259" i="10"/>
  <c r="M259" i="10"/>
  <c r="N258" i="10"/>
  <c r="M258" i="10"/>
  <c r="L258" i="10"/>
  <c r="K258" i="10"/>
  <c r="J258" i="10"/>
  <c r="N257" i="10"/>
  <c r="M257" i="10"/>
  <c r="N256" i="10"/>
  <c r="M256" i="10"/>
  <c r="L256" i="10"/>
  <c r="K256" i="10"/>
  <c r="J256" i="10"/>
  <c r="N255" i="10"/>
  <c r="M255" i="10"/>
  <c r="L255" i="10"/>
  <c r="K255" i="10"/>
  <c r="J255" i="10"/>
  <c r="N254" i="10"/>
  <c r="M254" i="10"/>
  <c r="L254" i="10"/>
  <c r="K254" i="10"/>
  <c r="J254" i="10"/>
  <c r="N253" i="10"/>
  <c r="M253" i="10"/>
  <c r="L253" i="10"/>
  <c r="K253" i="10"/>
  <c r="J253" i="10"/>
  <c r="N252" i="10"/>
  <c r="M252" i="10"/>
  <c r="L252" i="10"/>
  <c r="K252" i="10"/>
  <c r="J252" i="10"/>
  <c r="N251" i="10"/>
  <c r="M251" i="10"/>
  <c r="L251" i="10"/>
  <c r="K251" i="10"/>
  <c r="J251" i="10"/>
  <c r="N250" i="10"/>
  <c r="M250" i="10"/>
  <c r="L250" i="10"/>
  <c r="K250" i="10"/>
  <c r="J250" i="10"/>
  <c r="N249" i="10"/>
  <c r="M249" i="10"/>
  <c r="L249" i="10"/>
  <c r="K249" i="10"/>
  <c r="J249" i="10"/>
  <c r="N248" i="10"/>
  <c r="M248" i="10"/>
  <c r="L248" i="10"/>
  <c r="K248" i="10"/>
  <c r="J248" i="10"/>
  <c r="N247" i="10"/>
  <c r="M247" i="10"/>
  <c r="L247" i="10"/>
  <c r="K247" i="10"/>
  <c r="J247" i="10"/>
  <c r="N246" i="10"/>
  <c r="M246" i="10"/>
  <c r="L246" i="10"/>
  <c r="K246" i="10"/>
  <c r="J246" i="10"/>
  <c r="N245" i="10"/>
  <c r="M245" i="10"/>
  <c r="N244" i="10"/>
  <c r="M244" i="10"/>
  <c r="N243" i="10"/>
  <c r="M243" i="10"/>
  <c r="N242" i="10"/>
  <c r="M242" i="10"/>
  <c r="N241" i="10"/>
  <c r="M241" i="10"/>
  <c r="L241" i="10"/>
  <c r="K241" i="10"/>
  <c r="J241" i="10"/>
  <c r="N240" i="10"/>
  <c r="M240" i="10"/>
  <c r="L240" i="10"/>
  <c r="K240" i="10"/>
  <c r="J240" i="10"/>
  <c r="N239" i="10"/>
  <c r="M239" i="10"/>
  <c r="N238" i="10"/>
  <c r="M238" i="10"/>
  <c r="N237" i="10"/>
  <c r="M237" i="10"/>
  <c r="N236" i="10"/>
  <c r="M236" i="10"/>
  <c r="N235" i="10"/>
  <c r="M235" i="10"/>
  <c r="N234" i="10"/>
  <c r="M234" i="10"/>
  <c r="N233" i="10"/>
  <c r="M233" i="10"/>
  <c r="N232" i="10"/>
  <c r="M232" i="10"/>
  <c r="L232" i="10"/>
  <c r="K232" i="10"/>
  <c r="J232" i="10"/>
  <c r="N231" i="10"/>
  <c r="M231" i="10"/>
  <c r="L231" i="10"/>
  <c r="K231" i="10"/>
  <c r="J231" i="10"/>
  <c r="N230" i="10"/>
  <c r="M230" i="10"/>
  <c r="L230" i="10"/>
  <c r="K230" i="10"/>
  <c r="J230" i="10"/>
  <c r="N229" i="10"/>
  <c r="M229" i="10"/>
  <c r="L229" i="10"/>
  <c r="K229" i="10"/>
  <c r="J229" i="10"/>
  <c r="N228" i="10"/>
  <c r="M228" i="10"/>
  <c r="L228" i="10"/>
  <c r="K228" i="10"/>
  <c r="J228" i="10"/>
  <c r="N227" i="10"/>
  <c r="M227" i="10"/>
  <c r="L227" i="10"/>
  <c r="K227" i="10"/>
  <c r="J227" i="10"/>
  <c r="N226" i="10"/>
  <c r="M226" i="10"/>
  <c r="L226" i="10"/>
  <c r="K226" i="10"/>
  <c r="J226" i="10"/>
  <c r="N225" i="10"/>
  <c r="M225" i="10"/>
  <c r="N224" i="10"/>
  <c r="M224" i="10"/>
  <c r="N223" i="10"/>
  <c r="M223" i="10"/>
  <c r="L223" i="10"/>
  <c r="K223" i="10"/>
  <c r="J223" i="10"/>
  <c r="N222" i="10"/>
  <c r="M222" i="10"/>
  <c r="L222" i="10"/>
  <c r="K222" i="10"/>
  <c r="J222" i="10"/>
  <c r="N221" i="10"/>
  <c r="M221" i="10"/>
  <c r="N220" i="10"/>
  <c r="M220" i="10"/>
  <c r="N219" i="10"/>
  <c r="M219" i="10"/>
  <c r="N218" i="10"/>
  <c r="M218" i="10"/>
  <c r="N217" i="10"/>
  <c r="M217" i="10"/>
  <c r="N216" i="10"/>
  <c r="M216" i="10"/>
  <c r="N215" i="10"/>
  <c r="M215" i="10"/>
  <c r="N214" i="10"/>
  <c r="M214" i="10"/>
  <c r="L214" i="10"/>
  <c r="K214" i="10"/>
  <c r="J214" i="10"/>
  <c r="N213" i="10"/>
  <c r="M213" i="10"/>
  <c r="L213" i="10"/>
  <c r="K213" i="10"/>
  <c r="J213" i="10"/>
  <c r="N212" i="10"/>
  <c r="M212" i="10"/>
  <c r="N211" i="10"/>
  <c r="M211" i="10"/>
  <c r="N210" i="10"/>
  <c r="M210" i="10"/>
  <c r="N209" i="10"/>
  <c r="M209" i="10"/>
  <c r="N208" i="10"/>
  <c r="M208" i="10"/>
  <c r="N207" i="10"/>
  <c r="M207" i="10"/>
  <c r="L207" i="10"/>
  <c r="K207" i="10"/>
  <c r="J207" i="10"/>
  <c r="N206" i="10"/>
  <c r="M206" i="10"/>
  <c r="L206" i="10"/>
  <c r="K206" i="10"/>
  <c r="J206" i="10"/>
  <c r="N205" i="10"/>
  <c r="M205" i="10"/>
  <c r="L205" i="10"/>
  <c r="K205" i="10"/>
  <c r="J205" i="10"/>
  <c r="N204" i="10"/>
  <c r="M204" i="10"/>
  <c r="L204" i="10"/>
  <c r="K204" i="10"/>
  <c r="J204" i="10"/>
  <c r="N203" i="10"/>
  <c r="M203" i="10"/>
  <c r="L203" i="10"/>
  <c r="K203" i="10"/>
  <c r="J203" i="10"/>
  <c r="N202" i="10"/>
  <c r="M202" i="10"/>
  <c r="N201" i="10"/>
  <c r="M201" i="10"/>
  <c r="N200" i="10"/>
  <c r="M200" i="10"/>
  <c r="N199" i="10"/>
  <c r="M199" i="10"/>
  <c r="N198" i="10"/>
  <c r="M198" i="10"/>
  <c r="N197" i="10"/>
  <c r="M197" i="10"/>
  <c r="N196" i="10"/>
  <c r="M196" i="10"/>
  <c r="L196" i="10"/>
  <c r="K196" i="10"/>
  <c r="J196" i="10"/>
  <c r="N195" i="10"/>
  <c r="M195" i="10"/>
  <c r="L195" i="10"/>
  <c r="K195" i="10"/>
  <c r="J195" i="10"/>
  <c r="N194" i="10"/>
  <c r="M194" i="10"/>
  <c r="L194" i="10"/>
  <c r="K194" i="10"/>
  <c r="J194" i="10"/>
  <c r="N193" i="10"/>
  <c r="M193" i="10"/>
  <c r="N192" i="10"/>
  <c r="M192" i="10"/>
  <c r="N191" i="10"/>
  <c r="M191" i="10"/>
  <c r="N190" i="10"/>
  <c r="M190" i="10"/>
  <c r="N189" i="10"/>
  <c r="M189" i="10"/>
  <c r="N188" i="10"/>
  <c r="M188" i="10"/>
  <c r="L188" i="10"/>
  <c r="K188" i="10"/>
  <c r="J188" i="10"/>
  <c r="N187" i="10"/>
  <c r="M187" i="10"/>
  <c r="L187" i="10"/>
  <c r="K187" i="10"/>
  <c r="J187" i="10"/>
  <c r="N186" i="10"/>
  <c r="M186" i="10"/>
  <c r="L186" i="10"/>
  <c r="K186" i="10"/>
  <c r="J186" i="10"/>
  <c r="N185" i="10"/>
  <c r="M185" i="10"/>
  <c r="L185" i="10"/>
  <c r="K185" i="10"/>
  <c r="J185" i="10"/>
  <c r="N184" i="10"/>
  <c r="M184" i="10"/>
  <c r="N183" i="10"/>
  <c r="M183" i="10"/>
  <c r="N182" i="10"/>
  <c r="M182" i="10"/>
  <c r="L182" i="10"/>
  <c r="K182" i="10"/>
  <c r="N181" i="10"/>
  <c r="M181" i="10"/>
  <c r="L181" i="10"/>
  <c r="K181" i="10"/>
  <c r="N180" i="10"/>
  <c r="M180" i="10"/>
  <c r="N179" i="10"/>
  <c r="M179" i="10"/>
  <c r="L179" i="10"/>
  <c r="K179" i="10"/>
  <c r="J179" i="10"/>
  <c r="N178" i="10"/>
  <c r="M178" i="10"/>
  <c r="N177" i="10"/>
  <c r="N176" i="10"/>
  <c r="M176" i="10"/>
  <c r="L176" i="10"/>
  <c r="K176" i="10"/>
  <c r="N175" i="10"/>
  <c r="M175" i="10"/>
  <c r="L175" i="10"/>
  <c r="K175" i="10"/>
  <c r="N174" i="10"/>
  <c r="M174" i="10"/>
  <c r="N173" i="10"/>
  <c r="M173" i="10"/>
  <c r="N172" i="10"/>
  <c r="M172" i="10"/>
  <c r="N171" i="10"/>
  <c r="M171" i="10"/>
  <c r="N170" i="10"/>
  <c r="M170" i="10"/>
  <c r="L170" i="10"/>
  <c r="K170" i="10"/>
  <c r="J170" i="10"/>
  <c r="N169" i="10"/>
  <c r="M169" i="10"/>
  <c r="L169" i="10"/>
  <c r="K169" i="10"/>
  <c r="J169" i="10"/>
  <c r="N168" i="10"/>
  <c r="M168" i="10"/>
  <c r="L168" i="10"/>
  <c r="K168" i="10"/>
  <c r="J168" i="10"/>
  <c r="N167" i="10"/>
  <c r="M167" i="10"/>
  <c r="L167" i="10"/>
  <c r="K167" i="10"/>
  <c r="J167" i="10"/>
  <c r="N166" i="10"/>
  <c r="M166" i="10"/>
  <c r="L166" i="10"/>
  <c r="K166" i="10"/>
  <c r="J166" i="10"/>
  <c r="N165" i="10"/>
  <c r="M165" i="10"/>
  <c r="L165" i="10"/>
  <c r="K165" i="10"/>
  <c r="J165" i="10"/>
  <c r="N164" i="10"/>
  <c r="M164" i="10"/>
  <c r="L164" i="10"/>
  <c r="K164" i="10"/>
  <c r="J164" i="10"/>
  <c r="N163" i="10"/>
  <c r="M163" i="10"/>
  <c r="L163" i="10"/>
  <c r="K163" i="10"/>
  <c r="J163" i="10"/>
  <c r="N162" i="10"/>
  <c r="M162" i="10"/>
  <c r="N161" i="10"/>
  <c r="M161" i="10"/>
  <c r="N160" i="10"/>
  <c r="M160" i="10"/>
  <c r="N159" i="10"/>
  <c r="M159" i="10"/>
  <c r="N158" i="10"/>
  <c r="M158" i="10"/>
  <c r="N157" i="10"/>
  <c r="M157" i="10"/>
  <c r="N156" i="10"/>
  <c r="M156" i="10"/>
  <c r="N155" i="10"/>
  <c r="M155" i="10"/>
  <c r="N154" i="10"/>
  <c r="M154" i="10"/>
  <c r="L154" i="10"/>
  <c r="K154" i="10"/>
  <c r="J154" i="10"/>
  <c r="N153" i="10"/>
  <c r="M153" i="10"/>
  <c r="L153" i="10"/>
  <c r="K153" i="10"/>
  <c r="J153" i="10"/>
  <c r="N152" i="10"/>
  <c r="M152" i="10"/>
  <c r="L152" i="10"/>
  <c r="K152" i="10"/>
  <c r="J152" i="10"/>
  <c r="N151" i="10"/>
  <c r="M151" i="10"/>
  <c r="L151" i="10"/>
  <c r="K151" i="10"/>
  <c r="J151" i="10"/>
  <c r="N150" i="10"/>
  <c r="M150" i="10"/>
  <c r="L150" i="10"/>
  <c r="K150" i="10"/>
  <c r="J150" i="10"/>
  <c r="N149" i="10"/>
  <c r="M149" i="10"/>
  <c r="L149" i="10"/>
  <c r="K149" i="10"/>
  <c r="J149" i="10"/>
  <c r="N148" i="10"/>
  <c r="M148" i="10"/>
  <c r="N147" i="10"/>
  <c r="M147" i="10"/>
  <c r="N146" i="10"/>
  <c r="M146" i="10"/>
  <c r="N145" i="10"/>
  <c r="M145" i="10"/>
  <c r="N144" i="10"/>
  <c r="M144" i="10"/>
  <c r="N143" i="10"/>
  <c r="M143" i="10"/>
  <c r="N142" i="10"/>
  <c r="M142" i="10"/>
  <c r="L142" i="10"/>
  <c r="K142" i="10"/>
  <c r="J142" i="10"/>
  <c r="N141" i="10"/>
  <c r="M141" i="10"/>
  <c r="N140" i="10"/>
  <c r="M140" i="10"/>
  <c r="N139" i="10"/>
  <c r="M139" i="10"/>
  <c r="N138" i="10"/>
  <c r="M138" i="10"/>
  <c r="N137" i="10"/>
  <c r="M137" i="10"/>
  <c r="N136" i="10"/>
  <c r="M136" i="10"/>
  <c r="L136" i="10"/>
  <c r="K136" i="10"/>
  <c r="J136" i="10"/>
  <c r="N135" i="10"/>
  <c r="M135" i="10"/>
  <c r="L135" i="10"/>
  <c r="K135" i="10"/>
  <c r="J135" i="10"/>
  <c r="N134" i="10"/>
  <c r="M134" i="10"/>
  <c r="L134" i="10"/>
  <c r="K134" i="10"/>
  <c r="J134" i="10"/>
  <c r="N133" i="10"/>
  <c r="M133" i="10"/>
  <c r="L133" i="10"/>
  <c r="K133" i="10"/>
  <c r="J133" i="10"/>
  <c r="N132" i="10"/>
  <c r="M132" i="10"/>
  <c r="L132" i="10"/>
  <c r="K132" i="10"/>
  <c r="J132" i="10"/>
  <c r="N131" i="10"/>
  <c r="M131" i="10"/>
  <c r="L131" i="10"/>
  <c r="K131" i="10"/>
  <c r="J131" i="10"/>
  <c r="N130" i="10"/>
  <c r="M130" i="10"/>
  <c r="N129" i="10"/>
  <c r="M129" i="10"/>
  <c r="N128" i="10"/>
  <c r="M128" i="10"/>
  <c r="L128" i="10"/>
  <c r="K128" i="10"/>
  <c r="J128" i="10"/>
  <c r="D128" i="10"/>
  <c r="N127" i="10"/>
  <c r="M127" i="10"/>
  <c r="L127" i="10"/>
  <c r="K127" i="10"/>
  <c r="J127" i="10"/>
  <c r="N126" i="10"/>
  <c r="M126" i="10"/>
  <c r="L126" i="10"/>
  <c r="K126" i="10"/>
  <c r="J126" i="10"/>
  <c r="N125" i="10"/>
  <c r="M125" i="10"/>
  <c r="N124" i="10"/>
  <c r="M124" i="10"/>
  <c r="L124" i="10"/>
  <c r="K124" i="10"/>
  <c r="J124" i="10"/>
  <c r="N123" i="10"/>
  <c r="M123" i="10"/>
  <c r="L123" i="10"/>
  <c r="K123" i="10"/>
  <c r="J123" i="10"/>
  <c r="N122" i="10"/>
  <c r="M122" i="10"/>
  <c r="L122" i="10"/>
  <c r="K122" i="10"/>
  <c r="J122" i="10"/>
  <c r="N121" i="10"/>
  <c r="M121" i="10"/>
  <c r="L121" i="10"/>
  <c r="K121" i="10"/>
  <c r="J121" i="10"/>
  <c r="N120" i="10"/>
  <c r="M120" i="10"/>
  <c r="L120" i="10"/>
  <c r="K120" i="10"/>
  <c r="J120" i="10"/>
  <c r="N119" i="10"/>
  <c r="M119" i="10"/>
  <c r="L119" i="10"/>
  <c r="K119" i="10"/>
  <c r="J119" i="10"/>
  <c r="N118" i="10"/>
  <c r="M118" i="10"/>
  <c r="N117" i="10"/>
  <c r="M117" i="10"/>
  <c r="N116" i="10"/>
  <c r="M116" i="10"/>
  <c r="N115" i="10"/>
  <c r="M115" i="10"/>
  <c r="L115" i="10"/>
  <c r="K115" i="10"/>
  <c r="J115" i="10"/>
  <c r="N114" i="10"/>
  <c r="M114" i="10"/>
  <c r="L114" i="10"/>
  <c r="K114" i="10"/>
  <c r="J114" i="10"/>
  <c r="N113" i="10"/>
  <c r="M113" i="10"/>
  <c r="N112" i="10"/>
  <c r="M112" i="10"/>
  <c r="N111" i="10"/>
  <c r="M111" i="10"/>
  <c r="N110" i="10"/>
  <c r="M110" i="10"/>
  <c r="L110" i="10"/>
  <c r="K110" i="10"/>
  <c r="J110" i="10"/>
  <c r="N109" i="10"/>
  <c r="M109" i="10"/>
  <c r="N108" i="10"/>
  <c r="M108" i="10"/>
  <c r="N107" i="10"/>
  <c r="M107" i="10"/>
  <c r="L107" i="10"/>
  <c r="K107" i="10"/>
  <c r="J107" i="10"/>
  <c r="N106" i="10"/>
  <c r="M106" i="10"/>
  <c r="L106" i="10"/>
  <c r="K106" i="10"/>
  <c r="J106" i="10"/>
  <c r="N105" i="10"/>
  <c r="M105" i="10"/>
  <c r="L105" i="10"/>
  <c r="K105" i="10"/>
  <c r="J105" i="10"/>
  <c r="N104" i="10"/>
  <c r="M104" i="10"/>
  <c r="L104" i="10"/>
  <c r="K104" i="10"/>
  <c r="J104" i="10"/>
  <c r="N103" i="10"/>
  <c r="M103" i="10"/>
  <c r="N102" i="10"/>
  <c r="M102" i="10"/>
  <c r="N101" i="10"/>
  <c r="M101" i="10"/>
  <c r="N100" i="10"/>
  <c r="M100" i="10"/>
  <c r="L100" i="10"/>
  <c r="K100" i="10"/>
  <c r="J100" i="10"/>
  <c r="N99" i="10"/>
  <c r="M99" i="10"/>
  <c r="N98" i="10"/>
  <c r="M98" i="10"/>
  <c r="N97" i="10"/>
  <c r="M97" i="10"/>
  <c r="N96" i="10"/>
  <c r="M96" i="10"/>
  <c r="N95" i="10"/>
  <c r="M95" i="10"/>
  <c r="L95" i="10"/>
  <c r="K95" i="10"/>
  <c r="J95" i="10"/>
  <c r="N94" i="10"/>
  <c r="M94" i="10"/>
  <c r="L94" i="10"/>
  <c r="K94" i="10"/>
  <c r="J94" i="10"/>
  <c r="N93" i="10"/>
  <c r="M93" i="10"/>
  <c r="L93" i="10"/>
  <c r="K93" i="10"/>
  <c r="J93" i="10"/>
  <c r="N92" i="10"/>
  <c r="M92" i="10"/>
  <c r="L92" i="10"/>
  <c r="K92" i="10"/>
  <c r="J92" i="10"/>
  <c r="N91" i="10"/>
  <c r="M91" i="10"/>
  <c r="L91" i="10"/>
  <c r="K91" i="10"/>
  <c r="J91" i="10"/>
  <c r="N90" i="10"/>
  <c r="M90" i="10"/>
  <c r="L90" i="10"/>
  <c r="K90" i="10"/>
  <c r="J90" i="10"/>
  <c r="N89" i="10"/>
  <c r="M89" i="10"/>
  <c r="L89" i="10"/>
  <c r="K89" i="10"/>
  <c r="J89" i="10"/>
  <c r="N88" i="10"/>
  <c r="M88" i="10"/>
  <c r="L88" i="10"/>
  <c r="K88" i="10"/>
  <c r="J88" i="10"/>
  <c r="N87" i="10"/>
  <c r="M87" i="10"/>
  <c r="N86" i="10"/>
  <c r="M86" i="10"/>
  <c r="L86" i="10"/>
  <c r="K86" i="10"/>
  <c r="J86" i="10"/>
  <c r="N85" i="10"/>
  <c r="M85" i="10"/>
  <c r="L85" i="10"/>
  <c r="K85" i="10"/>
  <c r="J85" i="10"/>
  <c r="N84" i="10"/>
  <c r="M84" i="10"/>
  <c r="L84" i="10"/>
  <c r="K84" i="10"/>
  <c r="J84" i="10"/>
  <c r="N83" i="10"/>
  <c r="M83" i="10"/>
  <c r="L83" i="10"/>
  <c r="K83" i="10"/>
  <c r="J83" i="10"/>
  <c r="N82" i="10"/>
  <c r="M82" i="10"/>
  <c r="L82" i="10"/>
  <c r="K82" i="10"/>
  <c r="J82" i="10"/>
  <c r="N81" i="10"/>
  <c r="M81" i="10"/>
  <c r="L81" i="10"/>
  <c r="K81" i="10"/>
  <c r="J81" i="10"/>
  <c r="N80" i="10"/>
  <c r="M80" i="10"/>
  <c r="D80" i="10"/>
  <c r="N79" i="10"/>
  <c r="M79" i="10"/>
  <c r="L79" i="10"/>
  <c r="K79" i="10"/>
  <c r="J79" i="10"/>
  <c r="N78" i="10"/>
  <c r="M78" i="10"/>
  <c r="L78" i="10"/>
  <c r="K78" i="10"/>
  <c r="J78" i="10"/>
  <c r="N77" i="10"/>
  <c r="M77" i="10"/>
  <c r="L77" i="10"/>
  <c r="K77" i="10"/>
  <c r="N76" i="10"/>
  <c r="M76" i="10"/>
  <c r="L76" i="10"/>
  <c r="K76" i="10"/>
  <c r="N75" i="10"/>
  <c r="M75" i="10"/>
  <c r="L75" i="10"/>
  <c r="K75" i="10"/>
  <c r="J75" i="10"/>
  <c r="N74" i="10"/>
  <c r="M74" i="10"/>
  <c r="L74" i="10"/>
  <c r="K74" i="10"/>
  <c r="N73" i="10"/>
  <c r="M73" i="10"/>
  <c r="N72" i="10"/>
  <c r="M72" i="10"/>
  <c r="N71" i="10"/>
  <c r="M71" i="10"/>
  <c r="L71" i="10"/>
  <c r="K71" i="10"/>
  <c r="J71" i="10"/>
  <c r="N70" i="10"/>
  <c r="M70" i="10"/>
  <c r="L70" i="10"/>
  <c r="K70" i="10"/>
  <c r="J70" i="10"/>
  <c r="N69" i="10"/>
  <c r="M69" i="10"/>
  <c r="L69" i="10"/>
  <c r="K69" i="10"/>
  <c r="J69" i="10"/>
  <c r="N68" i="10"/>
  <c r="M68" i="10"/>
  <c r="L68" i="10"/>
  <c r="K68" i="10"/>
  <c r="J68" i="10"/>
  <c r="N67" i="10"/>
  <c r="M67" i="10"/>
  <c r="L67" i="10"/>
  <c r="K67" i="10"/>
  <c r="J67" i="10"/>
  <c r="N66" i="10"/>
  <c r="M66" i="10"/>
  <c r="L66" i="10"/>
  <c r="K66" i="10"/>
  <c r="J66" i="10"/>
  <c r="N65" i="10"/>
  <c r="M65" i="10"/>
  <c r="L65" i="10"/>
  <c r="K65" i="10"/>
  <c r="J65" i="10"/>
  <c r="N64" i="10"/>
  <c r="M64" i="10"/>
  <c r="L64" i="10"/>
  <c r="K64" i="10"/>
  <c r="J64" i="10"/>
  <c r="N63" i="10"/>
  <c r="M63" i="10"/>
  <c r="L63" i="10"/>
  <c r="K63" i="10"/>
  <c r="J63" i="10"/>
  <c r="N62" i="10"/>
  <c r="M62" i="10"/>
  <c r="L62" i="10"/>
  <c r="K62" i="10"/>
  <c r="J62" i="10"/>
  <c r="N61" i="10"/>
  <c r="M61" i="10"/>
  <c r="L61" i="10"/>
  <c r="K61" i="10"/>
  <c r="J61" i="10"/>
  <c r="N60" i="10"/>
  <c r="M60" i="10"/>
  <c r="L60" i="10"/>
  <c r="K60" i="10"/>
  <c r="N59" i="10"/>
  <c r="M59" i="10"/>
  <c r="L59" i="10"/>
  <c r="K59" i="10"/>
  <c r="J59" i="10"/>
  <c r="N58" i="10"/>
  <c r="M58" i="10"/>
  <c r="L58" i="10"/>
  <c r="K58" i="10"/>
  <c r="J58" i="10"/>
  <c r="N57" i="10"/>
  <c r="M57" i="10"/>
  <c r="L57" i="10"/>
  <c r="K57" i="10"/>
  <c r="J57" i="10"/>
  <c r="N56" i="10"/>
  <c r="M56" i="10"/>
  <c r="L56" i="10"/>
  <c r="K56" i="10"/>
  <c r="J56" i="10"/>
  <c r="N55" i="10"/>
  <c r="M55" i="10"/>
  <c r="L55" i="10"/>
  <c r="K55" i="10"/>
  <c r="J55" i="10"/>
  <c r="N54" i="10"/>
  <c r="M54" i="10"/>
  <c r="N53" i="10"/>
  <c r="M53" i="10"/>
  <c r="N52" i="10"/>
  <c r="M52" i="10"/>
  <c r="L52" i="10"/>
  <c r="K52" i="10"/>
  <c r="N51" i="10"/>
  <c r="M51" i="10"/>
  <c r="L51" i="10"/>
  <c r="K51" i="10"/>
  <c r="J51" i="10"/>
  <c r="N50" i="10"/>
  <c r="M50" i="10"/>
  <c r="L50" i="10"/>
  <c r="K50" i="10"/>
  <c r="J50" i="10"/>
  <c r="N49" i="10"/>
  <c r="M49" i="10"/>
  <c r="L49" i="10"/>
  <c r="K49" i="10"/>
  <c r="J49" i="10"/>
  <c r="N48" i="10"/>
  <c r="M48" i="10"/>
  <c r="L48" i="10"/>
  <c r="K48" i="10"/>
  <c r="J48" i="10"/>
  <c r="N47" i="10"/>
  <c r="M47" i="10"/>
  <c r="N46" i="10"/>
  <c r="M46" i="10"/>
  <c r="N45" i="10"/>
  <c r="M45" i="10"/>
  <c r="N44" i="10"/>
  <c r="M44" i="10"/>
  <c r="N43" i="10"/>
  <c r="M43" i="10"/>
  <c r="N42" i="10"/>
  <c r="M42" i="10"/>
  <c r="N41" i="10"/>
  <c r="M41" i="10"/>
  <c r="L41" i="10"/>
  <c r="K41" i="10"/>
  <c r="J41" i="10"/>
  <c r="N40" i="10"/>
  <c r="M40" i="10"/>
  <c r="L40" i="10"/>
  <c r="K40" i="10"/>
  <c r="J40" i="10"/>
  <c r="N39" i="10"/>
  <c r="M39" i="10"/>
  <c r="N38" i="10"/>
  <c r="M38" i="10"/>
  <c r="N37" i="10"/>
  <c r="M37" i="10"/>
  <c r="N36" i="10"/>
  <c r="M36" i="10"/>
  <c r="N35" i="10"/>
  <c r="M35" i="10"/>
  <c r="N34" i="10"/>
  <c r="M34" i="10"/>
  <c r="L34" i="10"/>
  <c r="K34" i="10"/>
  <c r="J34" i="10"/>
  <c r="N33" i="10"/>
  <c r="M33" i="10"/>
  <c r="L33" i="10"/>
  <c r="K33" i="10"/>
  <c r="J33" i="10"/>
  <c r="N32" i="10"/>
  <c r="M32" i="10"/>
  <c r="L32" i="10"/>
  <c r="K32" i="10"/>
  <c r="J32" i="10"/>
  <c r="N31" i="10"/>
  <c r="M31" i="10"/>
  <c r="L31" i="10"/>
  <c r="K31" i="10"/>
  <c r="J31" i="10"/>
  <c r="N30" i="10"/>
  <c r="M30" i="10"/>
  <c r="L30" i="10"/>
  <c r="K30" i="10"/>
  <c r="J30" i="10"/>
  <c r="N29" i="10"/>
  <c r="M29" i="10"/>
  <c r="L29" i="10"/>
  <c r="K29" i="10"/>
  <c r="J29" i="10"/>
  <c r="N28" i="10"/>
  <c r="M28" i="10"/>
  <c r="L28" i="10"/>
  <c r="K28" i="10"/>
  <c r="J28" i="10"/>
  <c r="N27" i="10"/>
  <c r="M27" i="10"/>
  <c r="L27" i="10"/>
  <c r="K27" i="10"/>
  <c r="J27" i="10"/>
  <c r="N26" i="10"/>
  <c r="M26" i="10"/>
  <c r="L26" i="10"/>
  <c r="K26" i="10"/>
  <c r="J26" i="10"/>
  <c r="N25" i="10"/>
  <c r="M25" i="10"/>
  <c r="L25" i="10"/>
  <c r="K25" i="10"/>
  <c r="J25" i="10"/>
  <c r="N24" i="10"/>
  <c r="M24" i="10"/>
  <c r="L24" i="10"/>
  <c r="K24" i="10"/>
  <c r="J24" i="10"/>
  <c r="N23" i="10"/>
  <c r="M23" i="10"/>
  <c r="L23" i="10"/>
  <c r="K23" i="10"/>
  <c r="J23" i="10"/>
  <c r="N22" i="10"/>
  <c r="M22" i="10"/>
  <c r="L22" i="10"/>
  <c r="K22" i="10"/>
  <c r="J22" i="10"/>
  <c r="N21" i="10"/>
  <c r="M21" i="10"/>
  <c r="L21" i="10"/>
  <c r="K21" i="10"/>
  <c r="J21" i="10"/>
  <c r="N20" i="10"/>
  <c r="M20" i="10"/>
  <c r="L20" i="10"/>
  <c r="K20" i="10"/>
  <c r="J20" i="10"/>
  <c r="N19" i="10"/>
  <c r="M19" i="10"/>
  <c r="L19" i="10"/>
  <c r="K19" i="10"/>
  <c r="J19" i="10"/>
  <c r="N18" i="10"/>
  <c r="M18" i="10"/>
  <c r="L18" i="10"/>
  <c r="K18" i="10"/>
  <c r="J18" i="10"/>
  <c r="N17" i="10"/>
  <c r="M17" i="10"/>
  <c r="L17" i="10"/>
  <c r="K17" i="10"/>
  <c r="J17" i="10"/>
  <c r="N16" i="10"/>
  <c r="M16" i="10"/>
  <c r="L16" i="10"/>
  <c r="K16" i="10"/>
  <c r="J16" i="10"/>
  <c r="N15" i="10"/>
  <c r="M15" i="10"/>
  <c r="L15" i="10"/>
  <c r="K15" i="10"/>
  <c r="J15" i="10"/>
  <c r="N14" i="10"/>
  <c r="M14" i="10"/>
  <c r="L14" i="10"/>
  <c r="K14" i="10"/>
  <c r="J14" i="10"/>
  <c r="N13" i="10"/>
  <c r="M13" i="10"/>
  <c r="L13" i="10"/>
  <c r="K13" i="10"/>
  <c r="J13" i="10"/>
  <c r="N12" i="10"/>
  <c r="M12" i="10"/>
  <c r="L12" i="10"/>
  <c r="K12" i="10"/>
  <c r="J12" i="10"/>
  <c r="N11" i="10"/>
  <c r="M11" i="10"/>
  <c r="L11" i="10"/>
  <c r="K11" i="10"/>
  <c r="J11" i="10"/>
  <c r="N10" i="10"/>
  <c r="M10" i="10"/>
  <c r="L10" i="10"/>
  <c r="K10" i="10"/>
  <c r="J10" i="10"/>
  <c r="N9" i="10"/>
  <c r="M9" i="10"/>
  <c r="L9" i="10"/>
  <c r="K9" i="10"/>
  <c r="J9" i="10"/>
  <c r="N8" i="10"/>
  <c r="M8" i="10"/>
  <c r="L8" i="10"/>
  <c r="K8" i="10"/>
  <c r="J8" i="10"/>
  <c r="N7" i="10"/>
  <c r="M7" i="10"/>
  <c r="L7" i="10"/>
  <c r="K7" i="10"/>
  <c r="J7" i="10"/>
  <c r="N6" i="10"/>
  <c r="M6" i="10"/>
  <c r="L6" i="10"/>
  <c r="K6" i="10"/>
  <c r="J6" i="10"/>
  <c r="N5" i="10"/>
  <c r="M5" i="10"/>
  <c r="L5" i="10"/>
  <c r="K5" i="10"/>
  <c r="J5" i="10"/>
  <c r="N4" i="10"/>
  <c r="M4" i="10"/>
  <c r="L4" i="10"/>
  <c r="K4" i="10"/>
  <c r="J4" i="10"/>
  <c r="N3" i="10"/>
  <c r="M3" i="10"/>
  <c r="L3" i="10"/>
  <c r="K3" i="10"/>
  <c r="J3" i="10"/>
  <c r="N2" i="10"/>
  <c r="M2" i="10"/>
  <c r="L2" i="10"/>
  <c r="K2" i="10"/>
  <c r="J2" i="10"/>
  <c r="G13" i="8"/>
  <c r="E13" i="8"/>
  <c r="C13" i="8"/>
  <c r="H12" i="8"/>
  <c r="G12" i="8"/>
  <c r="F12" i="8"/>
  <c r="H11" i="8"/>
  <c r="G11" i="8"/>
  <c r="F11" i="8"/>
  <c r="H10" i="8"/>
  <c r="G10" i="8"/>
  <c r="F10" i="8"/>
  <c r="G9" i="8"/>
  <c r="B9" i="8"/>
  <c r="B13" i="8" s="1"/>
  <c r="G8" i="8"/>
  <c r="H7" i="8"/>
  <c r="G7" i="8"/>
  <c r="F7" i="8"/>
  <c r="H6" i="8"/>
  <c r="G6" i="8"/>
  <c r="F6" i="8"/>
  <c r="H5" i="8"/>
  <c r="G5" i="8"/>
  <c r="F5" i="8"/>
  <c r="D5" i="8"/>
  <c r="G4" i="8"/>
  <c r="F4" i="8"/>
  <c r="H4" i="8" s="1"/>
  <c r="N144" i="9"/>
  <c r="M144" i="9"/>
  <c r="L144" i="9"/>
  <c r="K144" i="9"/>
  <c r="J144" i="9"/>
  <c r="N143" i="9"/>
  <c r="M143" i="9"/>
  <c r="L143" i="9"/>
  <c r="K143" i="9"/>
  <c r="J143" i="9"/>
  <c r="N142" i="9"/>
  <c r="M142" i="9"/>
  <c r="L142" i="9"/>
  <c r="K142" i="9"/>
  <c r="J142" i="9"/>
  <c r="N141" i="9"/>
  <c r="M141" i="9"/>
  <c r="N140" i="9"/>
  <c r="M140" i="9"/>
  <c r="L140" i="9"/>
  <c r="K140" i="9"/>
  <c r="J140" i="9"/>
  <c r="N139" i="9"/>
  <c r="M139" i="9"/>
  <c r="N138" i="9"/>
  <c r="M138" i="9"/>
  <c r="L138" i="9"/>
  <c r="K138" i="9"/>
  <c r="J138" i="9"/>
  <c r="N137" i="9"/>
  <c r="M137" i="9"/>
  <c r="L137" i="9"/>
  <c r="K137" i="9"/>
  <c r="J137" i="9"/>
  <c r="N136" i="9"/>
  <c r="M136" i="9"/>
  <c r="L136" i="9"/>
  <c r="K136" i="9"/>
  <c r="J136" i="9"/>
  <c r="N135" i="9"/>
  <c r="M135" i="9"/>
  <c r="L135" i="9"/>
  <c r="K135" i="9"/>
  <c r="J135" i="9"/>
  <c r="N134" i="9"/>
  <c r="M134" i="9"/>
  <c r="L134" i="9"/>
  <c r="K134" i="9"/>
  <c r="J134" i="9"/>
  <c r="N133" i="9"/>
  <c r="M133" i="9"/>
  <c r="L133" i="9"/>
  <c r="K133" i="9"/>
  <c r="J133" i="9"/>
  <c r="N132" i="9"/>
  <c r="M132" i="9"/>
  <c r="L132" i="9"/>
  <c r="K132" i="9"/>
  <c r="J132" i="9"/>
  <c r="N131" i="9"/>
  <c r="M131" i="9"/>
  <c r="N130" i="9"/>
  <c r="M130" i="9"/>
  <c r="L130" i="9"/>
  <c r="K130" i="9"/>
  <c r="J130" i="9"/>
  <c r="N129" i="9"/>
  <c r="M129" i="9"/>
  <c r="L129" i="9"/>
  <c r="K129" i="9"/>
  <c r="J129" i="9"/>
  <c r="N128" i="9"/>
  <c r="M128" i="9"/>
  <c r="L128" i="9"/>
  <c r="K128" i="9"/>
  <c r="J128" i="9"/>
  <c r="N127" i="9"/>
  <c r="M127" i="9"/>
  <c r="L127" i="9"/>
  <c r="K127" i="9"/>
  <c r="J127" i="9"/>
  <c r="N126" i="9"/>
  <c r="M126" i="9"/>
  <c r="L126" i="9"/>
  <c r="K126" i="9"/>
  <c r="J126" i="9"/>
  <c r="N125" i="9"/>
  <c r="M125" i="9"/>
  <c r="L125" i="9"/>
  <c r="K125" i="9"/>
  <c r="J125" i="9"/>
  <c r="N124" i="9"/>
  <c r="M124" i="9"/>
  <c r="N123" i="9"/>
  <c r="M123" i="9"/>
  <c r="N122" i="9"/>
  <c r="M122" i="9"/>
  <c r="N121" i="9"/>
  <c r="M121" i="9"/>
  <c r="L121" i="9"/>
  <c r="K121" i="9"/>
  <c r="N120" i="9"/>
  <c r="M120" i="9"/>
  <c r="L120" i="9"/>
  <c r="K120" i="9"/>
  <c r="N119" i="9"/>
  <c r="M119" i="9"/>
  <c r="L119" i="9"/>
  <c r="K119" i="9"/>
  <c r="J119" i="9"/>
  <c r="N118" i="9"/>
  <c r="M118" i="9"/>
  <c r="L118" i="9"/>
  <c r="K118" i="9"/>
  <c r="J118" i="9"/>
  <c r="N117" i="9"/>
  <c r="M117" i="9"/>
  <c r="L117" i="9"/>
  <c r="K117" i="9"/>
  <c r="J117" i="9"/>
  <c r="N116" i="9"/>
  <c r="M116" i="9"/>
  <c r="L116" i="9"/>
  <c r="K116" i="9"/>
  <c r="J116" i="9"/>
  <c r="N115" i="9"/>
  <c r="M115" i="9"/>
  <c r="L115" i="9"/>
  <c r="K115" i="9"/>
  <c r="J115" i="9"/>
  <c r="N114" i="9"/>
  <c r="M114" i="9"/>
  <c r="L114" i="9"/>
  <c r="K114" i="9"/>
  <c r="N113" i="9"/>
  <c r="M113" i="9"/>
  <c r="L113" i="9"/>
  <c r="K113" i="9"/>
  <c r="J113" i="9"/>
  <c r="N112" i="9"/>
  <c r="M112" i="9"/>
  <c r="L112" i="9"/>
  <c r="K112" i="9"/>
  <c r="J112" i="9"/>
  <c r="N111" i="9"/>
  <c r="M111" i="9"/>
  <c r="L111" i="9"/>
  <c r="K111" i="9"/>
  <c r="J111" i="9"/>
  <c r="N110" i="9"/>
  <c r="M110" i="9"/>
  <c r="L110" i="9"/>
  <c r="K110" i="9"/>
  <c r="J110" i="9"/>
  <c r="N109" i="9"/>
  <c r="M109" i="9"/>
  <c r="N108" i="9"/>
  <c r="M108" i="9"/>
  <c r="N107" i="9"/>
  <c r="M107" i="9"/>
  <c r="L107" i="9"/>
  <c r="K107" i="9"/>
  <c r="N106" i="9"/>
  <c r="M106" i="9"/>
  <c r="L106" i="9"/>
  <c r="K106" i="9"/>
  <c r="J106" i="9"/>
  <c r="N105" i="9"/>
  <c r="M105" i="9"/>
  <c r="L105" i="9"/>
  <c r="K105" i="9"/>
  <c r="J105" i="9"/>
  <c r="N104" i="9"/>
  <c r="M104" i="9"/>
  <c r="L104" i="9"/>
  <c r="K104" i="9"/>
  <c r="J104" i="9"/>
  <c r="N103" i="9"/>
  <c r="M103" i="9"/>
  <c r="L103" i="9"/>
  <c r="K103" i="9"/>
  <c r="J103" i="9"/>
  <c r="N102" i="9"/>
  <c r="M102" i="9"/>
  <c r="L102" i="9"/>
  <c r="K102" i="9"/>
  <c r="J102" i="9"/>
  <c r="N101" i="9"/>
  <c r="M101" i="9"/>
  <c r="L101" i="9"/>
  <c r="K101" i="9"/>
  <c r="J101" i="9"/>
  <c r="N100" i="9"/>
  <c r="M100" i="9"/>
  <c r="N99" i="9"/>
  <c r="M99" i="9"/>
  <c r="L99" i="9"/>
  <c r="K99" i="9"/>
  <c r="J99" i="9"/>
  <c r="N98" i="9"/>
  <c r="M98" i="9"/>
  <c r="L98" i="9"/>
  <c r="K98" i="9"/>
  <c r="J98" i="9"/>
  <c r="N97" i="9"/>
  <c r="M97" i="9"/>
  <c r="L97" i="9"/>
  <c r="K97" i="9"/>
  <c r="J97" i="9"/>
  <c r="N96" i="9"/>
  <c r="M96" i="9"/>
  <c r="L96" i="9"/>
  <c r="K96" i="9"/>
  <c r="J96" i="9"/>
  <c r="N95" i="9"/>
  <c r="M95" i="9"/>
  <c r="L95" i="9"/>
  <c r="K95" i="9"/>
  <c r="J95" i="9"/>
  <c r="N94" i="9"/>
  <c r="M94" i="9"/>
  <c r="L94" i="9"/>
  <c r="K94" i="9"/>
  <c r="J94" i="9"/>
  <c r="N93" i="9"/>
  <c r="M93" i="9"/>
  <c r="L93" i="9"/>
  <c r="K93" i="9"/>
  <c r="J93" i="9"/>
  <c r="N92" i="9"/>
  <c r="M92" i="9"/>
  <c r="L92" i="9"/>
  <c r="K92" i="9"/>
  <c r="J92" i="9"/>
  <c r="N91" i="9"/>
  <c r="M91" i="9"/>
  <c r="L91" i="9"/>
  <c r="K91" i="9"/>
  <c r="J91" i="9"/>
  <c r="N90" i="9"/>
  <c r="M90" i="9"/>
  <c r="L90" i="9"/>
  <c r="K90" i="9"/>
  <c r="J90" i="9"/>
  <c r="N89" i="9"/>
  <c r="M89" i="9"/>
  <c r="L89" i="9"/>
  <c r="K89" i="9"/>
  <c r="J89" i="9"/>
  <c r="N88" i="9"/>
  <c r="M88" i="9"/>
  <c r="L88" i="9"/>
  <c r="K88" i="9"/>
  <c r="J88" i="9"/>
  <c r="N87" i="9"/>
  <c r="M87" i="9"/>
  <c r="L87" i="9"/>
  <c r="K87" i="9"/>
  <c r="J87" i="9"/>
  <c r="N86" i="9"/>
  <c r="M86" i="9"/>
  <c r="L86" i="9"/>
  <c r="K86" i="9"/>
  <c r="J86" i="9"/>
  <c r="N85" i="9"/>
  <c r="M85" i="9"/>
  <c r="L85" i="9"/>
  <c r="K85" i="9"/>
  <c r="J85" i="9"/>
  <c r="N84" i="9"/>
  <c r="M84" i="9"/>
  <c r="L84" i="9"/>
  <c r="K84" i="9"/>
  <c r="J84" i="9"/>
  <c r="N83" i="9"/>
  <c r="M83" i="9"/>
  <c r="N82" i="9"/>
  <c r="M82" i="9"/>
  <c r="L82" i="9"/>
  <c r="K82" i="9"/>
  <c r="J82" i="9"/>
  <c r="N81" i="9"/>
  <c r="M81" i="9"/>
  <c r="L81" i="9"/>
  <c r="K81" i="9"/>
  <c r="J81" i="9"/>
  <c r="N80" i="9"/>
  <c r="M80" i="9"/>
  <c r="L80" i="9"/>
  <c r="K80" i="9"/>
  <c r="J80" i="9"/>
  <c r="N79" i="9"/>
  <c r="M79" i="9"/>
  <c r="L79" i="9"/>
  <c r="K79" i="9"/>
  <c r="J79" i="9"/>
  <c r="N78" i="9"/>
  <c r="M78" i="9"/>
  <c r="L78" i="9"/>
  <c r="K78" i="9"/>
  <c r="J78" i="9"/>
  <c r="N77" i="9"/>
  <c r="M77" i="9"/>
  <c r="L77" i="9"/>
  <c r="K77" i="9"/>
  <c r="J77" i="9"/>
  <c r="N76" i="9"/>
  <c r="M76" i="9"/>
  <c r="L76" i="9"/>
  <c r="K76" i="9"/>
  <c r="J76" i="9"/>
  <c r="N75" i="9"/>
  <c r="M75" i="9"/>
  <c r="L75" i="9"/>
  <c r="K75" i="9"/>
  <c r="J75" i="9"/>
  <c r="N74" i="9"/>
  <c r="M74" i="9"/>
  <c r="L74" i="9"/>
  <c r="K74" i="9"/>
  <c r="J74" i="9"/>
  <c r="N73" i="9"/>
  <c r="M73" i="9"/>
  <c r="L73" i="9"/>
  <c r="K73" i="9"/>
  <c r="J73" i="9"/>
  <c r="N72" i="9"/>
  <c r="M72" i="9"/>
  <c r="L72" i="9"/>
  <c r="K72" i="9"/>
  <c r="J72" i="9"/>
  <c r="N71" i="9"/>
  <c r="M71" i="9"/>
  <c r="N70" i="9"/>
  <c r="M70" i="9"/>
  <c r="L70" i="9"/>
  <c r="K70" i="9"/>
  <c r="J70" i="9"/>
  <c r="N69" i="9"/>
  <c r="M69" i="9"/>
  <c r="N68" i="9"/>
  <c r="M68" i="9"/>
  <c r="L68" i="9"/>
  <c r="K68" i="9"/>
  <c r="J68" i="9"/>
  <c r="N67" i="9"/>
  <c r="M67" i="9"/>
  <c r="N66" i="9"/>
  <c r="M66" i="9"/>
  <c r="L66" i="9"/>
  <c r="K66" i="9"/>
  <c r="J66" i="9"/>
  <c r="N65" i="9"/>
  <c r="M65" i="9"/>
  <c r="N64" i="9"/>
  <c r="M64" i="9"/>
  <c r="L64" i="9"/>
  <c r="K64" i="9"/>
  <c r="J64" i="9"/>
  <c r="N63" i="9"/>
  <c r="M63" i="9"/>
  <c r="L63" i="9"/>
  <c r="K63" i="9"/>
  <c r="J63" i="9"/>
  <c r="N62" i="9"/>
  <c r="M62" i="9"/>
  <c r="L62" i="9"/>
  <c r="K62" i="9"/>
  <c r="J62" i="9"/>
  <c r="N61" i="9"/>
  <c r="M61" i="9"/>
  <c r="L61" i="9"/>
  <c r="K61" i="9"/>
  <c r="J61" i="9"/>
  <c r="N60" i="9"/>
  <c r="M60" i="9"/>
  <c r="L60" i="9"/>
  <c r="K60" i="9"/>
  <c r="J60" i="9"/>
  <c r="N59" i="9"/>
  <c r="M59" i="9"/>
  <c r="L59" i="9"/>
  <c r="K59" i="9"/>
  <c r="J59" i="9"/>
  <c r="N58" i="9"/>
  <c r="M58" i="9"/>
  <c r="L58" i="9"/>
  <c r="K58" i="9"/>
  <c r="J58" i="9"/>
  <c r="N57" i="9"/>
  <c r="M57" i="9"/>
  <c r="N56" i="9"/>
  <c r="M56" i="9"/>
  <c r="N55" i="9"/>
  <c r="M55" i="9"/>
  <c r="L55" i="9"/>
  <c r="K55" i="9"/>
  <c r="J55" i="9"/>
  <c r="N54" i="9"/>
  <c r="M54" i="9"/>
  <c r="L54" i="9"/>
  <c r="K54" i="9"/>
  <c r="J54" i="9"/>
  <c r="N53" i="9"/>
  <c r="M53" i="9"/>
  <c r="N52" i="9"/>
  <c r="M52" i="9"/>
  <c r="N51" i="9"/>
  <c r="M51" i="9"/>
  <c r="N50" i="9"/>
  <c r="M50" i="9"/>
  <c r="N49" i="9"/>
  <c r="M49" i="9"/>
  <c r="N48" i="9"/>
  <c r="M48" i="9"/>
  <c r="L48" i="9"/>
  <c r="K48" i="9"/>
  <c r="J48" i="9"/>
  <c r="N47" i="9"/>
  <c r="M47" i="9"/>
  <c r="N46" i="9"/>
  <c r="M46" i="9"/>
  <c r="N45" i="9"/>
  <c r="M45" i="9"/>
  <c r="L45" i="9"/>
  <c r="K45" i="9"/>
  <c r="J45" i="9"/>
  <c r="N44" i="9"/>
  <c r="M44" i="9"/>
  <c r="L44" i="9"/>
  <c r="K44" i="9"/>
  <c r="J44" i="9"/>
  <c r="N43" i="9"/>
  <c r="M43" i="9"/>
  <c r="N42" i="9"/>
  <c r="M42" i="9"/>
  <c r="N41" i="9"/>
  <c r="M41" i="9"/>
  <c r="L41" i="9"/>
  <c r="K41" i="9"/>
  <c r="J41" i="9"/>
  <c r="N40" i="9"/>
  <c r="M40" i="9"/>
  <c r="L40" i="9"/>
  <c r="K40" i="9"/>
  <c r="J40" i="9"/>
  <c r="N39" i="9"/>
  <c r="M39" i="9"/>
  <c r="L39" i="9"/>
  <c r="K39" i="9"/>
  <c r="J39" i="9"/>
  <c r="N38" i="9"/>
  <c r="M38" i="9"/>
  <c r="N37" i="9"/>
  <c r="M37" i="9"/>
  <c r="N36" i="9"/>
  <c r="M36" i="9"/>
  <c r="L36" i="9"/>
  <c r="K36" i="9"/>
  <c r="J36" i="9"/>
  <c r="N35" i="9"/>
  <c r="M35" i="9"/>
  <c r="L35" i="9"/>
  <c r="K35" i="9"/>
  <c r="J35" i="9"/>
  <c r="N34" i="9"/>
  <c r="M34" i="9"/>
  <c r="L34" i="9"/>
  <c r="K34" i="9"/>
  <c r="J34" i="9"/>
  <c r="N33" i="9"/>
  <c r="M33" i="9"/>
  <c r="N32" i="9"/>
  <c r="M32" i="9"/>
  <c r="L32" i="9"/>
  <c r="K32" i="9"/>
  <c r="J32" i="9"/>
  <c r="N31" i="9"/>
  <c r="M31" i="9"/>
  <c r="L31" i="9"/>
  <c r="K31" i="9"/>
  <c r="J31" i="9"/>
  <c r="N30" i="9"/>
  <c r="M30" i="9"/>
  <c r="L30" i="9"/>
  <c r="K30" i="9"/>
  <c r="J30" i="9"/>
  <c r="N29" i="9"/>
  <c r="M29" i="9"/>
  <c r="N28" i="9"/>
  <c r="M28" i="9"/>
  <c r="L28" i="9"/>
  <c r="K28" i="9"/>
  <c r="J28" i="9"/>
  <c r="N27" i="9"/>
  <c r="M27" i="9"/>
  <c r="L27" i="9"/>
  <c r="K27" i="9"/>
  <c r="J27" i="9"/>
  <c r="N26" i="9"/>
  <c r="M26" i="9"/>
  <c r="L26" i="9"/>
  <c r="K26" i="9"/>
  <c r="J26" i="9"/>
  <c r="N25" i="9"/>
  <c r="M25" i="9"/>
  <c r="L25" i="9"/>
  <c r="K25" i="9"/>
  <c r="J25" i="9"/>
  <c r="N24" i="9"/>
  <c r="M24" i="9"/>
  <c r="L24" i="9"/>
  <c r="K24" i="9"/>
  <c r="J24" i="9"/>
  <c r="N23" i="9"/>
  <c r="M23" i="9"/>
  <c r="N22" i="9"/>
  <c r="M22" i="9"/>
  <c r="N21" i="9"/>
  <c r="M21" i="9"/>
  <c r="N20" i="9"/>
  <c r="M20" i="9"/>
  <c r="N19" i="9"/>
  <c r="M19" i="9"/>
  <c r="L19" i="9"/>
  <c r="K19" i="9"/>
  <c r="J19" i="9"/>
  <c r="N18" i="9"/>
  <c r="M18" i="9"/>
  <c r="L18" i="9"/>
  <c r="K18" i="9"/>
  <c r="J18" i="9"/>
  <c r="N17" i="9"/>
  <c r="M17" i="9"/>
  <c r="L17" i="9"/>
  <c r="K17" i="9"/>
  <c r="J17" i="9"/>
  <c r="N16" i="9"/>
  <c r="M16" i="9"/>
  <c r="N15" i="9"/>
  <c r="M15" i="9"/>
  <c r="L15" i="9"/>
  <c r="K15" i="9"/>
  <c r="J15" i="9"/>
  <c r="N14" i="9"/>
  <c r="M14" i="9"/>
  <c r="N13" i="9"/>
  <c r="M13" i="9"/>
  <c r="L13" i="9"/>
  <c r="K13" i="9"/>
  <c r="J13" i="9"/>
  <c r="N12" i="9"/>
  <c r="M12" i="9"/>
  <c r="L12" i="9"/>
  <c r="K12" i="9"/>
  <c r="J12" i="9"/>
  <c r="N11" i="9"/>
  <c r="M11" i="9"/>
  <c r="L11" i="9"/>
  <c r="K11" i="9"/>
  <c r="J11" i="9"/>
  <c r="N10" i="9"/>
  <c r="M10" i="9"/>
  <c r="L10" i="9"/>
  <c r="K10" i="9"/>
  <c r="J10" i="9"/>
  <c r="N9" i="9"/>
  <c r="M9" i="9"/>
  <c r="L9" i="9"/>
  <c r="K9" i="9"/>
  <c r="J9" i="9"/>
  <c r="N8" i="9"/>
  <c r="M8" i="9"/>
  <c r="L8" i="9"/>
  <c r="K8" i="9"/>
  <c r="J8" i="9"/>
  <c r="N7" i="9"/>
  <c r="M7" i="9"/>
  <c r="L7" i="9"/>
  <c r="K7" i="9"/>
  <c r="J7" i="9"/>
  <c r="N6" i="9"/>
  <c r="M6" i="9"/>
  <c r="L6" i="9"/>
  <c r="K6" i="9"/>
  <c r="J6" i="9"/>
  <c r="N5" i="9"/>
  <c r="M5" i="9"/>
  <c r="L5" i="9"/>
  <c r="K5" i="9"/>
  <c r="J5" i="9"/>
  <c r="N4" i="9"/>
  <c r="M4" i="9"/>
  <c r="N3" i="9"/>
  <c r="M3" i="9"/>
  <c r="L3" i="9"/>
  <c r="K3" i="9"/>
  <c r="J3" i="9"/>
  <c r="N2" i="9"/>
  <c r="M2" i="9"/>
  <c r="L2" i="9"/>
  <c r="K2" i="9"/>
  <c r="J2" i="9"/>
  <c r="D9" i="8" l="1"/>
  <c r="D13" i="8" s="1"/>
  <c r="F9" i="8" l="1"/>
  <c r="H9" i="8" l="1"/>
  <c r="F13" i="8"/>
  <c r="H1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60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按实际面积签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79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280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Administrator</author>
  </authors>
  <commentList>
    <comment ref="D4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图纸309方建筑面积</t>
        </r>
      </text>
    </comment>
    <comment ref="M4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图纸309方建筑面积</t>
        </r>
      </text>
    </comment>
    <comment ref="D7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959.18/65%=1475方，与图纸相符。签约是用实际面积959.18方</t>
        </r>
      </text>
    </comment>
    <comment ref="M7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959.18/65%=1475方，与图纸相符。签约是用实际面积959.18方</t>
        </r>
      </text>
    </comment>
    <comment ref="D9" authorId="1" shapeId="0" xr:uid="{00000000-0006-0000-0600-00000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209.210</t>
        </r>
      </text>
    </comment>
    <comment ref="M9" authorId="1" shapeId="0" xr:uid="{00000000-0006-0000-0600-00000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209.210</t>
        </r>
      </text>
    </comment>
    <comment ref="D11" authorId="0" shapeId="0" xr:uid="{00000000-0006-0000-0600-000007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图纸497
</t>
        </r>
      </text>
    </comment>
    <comment ref="M11" authorId="0" shapeId="0" xr:uid="{00000000-0006-0000-0600-000008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图纸497
</t>
        </r>
      </text>
    </comment>
    <comment ref="D13" authorId="0" shapeId="0" xr:uid="{00000000-0006-0000-0600-000009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213铺229㎡+216铺188㎡=417㎡</t>
        </r>
      </text>
    </comment>
    <comment ref="M13" authorId="0" shapeId="0" xr:uid="{00000000-0006-0000-0600-00000A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213铺229㎡+216铺188㎡=417㎡</t>
        </r>
      </text>
    </comment>
    <comment ref="D14" authorId="1" shapeId="0" xr:uid="{00000000-0006-0000-0600-00000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图纸306方</t>
        </r>
      </text>
    </comment>
    <comment ref="M14" authorId="1" shapeId="0" xr:uid="{00000000-0006-0000-0600-00000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图纸306方</t>
        </r>
      </text>
    </comment>
    <comment ref="D16" authorId="0" shapeId="0" xr:uid="{00000000-0006-0000-0600-00000D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原建筑面积929方，报告申请335方。</t>
        </r>
      </text>
    </comment>
    <comment ref="M16" authorId="0" shapeId="0" xr:uid="{00000000-0006-0000-0600-00000E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原建筑面积929方，报告申请335方。</t>
        </r>
      </text>
    </comment>
    <comment ref="D21" authorId="1" shapeId="0" xr:uid="{00000000-0006-0000-0600-00000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(原313-1图纸594，重新测量后575)      
311-1拆分出317、319</t>
        </r>
      </text>
    </comment>
    <comment ref="M21" authorId="1" shapeId="0" xr:uid="{00000000-0006-0000-0600-00001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(原313-1图纸594，重新测量后575)      
311-1拆分出317、319</t>
        </r>
      </text>
    </comment>
    <comment ref="D22" authorId="1" shapeId="0" xr:uid="{00000000-0006-0000-0600-00001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图纸332方</t>
        </r>
      </text>
    </comment>
    <comment ref="M22" authorId="1" shapeId="0" xr:uid="{00000000-0006-0000-0600-00001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图纸332方</t>
        </r>
      </text>
    </comment>
    <comment ref="C25" authorId="1" shapeId="0" xr:uid="{00000000-0006-0000-0600-00001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5楼没有备案号可用，使用4楼415编号注册公司</t>
        </r>
      </text>
    </comment>
    <comment ref="D25" authorId="1" shapeId="0" xr:uid="{00000000-0006-0000-0600-00001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面积1564㎡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313" authorId="0" shapeId="0" xr:uid="{00000000-0006-0000-07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图纸48.85</t>
        </r>
      </text>
    </comment>
    <comment ref="D766" authorId="0" shapeId="0" xr:uid="{00000000-0006-0000-0700-000002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实用面积，不含阳台</t>
        </r>
      </text>
    </comment>
  </commentList>
</comments>
</file>

<file path=xl/sharedStrings.xml><?xml version="1.0" encoding="utf-8"?>
<sst xmlns="http://schemas.openxmlformats.org/spreadsheetml/2006/main" count="8567" uniqueCount="2577">
  <si>
    <t>各市场招商月报</t>
  </si>
  <si>
    <t>3月</t>
  </si>
  <si>
    <t>可出租面积总数</t>
  </si>
  <si>
    <t>未出租数据</t>
  </si>
  <si>
    <t>已出租数据</t>
  </si>
  <si>
    <t>出租率</t>
  </si>
  <si>
    <t>备注</t>
  </si>
  <si>
    <t>面积（㎡）</t>
  </si>
  <si>
    <t>间数</t>
  </si>
  <si>
    <t>面积</t>
  </si>
  <si>
    <t>皮具城</t>
  </si>
  <si>
    <t>鞋城</t>
  </si>
  <si>
    <t>创意园</t>
  </si>
  <si>
    <t>国大纺织中心</t>
  </si>
  <si>
    <t>国大广场</t>
  </si>
  <si>
    <t>兆丰壹号</t>
  </si>
  <si>
    <t>国大云汀汇/76号仓</t>
  </si>
  <si>
    <t>庆丰二路/腊味厂/雅赛</t>
  </si>
  <si>
    <t>金澎来</t>
  </si>
  <si>
    <t>项目总合计</t>
  </si>
  <si>
    <t>主体</t>
  </si>
  <si>
    <t>楼层编号</t>
  </si>
  <si>
    <t>档口号</t>
  </si>
  <si>
    <t>合同出租面积</t>
  </si>
  <si>
    <t>招商租金单价</t>
  </si>
  <si>
    <t>管理费</t>
  </si>
  <si>
    <t>档口状态</t>
  </si>
  <si>
    <t>定金情况</t>
  </si>
  <si>
    <t>合同情况</t>
  </si>
  <si>
    <t>签合同日期</t>
  </si>
  <si>
    <t>合同起租日</t>
  </si>
  <si>
    <t>合同到期日</t>
  </si>
  <si>
    <t>已出租面积</t>
  </si>
  <si>
    <t>未出租面积</t>
  </si>
  <si>
    <t>跟进招商人员</t>
  </si>
  <si>
    <t>国大云汀汇-全盛</t>
  </si>
  <si>
    <t>一楼</t>
  </si>
  <si>
    <t>B01/B02</t>
  </si>
  <si>
    <t>已租</t>
  </si>
  <si>
    <t>B04</t>
  </si>
  <si>
    <t>B05/B07</t>
  </si>
  <si>
    <t>B06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</si>
  <si>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</si>
  <si>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</si>
  <si>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</si>
  <si>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</si>
  <si>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</si>
  <si>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</si>
  <si>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</si>
  <si>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</si>
  <si>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</si>
  <si>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</si>
  <si>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B18/B19</t>
  </si>
  <si>
    <t>B20/B21/B22</t>
  </si>
  <si>
    <t>B23</t>
  </si>
  <si>
    <t>国大云汀汇-大管家</t>
  </si>
  <si>
    <t>C101</t>
  </si>
  <si>
    <t>C102</t>
  </si>
  <si>
    <t>C103/103A</t>
  </si>
  <si>
    <t>C105</t>
  </si>
  <si>
    <t>C106</t>
  </si>
  <si>
    <t>C107</t>
  </si>
  <si>
    <t>C108</t>
  </si>
  <si>
    <t>C109</t>
  </si>
  <si>
    <t>C110</t>
  </si>
  <si>
    <t>C111</t>
  </si>
  <si>
    <t>二楼</t>
  </si>
  <si>
    <t>C201</t>
  </si>
  <si>
    <t>C202</t>
  </si>
  <si>
    <t>C203</t>
  </si>
  <si>
    <t>C203A</t>
  </si>
  <si>
    <t>C205/206</t>
  </si>
  <si>
    <t>C207</t>
  </si>
  <si>
    <t>C208</t>
  </si>
  <si>
    <t>未出租</t>
  </si>
  <si>
    <t>C209</t>
  </si>
  <si>
    <t>已签合同</t>
  </si>
  <si>
    <t>2026.3.25</t>
  </si>
  <si>
    <t>2026.4.01</t>
  </si>
  <si>
    <t>2027.3.31</t>
  </si>
  <si>
    <t>刘</t>
  </si>
  <si>
    <t>C210</t>
  </si>
  <si>
    <t>已交定金</t>
  </si>
  <si>
    <t>C211</t>
  </si>
  <si>
    <t>C212</t>
  </si>
  <si>
    <t>C213/213A/215/216</t>
  </si>
  <si>
    <t>合同270方</t>
  </si>
  <si>
    <t>C217/C218/C219/C220/C211</t>
  </si>
  <si>
    <t>合同372方</t>
  </si>
  <si>
    <t>C218</t>
  </si>
  <si>
    <t>C219</t>
  </si>
  <si>
    <t>C220</t>
  </si>
  <si>
    <t>C221</t>
  </si>
  <si>
    <t>C222</t>
  </si>
  <si>
    <t>三楼</t>
  </si>
  <si>
    <t>C301</t>
  </si>
  <si>
    <t>C302</t>
  </si>
  <si>
    <t>C303</t>
  </si>
  <si>
    <t>C303A</t>
  </si>
  <si>
    <t>C305</t>
  </si>
  <si>
    <t>C305-1</t>
  </si>
  <si>
    <t>C306</t>
  </si>
  <si>
    <t>D101</t>
  </si>
  <si>
    <t>D102</t>
  </si>
  <si>
    <t>D103/D103A</t>
  </si>
  <si>
    <t>D105</t>
  </si>
  <si>
    <t>D106</t>
  </si>
  <si>
    <t>未交付未出单收费</t>
  </si>
  <si>
    <t>已交3押1租</t>
  </si>
  <si>
    <t>D201</t>
  </si>
  <si>
    <t>D202</t>
  </si>
  <si>
    <t>D301/302</t>
  </si>
  <si>
    <t>四楼</t>
  </si>
  <si>
    <t>D401/402</t>
  </si>
  <si>
    <t>五楼</t>
  </si>
  <si>
    <t>H4栋501/502</t>
  </si>
  <si>
    <t>E101</t>
  </si>
  <si>
    <t>E102</t>
  </si>
  <si>
    <t>E102A</t>
  </si>
  <si>
    <t>E103</t>
  </si>
  <si>
    <t>E103A</t>
  </si>
  <si>
    <t>E105</t>
  </si>
  <si>
    <t>E106/E108</t>
  </si>
  <si>
    <t>E201-203</t>
  </si>
  <si>
    <t>E205</t>
  </si>
  <si>
    <t>莫绮媚</t>
  </si>
  <si>
    <t>E204/206</t>
  </si>
  <si>
    <t>E206/208</t>
  </si>
  <si>
    <t>E301-306</t>
  </si>
  <si>
    <t>E401-402</t>
  </si>
  <si>
    <t>E403/403A</t>
  </si>
  <si>
    <t>E501</t>
  </si>
  <si>
    <t>E502</t>
  </si>
  <si>
    <t>F101/F102</t>
  </si>
  <si>
    <t>F103/F103A/F105</t>
  </si>
  <si>
    <t>F106</t>
  </si>
  <si>
    <t>F107/F108</t>
  </si>
  <si>
    <t>F207/F208</t>
  </si>
  <si>
    <t>F205/F206</t>
  </si>
  <si>
    <t>J105</t>
  </si>
  <si>
    <t>J102</t>
  </si>
  <si>
    <t>J103</t>
  </si>
  <si>
    <t>H116/J103A</t>
  </si>
  <si>
    <t>H101/J101</t>
  </si>
  <si>
    <t>H102</t>
  </si>
  <si>
    <t>H103</t>
  </si>
  <si>
    <t>H106/107</t>
  </si>
  <si>
    <t>H108</t>
  </si>
  <si>
    <t>H109/110</t>
  </si>
  <si>
    <t>H111/112</t>
  </si>
  <si>
    <t>H113/113A</t>
  </si>
  <si>
    <t>H115</t>
  </si>
  <si>
    <t>H117</t>
  </si>
  <si>
    <t>H118</t>
  </si>
  <si>
    <t>H119</t>
  </si>
  <si>
    <t>H201/202</t>
  </si>
  <si>
    <t>H203</t>
  </si>
  <si>
    <t>H203A</t>
  </si>
  <si>
    <t>H205</t>
  </si>
  <si>
    <t>H206</t>
  </si>
  <si>
    <t>H207</t>
  </si>
  <si>
    <t>H208</t>
  </si>
  <si>
    <t>H209</t>
  </si>
  <si>
    <t>H301</t>
  </si>
  <si>
    <t>G101/102/103/103A</t>
  </si>
  <si>
    <t>G105/106</t>
  </si>
  <si>
    <t>G107</t>
  </si>
  <si>
    <t>G108</t>
  </si>
  <si>
    <t>G109</t>
  </si>
  <si>
    <t>G111</t>
  </si>
  <si>
    <t>G112</t>
  </si>
  <si>
    <t>G113/113A</t>
  </si>
  <si>
    <t>G115/116/117/118</t>
  </si>
  <si>
    <t>G119</t>
  </si>
  <si>
    <t>G120</t>
  </si>
  <si>
    <t>G121</t>
  </si>
  <si>
    <t>G201</t>
  </si>
  <si>
    <t>G202</t>
  </si>
  <si>
    <t>G203/G205</t>
  </si>
  <si>
    <t>G203A/206</t>
  </si>
  <si>
    <t>G207</t>
  </si>
  <si>
    <t>借用</t>
  </si>
  <si>
    <t>G208</t>
  </si>
  <si>
    <t>G209</t>
  </si>
  <si>
    <t>G210</t>
  </si>
  <si>
    <t>G211/212/213</t>
  </si>
  <si>
    <t>G213A/G215</t>
  </si>
  <si>
    <t>G216</t>
  </si>
  <si>
    <t>G217</t>
  </si>
  <si>
    <t>G218</t>
  </si>
  <si>
    <t>L101</t>
  </si>
  <si>
    <t>李伟</t>
  </si>
  <si>
    <t>26.3.23</t>
  </si>
  <si>
    <t>L102</t>
  </si>
  <si>
    <t>L103</t>
  </si>
  <si>
    <t>L103A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</si>
  <si>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</si>
  <si>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</si>
  <si>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</si>
  <si>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</si>
  <si>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</si>
  <si>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</si>
  <si>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</si>
  <si>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</si>
  <si>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</si>
  <si>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L113A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</si>
  <si>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</si>
  <si>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</si>
  <si>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</si>
  <si>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</si>
  <si>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</si>
  <si>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</si>
  <si>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</si>
  <si>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</si>
  <si>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</si>
  <si>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L123A</t>
  </si>
  <si>
    <t>L125</t>
  </si>
  <si>
    <t>L126</t>
  </si>
  <si>
    <t>L201</t>
  </si>
  <si>
    <t>L202</t>
  </si>
  <si>
    <t>L203</t>
  </si>
  <si>
    <t>L203A</t>
  </si>
  <si>
    <t>L205</t>
  </si>
  <si>
    <t>L206</t>
  </si>
  <si>
    <t>L207</t>
  </si>
  <si>
    <t>L208/209</t>
  </si>
  <si>
    <t>L210</t>
  </si>
  <si>
    <t>L211</t>
  </si>
  <si>
    <t>L212</t>
  </si>
  <si>
    <t>郭秀林</t>
  </si>
  <si>
    <t>26.3.19</t>
  </si>
  <si>
    <t>L213</t>
  </si>
  <si>
    <t>L213A</t>
  </si>
  <si>
    <t>L215</t>
  </si>
  <si>
    <t>已签</t>
  </si>
  <si>
    <t>2026.3.24</t>
  </si>
  <si>
    <t>2026.4.4</t>
  </si>
  <si>
    <t>2029.03.31</t>
  </si>
  <si>
    <t>L216</t>
  </si>
  <si>
    <t>L217/218/219/220/221/222/223/223A/225/226/227/228/229/230/231/232/233/233A/235</t>
  </si>
  <si>
    <t>奥莱</t>
  </si>
  <si>
    <t>M101</t>
  </si>
  <si>
    <t>M102</t>
  </si>
  <si>
    <t>M103</t>
  </si>
  <si>
    <t>M103A</t>
  </si>
  <si>
    <t>M105</t>
  </si>
  <si>
    <t>M106</t>
  </si>
  <si>
    <t>M107</t>
  </si>
  <si>
    <t>M108</t>
  </si>
  <si>
    <t>M109</t>
  </si>
  <si>
    <t>M110</t>
  </si>
  <si>
    <t>M111</t>
  </si>
  <si>
    <t>M112/113/113A</t>
  </si>
  <si>
    <t>M115</t>
  </si>
  <si>
    <t>M116</t>
  </si>
  <si>
    <t>M117</t>
  </si>
  <si>
    <t>M118</t>
  </si>
  <si>
    <t>M119</t>
  </si>
  <si>
    <t>M120/121</t>
  </si>
  <si>
    <t>M122</t>
  </si>
  <si>
    <t>M123/123A/125</t>
  </si>
  <si>
    <t>N101/102/103</t>
  </si>
  <si>
    <t>N103A</t>
  </si>
  <si>
    <t>N105</t>
  </si>
  <si>
    <t>N106</t>
  </si>
  <si>
    <t>N107</t>
  </si>
  <si>
    <t>N108</t>
  </si>
  <si>
    <t>N109/110</t>
  </si>
  <si>
    <t>N111/112</t>
  </si>
  <si>
    <t>N113</t>
  </si>
  <si>
    <t>N114</t>
  </si>
  <si>
    <t>N115</t>
  </si>
  <si>
    <t>N116</t>
  </si>
  <si>
    <t>N117</t>
  </si>
  <si>
    <t>N118</t>
  </si>
  <si>
    <t>N119</t>
  </si>
  <si>
    <t>N120/121</t>
  </si>
  <si>
    <t>N122/123</t>
  </si>
  <si>
    <t>P101</t>
  </si>
  <si>
    <t>P102</t>
  </si>
  <si>
    <t>P103</t>
  </si>
  <si>
    <t>P103A</t>
  </si>
  <si>
    <t>P105</t>
  </si>
  <si>
    <t>P106/107/108/109</t>
  </si>
  <si>
    <t>P110/111</t>
  </si>
  <si>
    <t>P112/113</t>
  </si>
  <si>
    <t>P113A</t>
  </si>
  <si>
    <t>P115</t>
  </si>
  <si>
    <t>P116</t>
  </si>
  <si>
    <t>P117</t>
  </si>
  <si>
    <t>P118</t>
  </si>
  <si>
    <t>P119</t>
  </si>
  <si>
    <t>P120</t>
  </si>
  <si>
    <t>P121/122/123</t>
  </si>
  <si>
    <t>P123A</t>
  </si>
  <si>
    <t>P125</t>
  </si>
  <si>
    <t>P126</t>
  </si>
  <si>
    <t>P127</t>
  </si>
  <si>
    <t>P128</t>
  </si>
  <si>
    <t>R101A</t>
  </si>
  <si>
    <t>R101</t>
  </si>
  <si>
    <t>R102/103</t>
  </si>
  <si>
    <t>R103A</t>
  </si>
  <si>
    <t>R105</t>
  </si>
  <si>
    <t>R106/107/108</t>
  </si>
  <si>
    <t>R109/110/111</t>
  </si>
  <si>
    <t>R112/113</t>
  </si>
  <si>
    <t>R113A</t>
  </si>
  <si>
    <t>R115</t>
  </si>
  <si>
    <t>R201</t>
  </si>
  <si>
    <t>R202</t>
  </si>
  <si>
    <t>R203</t>
  </si>
  <si>
    <t>R203A</t>
  </si>
  <si>
    <t>R205</t>
  </si>
  <si>
    <t>R206/207</t>
  </si>
  <si>
    <t>R208</t>
  </si>
  <si>
    <t>R209</t>
  </si>
  <si>
    <t>R210</t>
  </si>
  <si>
    <t>R211</t>
  </si>
  <si>
    <t>R212</t>
  </si>
  <si>
    <t>R213</t>
  </si>
  <si>
    <t>R213A</t>
  </si>
  <si>
    <t>R215</t>
  </si>
  <si>
    <t>R216</t>
  </si>
  <si>
    <t>R217</t>
  </si>
  <si>
    <t>R218</t>
  </si>
  <si>
    <t>R219</t>
  </si>
  <si>
    <t>国大云汀汇-大管家-76号仓</t>
  </si>
  <si>
    <t>T101</t>
  </si>
  <si>
    <t>T102</t>
  </si>
  <si>
    <t>T103</t>
  </si>
  <si>
    <t>T103A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</si>
  <si>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</si>
  <si>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</si>
  <si>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</si>
  <si>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</si>
  <si>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</si>
  <si>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</si>
  <si>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</si>
  <si>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</si>
  <si>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</si>
  <si>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T113A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</si>
  <si>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</si>
  <si>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</si>
  <si>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</si>
  <si>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</si>
  <si>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</si>
  <si>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</si>
  <si>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</si>
  <si>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</si>
  <si>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</si>
  <si>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T123A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</si>
  <si>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</si>
  <si>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</si>
  <si>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</si>
  <si>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</si>
  <si>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</si>
  <si>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</si>
  <si>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</si>
  <si>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</si>
  <si>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</si>
  <si>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T133A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</si>
  <si>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</si>
  <si>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</si>
  <si>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</si>
  <si>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</si>
  <si>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</si>
  <si>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</si>
  <si>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</si>
  <si>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</si>
  <si>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</si>
  <si>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T143A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</si>
  <si>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</si>
  <si>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</si>
  <si>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</si>
  <si>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</si>
  <si>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</si>
  <si>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</si>
  <si>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</si>
  <si>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</si>
  <si>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</si>
  <si>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T153A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</si>
  <si>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</si>
  <si>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</si>
  <si>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</si>
  <si>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</si>
  <si>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</si>
  <si>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</si>
  <si>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</si>
  <si>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</si>
  <si>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</si>
  <si>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T163A</t>
  </si>
  <si>
    <t>S101</t>
  </si>
  <si>
    <t>S102</t>
  </si>
  <si>
    <t>S103</t>
  </si>
  <si>
    <t>S103A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</si>
  <si>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</si>
  <si>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</si>
  <si>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</si>
  <si>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</si>
  <si>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</si>
  <si>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</si>
  <si>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</si>
  <si>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</si>
  <si>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</si>
  <si>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S113A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</si>
  <si>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</si>
  <si>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</si>
  <si>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</si>
  <si>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</si>
  <si>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</si>
  <si>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</si>
  <si>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</si>
  <si>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</si>
  <si>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</si>
  <si>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S123A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</si>
  <si>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</si>
  <si>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</si>
  <si>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</si>
  <si>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</si>
  <si>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</si>
  <si>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</si>
  <si>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</si>
  <si>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</si>
  <si>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</si>
  <si>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S133A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</si>
  <si>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</si>
  <si>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</si>
  <si>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</si>
  <si>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</si>
  <si>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</si>
  <si>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</si>
  <si>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</si>
  <si>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</si>
  <si>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</si>
  <si>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S143A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</si>
  <si>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</si>
  <si>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</si>
  <si>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</si>
  <si>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</si>
  <si>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</si>
  <si>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</si>
  <si>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</si>
  <si>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</si>
  <si>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</si>
  <si>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S153A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</si>
  <si>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</si>
  <si>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</si>
  <si>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</si>
  <si>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</si>
  <si>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</si>
  <si>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</si>
  <si>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</si>
  <si>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</si>
  <si>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</si>
  <si>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S163A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</si>
  <si>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</si>
  <si>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</si>
  <si>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</si>
  <si>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</si>
  <si>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</si>
  <si>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</si>
  <si>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</si>
  <si>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</si>
  <si>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</si>
  <si>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S173A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</si>
  <si>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</si>
  <si>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</si>
  <si>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</si>
  <si>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</si>
  <si>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</si>
  <si>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</si>
  <si>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</si>
  <si>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</si>
  <si>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</si>
  <si>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S183A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</si>
  <si>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</si>
  <si>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</si>
  <si>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</si>
  <si>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</si>
  <si>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</si>
  <si>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</si>
  <si>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</si>
  <si>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</si>
  <si>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</si>
  <si>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</si>
  <si>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</si>
  <si>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</si>
  <si>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</si>
  <si>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</si>
  <si>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</si>
  <si>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</si>
  <si>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</si>
  <si>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</si>
  <si>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</si>
  <si>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</si>
  <si>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</si>
  <si>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</si>
  <si>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</si>
  <si>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</si>
  <si>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</si>
  <si>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</si>
  <si>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</si>
  <si>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</si>
  <si>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</si>
  <si>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</si>
  <si>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</si>
  <si>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</si>
  <si>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</si>
  <si>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</si>
  <si>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</si>
  <si>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</si>
  <si>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</si>
  <si>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S213</t>
  </si>
  <si>
    <t>S214</t>
  </si>
  <si>
    <t>S215</t>
  </si>
  <si>
    <t>S216</t>
  </si>
  <si>
    <t>S217</t>
  </si>
  <si>
    <t>S218</t>
  </si>
  <si>
    <t>S219</t>
  </si>
  <si>
    <t>S220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</si>
  <si>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</si>
  <si>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</si>
  <si>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</si>
  <si>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</si>
  <si>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</si>
  <si>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</si>
  <si>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</si>
  <si>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</si>
  <si>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</si>
  <si>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</si>
  <si>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</si>
  <si>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</si>
  <si>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一楼商铺</t>
  </si>
  <si>
    <t>1A01</t>
  </si>
  <si>
    <t>1A02</t>
  </si>
  <si>
    <t>1A03/A04</t>
  </si>
  <si>
    <t>1A05</t>
  </si>
  <si>
    <t>1A06</t>
  </si>
  <si>
    <t>1A07</t>
  </si>
  <si>
    <t>1A08</t>
  </si>
  <si>
    <t>1A09</t>
  </si>
  <si>
    <t>1A10</t>
  </si>
  <si>
    <t>1A11</t>
  </si>
  <si>
    <t>1A12</t>
  </si>
  <si>
    <t>1A13</t>
  </si>
  <si>
    <t>1A14/A16</t>
  </si>
  <si>
    <t>1A15</t>
  </si>
  <si>
    <t>1A17</t>
  </si>
  <si>
    <t>1A18</t>
  </si>
  <si>
    <t>1A19</t>
  </si>
  <si>
    <t>汤鸿林</t>
  </si>
  <si>
    <t>26.3.21</t>
  </si>
  <si>
    <t>1A20</t>
  </si>
  <si>
    <t>1A21</t>
  </si>
  <si>
    <t>1A22</t>
  </si>
  <si>
    <t>1A23</t>
  </si>
  <si>
    <t>1A24</t>
  </si>
  <si>
    <t>1A25</t>
  </si>
  <si>
    <t>1A26</t>
  </si>
  <si>
    <t>1A27</t>
  </si>
  <si>
    <t>1A28</t>
  </si>
  <si>
    <t>1A29</t>
  </si>
  <si>
    <t>1A30</t>
  </si>
  <si>
    <t>1A31</t>
  </si>
  <si>
    <t>1A32</t>
  </si>
  <si>
    <t>1A33</t>
  </si>
  <si>
    <t>1A34/A36</t>
  </si>
  <si>
    <t>1A35</t>
  </si>
  <si>
    <t>1A37</t>
  </si>
  <si>
    <t>1A38</t>
  </si>
  <si>
    <t>1A39/A40</t>
  </si>
  <si>
    <t>1A41/A51</t>
  </si>
  <si>
    <t>1A42</t>
  </si>
  <si>
    <t>1A43</t>
  </si>
  <si>
    <t>1A44</t>
  </si>
  <si>
    <t>1A45</t>
  </si>
  <si>
    <t>1A46</t>
  </si>
  <si>
    <t>1A47</t>
  </si>
  <si>
    <t>1A48</t>
  </si>
  <si>
    <t>1A49</t>
  </si>
  <si>
    <t>1A50</t>
  </si>
  <si>
    <t>1A52</t>
  </si>
  <si>
    <t>1A54/A62</t>
  </si>
  <si>
    <t>1A55/A63</t>
  </si>
  <si>
    <t>1A56/A64</t>
  </si>
  <si>
    <t>1A57/A65</t>
  </si>
  <si>
    <t>1A58/A66</t>
  </si>
  <si>
    <t>1A59</t>
  </si>
  <si>
    <t>1A60</t>
  </si>
  <si>
    <t>1A53/A61</t>
  </si>
  <si>
    <t>1A67</t>
  </si>
  <si>
    <t>1A68</t>
  </si>
  <si>
    <t>1A69</t>
  </si>
  <si>
    <t>2A202</t>
  </si>
  <si>
    <t>2A205</t>
  </si>
  <si>
    <t>2A206</t>
  </si>
  <si>
    <t>2A208</t>
  </si>
  <si>
    <t>2A209</t>
  </si>
  <si>
    <t>2A211</t>
  </si>
  <si>
    <t>2A212</t>
  </si>
  <si>
    <t>2A215</t>
  </si>
  <si>
    <t>2A203/216/219</t>
  </si>
  <si>
    <t>2A210/213</t>
  </si>
  <si>
    <t>二楼商铺</t>
  </si>
  <si>
    <t>2A220</t>
  </si>
  <si>
    <t>2A221</t>
  </si>
  <si>
    <t>2A218</t>
  </si>
  <si>
    <t>2B001</t>
  </si>
  <si>
    <t>2B001-1</t>
  </si>
  <si>
    <t>三楼商铺</t>
  </si>
  <si>
    <t>3A001/002</t>
  </si>
  <si>
    <t>3A005</t>
  </si>
  <si>
    <t>3A006</t>
  </si>
  <si>
    <t>3A008</t>
  </si>
  <si>
    <t>3A009</t>
  </si>
  <si>
    <t>3A010/011</t>
  </si>
  <si>
    <t>3A012</t>
  </si>
  <si>
    <t>3A013</t>
  </si>
  <si>
    <t>3A015</t>
  </si>
  <si>
    <t>3A016</t>
  </si>
  <si>
    <t>3A018/19/20/21</t>
  </si>
  <si>
    <t>3A022</t>
  </si>
  <si>
    <t>3A026</t>
  </si>
  <si>
    <t>3A028</t>
  </si>
  <si>
    <t>3A029</t>
  </si>
  <si>
    <t>3A030</t>
  </si>
  <si>
    <t>3B001</t>
  </si>
  <si>
    <t>3B002</t>
  </si>
  <si>
    <t>3B005-009</t>
  </si>
  <si>
    <t>3B010</t>
  </si>
  <si>
    <t>3B011/012</t>
  </si>
  <si>
    <t>3B015</t>
  </si>
  <si>
    <t>3B016</t>
  </si>
  <si>
    <t>3B018</t>
  </si>
  <si>
    <t>3B019</t>
  </si>
  <si>
    <t>四楼商铺</t>
  </si>
  <si>
    <t>4A001-006</t>
  </si>
  <si>
    <t>4A008</t>
  </si>
  <si>
    <t>4A011</t>
  </si>
  <si>
    <t>4A025</t>
  </si>
  <si>
    <t>4A028</t>
  </si>
  <si>
    <t>4A029</t>
  </si>
  <si>
    <t>4B001/011/019</t>
  </si>
  <si>
    <t>4B002</t>
  </si>
  <si>
    <t>4B005</t>
  </si>
  <si>
    <t>临租</t>
  </si>
  <si>
    <t>4B007</t>
  </si>
  <si>
    <t>4B009</t>
  </si>
  <si>
    <t>4B010</t>
  </si>
  <si>
    <t>五楼商铺</t>
  </si>
  <si>
    <t>5A001</t>
  </si>
  <si>
    <t>5A002</t>
  </si>
  <si>
    <t>5A003</t>
  </si>
  <si>
    <t>5A005</t>
  </si>
  <si>
    <t>5A006</t>
  </si>
  <si>
    <t>5A008</t>
  </si>
  <si>
    <t>5A009</t>
  </si>
  <si>
    <t>5A010</t>
  </si>
  <si>
    <t>5A011</t>
  </si>
  <si>
    <t>5A012</t>
  </si>
  <si>
    <t>5A013</t>
  </si>
  <si>
    <t>5A015</t>
  </si>
  <si>
    <t>5A016</t>
  </si>
  <si>
    <t>5A017</t>
  </si>
  <si>
    <t>5A018</t>
  </si>
  <si>
    <t>5A018-1</t>
  </si>
  <si>
    <t>5B001</t>
  </si>
  <si>
    <t>5B002</t>
  </si>
  <si>
    <t>5B005</t>
  </si>
  <si>
    <t>5B009</t>
  </si>
  <si>
    <t>5B010</t>
  </si>
  <si>
    <t>5B011</t>
  </si>
  <si>
    <t>5B015</t>
  </si>
  <si>
    <t>5B018</t>
  </si>
  <si>
    <t>六楼商铺</t>
  </si>
  <si>
    <t>6A001</t>
  </si>
  <si>
    <t>6A002</t>
  </si>
  <si>
    <t>6A003</t>
  </si>
  <si>
    <t>6A005</t>
  </si>
  <si>
    <t>6A006</t>
  </si>
  <si>
    <t>6A007</t>
  </si>
  <si>
    <t>6A008</t>
  </si>
  <si>
    <t>6A009</t>
  </si>
  <si>
    <t>6A010</t>
  </si>
  <si>
    <t>庆丰二路1号</t>
  </si>
  <si>
    <t>1号A101</t>
  </si>
  <si>
    <t>保安室，危楼</t>
  </si>
  <si>
    <t>1号A102</t>
  </si>
  <si>
    <t>1号A103</t>
  </si>
  <si>
    <t>1号A105</t>
  </si>
  <si>
    <t>1号A105-1</t>
  </si>
  <si>
    <t>1号A106</t>
  </si>
  <si>
    <t>1号A107</t>
  </si>
  <si>
    <t>1号A108</t>
  </si>
  <si>
    <t>1号A201</t>
  </si>
  <si>
    <t>保安室2楼，危楼</t>
  </si>
  <si>
    <t>1号A202</t>
  </si>
  <si>
    <t>1号A203</t>
  </si>
  <si>
    <t>1号A204</t>
  </si>
  <si>
    <t>1号B102</t>
  </si>
  <si>
    <t>1号B103</t>
  </si>
  <si>
    <t>1号B104</t>
  </si>
  <si>
    <t>1号B201-206</t>
  </si>
  <si>
    <t>没有升降梯</t>
  </si>
  <si>
    <t>庆丰二路6号</t>
  </si>
  <si>
    <t>6号101</t>
  </si>
  <si>
    <t>6号102</t>
  </si>
  <si>
    <t>6号103</t>
  </si>
  <si>
    <t>6号104</t>
  </si>
  <si>
    <t>庆丰二路5号/7号</t>
  </si>
  <si>
    <t>H7栋101</t>
  </si>
  <si>
    <t>H7栋201</t>
  </si>
  <si>
    <t>H7栋202</t>
  </si>
  <si>
    <t>面积过小不租</t>
  </si>
  <si>
    <t>H7栋203</t>
  </si>
  <si>
    <t>H7栋205</t>
  </si>
  <si>
    <t>H7栋206</t>
  </si>
  <si>
    <t>H7栋301</t>
  </si>
  <si>
    <t>H7栋302</t>
  </si>
  <si>
    <t>H7栋303</t>
  </si>
  <si>
    <t>H7栋305</t>
  </si>
  <si>
    <t>H7栋306</t>
  </si>
  <si>
    <t>H7栋401</t>
  </si>
  <si>
    <t>H7栋402</t>
  </si>
  <si>
    <t>H7栋403</t>
  </si>
  <si>
    <t>H7栋405</t>
  </si>
  <si>
    <t>H7栋406</t>
  </si>
  <si>
    <t>H7栋102</t>
  </si>
  <si>
    <t>H7栋102-1</t>
  </si>
  <si>
    <t>H7栋103</t>
  </si>
  <si>
    <t>H7栋105</t>
  </si>
  <si>
    <t>H7栋106</t>
  </si>
  <si>
    <t xml:space="preserve">H009栋102-103/102-103外棚以及H10栋103A/105/106/106-1棚区/201/202/301/302 </t>
  </si>
  <si>
    <t>庆丰二路18号</t>
  </si>
  <si>
    <t>保安亭</t>
  </si>
  <si>
    <t>500元/月</t>
  </si>
  <si>
    <t>2026.3.19</t>
  </si>
  <si>
    <t>2026.3.20</t>
  </si>
  <si>
    <t>2026.5.19</t>
  </si>
  <si>
    <t>庆丰二路19号</t>
  </si>
  <si>
    <t>18号空地</t>
  </si>
  <si>
    <t>2000/月</t>
  </si>
  <si>
    <t>18号101</t>
  </si>
  <si>
    <t>18号102\104/105</t>
  </si>
  <si>
    <t>18号103</t>
  </si>
  <si>
    <t>18号201</t>
  </si>
  <si>
    <t>18号202</t>
  </si>
  <si>
    <t>18号203</t>
  </si>
  <si>
    <t>18号204</t>
  </si>
  <si>
    <t>18号205</t>
  </si>
  <si>
    <t>刘师傅</t>
  </si>
  <si>
    <t>18号206</t>
  </si>
  <si>
    <t>18号207</t>
  </si>
  <si>
    <t>18号301/302</t>
  </si>
  <si>
    <t>18号401</t>
  </si>
  <si>
    <t>18号402</t>
  </si>
  <si>
    <t>18号403</t>
  </si>
  <si>
    <t>18号404</t>
  </si>
  <si>
    <t>庆丰二路18号-腊味厂</t>
  </si>
  <si>
    <t>18号A101</t>
  </si>
  <si>
    <t>18号A102</t>
  </si>
  <si>
    <t>18号A103</t>
  </si>
  <si>
    <t>18号A201</t>
  </si>
  <si>
    <t>18号A301</t>
  </si>
  <si>
    <t>18号保安厅</t>
  </si>
  <si>
    <t>18号B101（含外棚）</t>
  </si>
  <si>
    <t>18号B102</t>
  </si>
  <si>
    <t>18号B103</t>
  </si>
  <si>
    <t>18号B201</t>
  </si>
  <si>
    <t>18号B202</t>
  </si>
  <si>
    <t>18号C101</t>
  </si>
  <si>
    <t>18号C102</t>
  </si>
  <si>
    <t>18号C201</t>
  </si>
  <si>
    <t>18号C202</t>
  </si>
  <si>
    <t>18号C203</t>
  </si>
  <si>
    <t>A区</t>
  </si>
  <si>
    <t>A101</t>
  </si>
  <si>
    <t>A102</t>
  </si>
  <si>
    <t>A103</t>
  </si>
  <si>
    <t>A105</t>
  </si>
  <si>
    <t>A106</t>
  </si>
  <si>
    <t>A107</t>
  </si>
  <si>
    <t>A108</t>
  </si>
  <si>
    <t>A109</t>
  </si>
  <si>
    <t>A110</t>
  </si>
  <si>
    <t>A111</t>
  </si>
  <si>
    <t>A111-1</t>
  </si>
  <si>
    <t>A112</t>
  </si>
  <si>
    <t>A113</t>
  </si>
  <si>
    <t>A115</t>
  </si>
  <si>
    <t>A201</t>
  </si>
  <si>
    <t>30-35</t>
  </si>
  <si>
    <t>A202</t>
  </si>
  <si>
    <t>A203</t>
  </si>
  <si>
    <t>A205</t>
  </si>
  <si>
    <t>A206</t>
  </si>
  <si>
    <t>A206-1</t>
  </si>
  <si>
    <t>A207/A208</t>
  </si>
  <si>
    <t>A209</t>
  </si>
  <si>
    <t>A210</t>
  </si>
  <si>
    <t>A211</t>
  </si>
  <si>
    <t>A211-1</t>
  </si>
  <si>
    <t>A212</t>
  </si>
  <si>
    <t>A213</t>
  </si>
  <si>
    <t>A213-1</t>
  </si>
  <si>
    <t>A301</t>
  </si>
  <si>
    <t>A301-1</t>
  </si>
  <si>
    <t>A302</t>
  </si>
  <si>
    <t>A302-1</t>
  </si>
  <si>
    <t>A303</t>
  </si>
  <si>
    <t>A303-1</t>
  </si>
  <si>
    <t>A305</t>
  </si>
  <si>
    <t>A305-1</t>
  </si>
  <si>
    <t>A305-2</t>
  </si>
  <si>
    <t>A305-3</t>
  </si>
  <si>
    <t>A306</t>
  </si>
  <si>
    <t>A307</t>
  </si>
  <si>
    <t>A308</t>
  </si>
  <si>
    <t>A310</t>
  </si>
  <si>
    <t>A311</t>
  </si>
  <si>
    <t>A311-1</t>
  </si>
  <si>
    <t>A312</t>
  </si>
  <si>
    <t>A313</t>
  </si>
  <si>
    <t>A315</t>
  </si>
  <si>
    <t>A315-1</t>
  </si>
  <si>
    <t>A401</t>
  </si>
  <si>
    <t>A402</t>
  </si>
  <si>
    <t>A402-1</t>
  </si>
  <si>
    <t>A403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</si>
  <si>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</si>
  <si>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</si>
  <si>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</si>
  <si>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</si>
  <si>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</si>
  <si>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</si>
  <si>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</si>
  <si>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</si>
  <si>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</si>
  <si>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A501</t>
  </si>
  <si>
    <t>A502</t>
  </si>
  <si>
    <t>A309</t>
  </si>
  <si>
    <t>A503</t>
  </si>
  <si>
    <t>A503-1</t>
  </si>
  <si>
    <t>A503-2</t>
  </si>
  <si>
    <t>A505</t>
  </si>
  <si>
    <t>A506</t>
  </si>
  <si>
    <t>A507</t>
  </si>
  <si>
    <t>A508</t>
  </si>
  <si>
    <t>A509/A510/511</t>
  </si>
  <si>
    <t>A510</t>
  </si>
  <si>
    <t>A511</t>
  </si>
  <si>
    <t>A601</t>
  </si>
  <si>
    <t>A701</t>
  </si>
  <si>
    <t>B区</t>
  </si>
  <si>
    <t>B101</t>
  </si>
  <si>
    <t>B102</t>
  </si>
  <si>
    <t>B102-1</t>
  </si>
  <si>
    <t>B103</t>
  </si>
  <si>
    <t>B105</t>
  </si>
  <si>
    <t>B106</t>
  </si>
  <si>
    <t>B107</t>
  </si>
  <si>
    <t>B108</t>
  </si>
  <si>
    <t>B109</t>
  </si>
  <si>
    <t>B110</t>
  </si>
  <si>
    <t>B201</t>
  </si>
  <si>
    <t>B202/B207</t>
  </si>
  <si>
    <t>B203</t>
  </si>
  <si>
    <t>B205</t>
  </si>
  <si>
    <t>B206</t>
  </si>
  <si>
    <t>B207</t>
  </si>
  <si>
    <t>B208</t>
  </si>
  <si>
    <t>B209</t>
  </si>
  <si>
    <t>C区</t>
  </si>
  <si>
    <t>C103</t>
  </si>
  <si>
    <t>C109/C110</t>
  </si>
  <si>
    <t>C111/C112</t>
  </si>
  <si>
    <t>C112</t>
  </si>
  <si>
    <t>C113</t>
  </si>
  <si>
    <t>C115</t>
  </si>
  <si>
    <t>C116</t>
  </si>
  <si>
    <t>C117</t>
  </si>
  <si>
    <t>C118</t>
  </si>
  <si>
    <t>C119</t>
  </si>
  <si>
    <t>C120/C121</t>
  </si>
  <si>
    <t>C121</t>
  </si>
  <si>
    <t>C122</t>
  </si>
  <si>
    <t>C123</t>
  </si>
  <si>
    <t>C125</t>
  </si>
  <si>
    <t>C126</t>
  </si>
  <si>
    <t>C127</t>
  </si>
  <si>
    <t>C128</t>
  </si>
  <si>
    <t>C129</t>
  </si>
  <si>
    <t>C130/C131</t>
  </si>
  <si>
    <t>C131</t>
  </si>
  <si>
    <t>C312</t>
  </si>
  <si>
    <t>C313</t>
  </si>
  <si>
    <t>C315/C316</t>
  </si>
  <si>
    <t>C316</t>
  </si>
  <si>
    <t>C317</t>
  </si>
  <si>
    <t>C318</t>
  </si>
  <si>
    <t>C319</t>
  </si>
  <si>
    <t>C320</t>
  </si>
  <si>
    <t>C321</t>
  </si>
  <si>
    <t>C322</t>
  </si>
  <si>
    <t>C323</t>
  </si>
  <si>
    <t>C325</t>
  </si>
  <si>
    <t>C326</t>
  </si>
  <si>
    <t>C327</t>
  </si>
  <si>
    <t>C328</t>
  </si>
  <si>
    <t>C329</t>
  </si>
  <si>
    <t>C330</t>
  </si>
  <si>
    <t>C331</t>
  </si>
  <si>
    <t>C401</t>
  </si>
  <si>
    <t>C402</t>
  </si>
  <si>
    <t>C403</t>
  </si>
  <si>
    <t>C405</t>
  </si>
  <si>
    <t>C406</t>
  </si>
  <si>
    <t>C407</t>
  </si>
  <si>
    <t>C409</t>
  </si>
  <si>
    <t>C410/C411</t>
  </si>
  <si>
    <t>C411</t>
  </si>
  <si>
    <t>C412/C413</t>
  </si>
  <si>
    <t>C413</t>
  </si>
  <si>
    <t>C415</t>
  </si>
  <si>
    <t>C416</t>
  </si>
  <si>
    <t>C417</t>
  </si>
  <si>
    <t>C418/C419</t>
  </si>
  <si>
    <t>C419</t>
  </si>
  <si>
    <t>C420</t>
  </si>
  <si>
    <t>C421</t>
  </si>
  <si>
    <t>C422</t>
  </si>
  <si>
    <t>C423</t>
  </si>
  <si>
    <t>C425</t>
  </si>
  <si>
    <t>C426</t>
  </si>
  <si>
    <t>C427</t>
  </si>
  <si>
    <t>C428</t>
  </si>
  <si>
    <t>C429</t>
  </si>
  <si>
    <t>C430</t>
  </si>
  <si>
    <t>C501/C502</t>
  </si>
  <si>
    <t>C502</t>
  </si>
  <si>
    <t>C503</t>
  </si>
  <si>
    <t>C505</t>
  </si>
  <si>
    <t>C506</t>
  </si>
  <si>
    <t>C507</t>
  </si>
  <si>
    <t>C509</t>
  </si>
  <si>
    <t>C510</t>
  </si>
  <si>
    <t>C511</t>
  </si>
  <si>
    <t>C512</t>
  </si>
  <si>
    <t>C513</t>
  </si>
  <si>
    <t>C515/C516</t>
  </si>
  <si>
    <t>C516</t>
  </si>
  <si>
    <t>C517</t>
  </si>
  <si>
    <t>C518</t>
  </si>
  <si>
    <t>C519</t>
  </si>
  <si>
    <t>C520</t>
  </si>
  <si>
    <t>C521</t>
  </si>
  <si>
    <t>C522/C523</t>
  </si>
  <si>
    <t>C523</t>
  </si>
  <si>
    <t>C525</t>
  </si>
  <si>
    <t>C526</t>
  </si>
  <si>
    <t>C527</t>
  </si>
  <si>
    <t>C528</t>
  </si>
  <si>
    <t>C529</t>
  </si>
  <si>
    <t>C530/C531</t>
  </si>
  <si>
    <t>C531</t>
  </si>
  <si>
    <t>C601</t>
  </si>
  <si>
    <t>C602</t>
  </si>
  <si>
    <t>C603</t>
  </si>
  <si>
    <t>C605</t>
  </si>
  <si>
    <t>C606</t>
  </si>
  <si>
    <t>C607</t>
  </si>
  <si>
    <t>C609</t>
  </si>
  <si>
    <t>C610/C611</t>
  </si>
  <si>
    <t>C611</t>
  </si>
  <si>
    <t>C612</t>
  </si>
  <si>
    <t>C613</t>
  </si>
  <si>
    <t>C615</t>
  </si>
  <si>
    <t>C616</t>
  </si>
  <si>
    <t>C617</t>
  </si>
  <si>
    <t>C618</t>
  </si>
  <si>
    <t>C619</t>
  </si>
  <si>
    <t>C620</t>
  </si>
  <si>
    <t>C621/C622</t>
  </si>
  <si>
    <t>C622</t>
  </si>
  <si>
    <t>C623</t>
  </si>
  <si>
    <t>C625</t>
  </si>
  <si>
    <t>C626</t>
  </si>
  <si>
    <t>C627</t>
  </si>
  <si>
    <t>C628</t>
  </si>
  <si>
    <t>C629</t>
  </si>
  <si>
    <t>C630</t>
  </si>
  <si>
    <t>C701</t>
  </si>
  <si>
    <t>C702</t>
  </si>
  <si>
    <t>C703</t>
  </si>
  <si>
    <t>C705/C706/C707/C709/C710</t>
  </si>
  <si>
    <t>C706</t>
  </si>
  <si>
    <t>C707</t>
  </si>
  <si>
    <t>C709</t>
  </si>
  <si>
    <t>C710</t>
  </si>
  <si>
    <t>C712</t>
  </si>
  <si>
    <t>C713</t>
  </si>
  <si>
    <t>C715</t>
  </si>
  <si>
    <t>C716</t>
  </si>
  <si>
    <t>C717</t>
  </si>
  <si>
    <t>C801/C802/C803/C805/C812/C813/C815</t>
  </si>
  <si>
    <t>C802</t>
  </si>
  <si>
    <t>C803</t>
  </si>
  <si>
    <t>C805</t>
  </si>
  <si>
    <t>C806</t>
  </si>
  <si>
    <t>C807</t>
  </si>
  <si>
    <t>C809</t>
  </si>
  <si>
    <t>C810</t>
  </si>
  <si>
    <t>C811</t>
  </si>
  <si>
    <t>C812</t>
  </si>
  <si>
    <t>C813</t>
  </si>
  <si>
    <t>C815</t>
  </si>
  <si>
    <t>楼层</t>
  </si>
  <si>
    <t>档口编号</t>
  </si>
  <si>
    <t>跟进人员</t>
  </si>
  <si>
    <t>兆丰壹号市场2026-3月出租率汇总</t>
  </si>
  <si>
    <t>兆丰路</t>
  </si>
  <si>
    <t>已出租</t>
  </si>
  <si>
    <t>仓库</t>
  </si>
  <si>
    <t>三层</t>
  </si>
  <si>
    <t>F401/F402</t>
  </si>
  <si>
    <t>F403</t>
  </si>
  <si>
    <t>四层</t>
  </si>
  <si>
    <t>4001/4002/4003</t>
  </si>
  <si>
    <t>4005/4006/4008</t>
  </si>
  <si>
    <t>4010/4011</t>
  </si>
  <si>
    <t>A座</t>
  </si>
  <si>
    <t>汇总项目</t>
  </si>
  <si>
    <t>B座</t>
  </si>
  <si>
    <t>合计</t>
  </si>
  <si>
    <t>总面积</t>
  </si>
  <si>
    <t>空档面积</t>
  </si>
  <si>
    <t>110、111、112、113</t>
  </si>
  <si>
    <t>208露台</t>
  </si>
  <si>
    <t>209、210</t>
  </si>
  <si>
    <t>212、215、217</t>
  </si>
  <si>
    <t>213、216</t>
  </si>
  <si>
    <t>309、310</t>
  </si>
  <si>
    <t>云非中心无偿使用</t>
  </si>
  <si>
    <t>409-418整层</t>
  </si>
  <si>
    <t>5楼露台</t>
  </si>
  <si>
    <t>101、102</t>
  </si>
  <si>
    <t>无</t>
  </si>
  <si>
    <t>三楼/四楼/五楼</t>
  </si>
  <si>
    <t>三层、四层、501</t>
  </si>
  <si>
    <t>1-A001</t>
  </si>
  <si>
    <t>1-A001-1</t>
  </si>
  <si>
    <t>1-A002</t>
  </si>
  <si>
    <t>1-A003</t>
  </si>
  <si>
    <t>1-A005</t>
  </si>
  <si>
    <t>1-A006</t>
  </si>
  <si>
    <t>1-A008</t>
  </si>
  <si>
    <t>1-A009</t>
  </si>
  <si>
    <t>1-A010</t>
  </si>
  <si>
    <t>1-A011</t>
  </si>
  <si>
    <t>1-A012</t>
  </si>
  <si>
    <t>1-A013</t>
  </si>
  <si>
    <t>1-A015</t>
  </si>
  <si>
    <t>1-A016</t>
  </si>
  <si>
    <t>1-A018</t>
  </si>
  <si>
    <t>1-A019</t>
  </si>
  <si>
    <t>1-A020</t>
  </si>
  <si>
    <t>1-A021</t>
  </si>
  <si>
    <t>1-A022</t>
  </si>
  <si>
    <t>1-A023</t>
  </si>
  <si>
    <t>1-A025</t>
  </si>
  <si>
    <t>1-A026</t>
  </si>
  <si>
    <t>1-A026-1</t>
  </si>
  <si>
    <t>1-A028</t>
  </si>
  <si>
    <t>1-A029</t>
  </si>
  <si>
    <t>1-A030</t>
  </si>
  <si>
    <t>1-A031</t>
  </si>
  <si>
    <t>1-A032</t>
  </si>
  <si>
    <t>1-A033</t>
  </si>
  <si>
    <t>1-A035</t>
  </si>
  <si>
    <t>1-A036</t>
  </si>
  <si>
    <t>1-A038</t>
  </si>
  <si>
    <t>1-A039</t>
  </si>
  <si>
    <t>1-A050</t>
  </si>
  <si>
    <t>1-A051</t>
  </si>
  <si>
    <t>1-A052</t>
  </si>
  <si>
    <t>1-A053</t>
  </si>
  <si>
    <t>1-A055</t>
  </si>
  <si>
    <t>1-A056</t>
  </si>
  <si>
    <t>1-A058</t>
  </si>
  <si>
    <t>1-A059</t>
  </si>
  <si>
    <t>1-A061</t>
  </si>
  <si>
    <t>1-A062</t>
  </si>
  <si>
    <t>1-A063</t>
  </si>
  <si>
    <t>1-A065</t>
  </si>
  <si>
    <t>1-A066</t>
  </si>
  <si>
    <t>1-A068</t>
  </si>
  <si>
    <t>1-A069</t>
  </si>
  <si>
    <t>1-A080</t>
  </si>
  <si>
    <t>1-A081</t>
  </si>
  <si>
    <t>1-A082</t>
  </si>
  <si>
    <t>1-A083</t>
  </si>
  <si>
    <t>1-A085</t>
  </si>
  <si>
    <t>1-A086</t>
  </si>
  <si>
    <t>1-A088</t>
  </si>
  <si>
    <t>1-A089</t>
  </si>
  <si>
    <t>1-A090</t>
  </si>
  <si>
    <t>1-A091</t>
  </si>
  <si>
    <t>1-A092</t>
  </si>
  <si>
    <t>1-B001</t>
  </si>
  <si>
    <t>1-B002</t>
  </si>
  <si>
    <t>1-B003</t>
  </si>
  <si>
    <t>1-B005</t>
  </si>
  <si>
    <t>1-B006</t>
  </si>
  <si>
    <t>1-B008</t>
  </si>
  <si>
    <t>1-B009</t>
  </si>
  <si>
    <t>1-B010</t>
  </si>
  <si>
    <t>1-B011</t>
  </si>
  <si>
    <t>1-B012</t>
  </si>
  <si>
    <t>1-B013</t>
  </si>
  <si>
    <t>1-B015</t>
  </si>
  <si>
    <t>1-B016</t>
  </si>
  <si>
    <t>1-B018</t>
  </si>
  <si>
    <t>1-B019</t>
  </si>
  <si>
    <t>1-B019-1</t>
  </si>
  <si>
    <t>1-B020</t>
  </si>
  <si>
    <t>1-B021</t>
  </si>
  <si>
    <t>1-B022</t>
  </si>
  <si>
    <t>1-B023</t>
  </si>
  <si>
    <t>1-B025</t>
  </si>
  <si>
    <t>1-B026</t>
  </si>
  <si>
    <t>1-B028</t>
  </si>
  <si>
    <t>1-B029</t>
  </si>
  <si>
    <t>1-B029-1</t>
  </si>
  <si>
    <t>1-B030</t>
  </si>
  <si>
    <t>1-B032</t>
  </si>
  <si>
    <t>北B门展柜</t>
  </si>
  <si>
    <t>1-B033</t>
  </si>
  <si>
    <t>1-B035</t>
  </si>
  <si>
    <t>1-B036</t>
  </si>
  <si>
    <t>1-B038</t>
  </si>
  <si>
    <t>1-B039</t>
  </si>
  <si>
    <t>1-B050</t>
  </si>
  <si>
    <t>1-B051</t>
  </si>
  <si>
    <t>1-B052</t>
  </si>
  <si>
    <t>1-B053</t>
  </si>
  <si>
    <t>1-B055</t>
  </si>
  <si>
    <t>1-B053-1</t>
  </si>
  <si>
    <t>1-B055-1</t>
  </si>
  <si>
    <t>1-B055-2</t>
  </si>
  <si>
    <t>1-B056</t>
  </si>
  <si>
    <t>1-B058</t>
  </si>
  <si>
    <t>1-B059</t>
  </si>
  <si>
    <t>1-B060</t>
  </si>
  <si>
    <t>1-B061</t>
  </si>
  <si>
    <t>1-B062</t>
  </si>
  <si>
    <t>1-B063</t>
  </si>
  <si>
    <t>1-B065</t>
  </si>
  <si>
    <t>1-B066</t>
  </si>
  <si>
    <t>1-B068</t>
  </si>
  <si>
    <t>1-B069</t>
  </si>
  <si>
    <t>1-B080</t>
  </si>
  <si>
    <t>1-B081</t>
  </si>
  <si>
    <t>1-B082</t>
  </si>
  <si>
    <t>1-B083</t>
  </si>
  <si>
    <t>1-B085</t>
  </si>
  <si>
    <t>1-B088</t>
  </si>
  <si>
    <t>1-B089</t>
  </si>
  <si>
    <t>1-B090</t>
  </si>
  <si>
    <t>1-B091</t>
  </si>
  <si>
    <t>1-B092</t>
  </si>
  <si>
    <t>1-B093-1</t>
  </si>
  <si>
    <t>1-B093</t>
  </si>
  <si>
    <t>1-B096</t>
  </si>
  <si>
    <t>1-B098</t>
  </si>
  <si>
    <t>1-B099</t>
  </si>
  <si>
    <t>1-B100</t>
  </si>
  <si>
    <t>1-B101</t>
  </si>
  <si>
    <t>1-B102</t>
  </si>
  <si>
    <t>1-B103</t>
  </si>
  <si>
    <t>1-B105</t>
  </si>
  <si>
    <t>1-B106</t>
  </si>
  <si>
    <t>1-B108</t>
  </si>
  <si>
    <t>1-B109</t>
  </si>
  <si>
    <t>1-B110</t>
  </si>
  <si>
    <t>1-B111</t>
  </si>
  <si>
    <t>1-B112</t>
  </si>
  <si>
    <t>1-B113</t>
  </si>
  <si>
    <t>1-B112-1</t>
  </si>
  <si>
    <t>1-B116</t>
  </si>
  <si>
    <t>1-B118</t>
  </si>
  <si>
    <t>1-B119</t>
  </si>
  <si>
    <t>1-B120</t>
  </si>
  <si>
    <t>1-B121</t>
  </si>
  <si>
    <t>1-B122</t>
  </si>
  <si>
    <t>1-B123</t>
  </si>
  <si>
    <t>1-B125</t>
  </si>
  <si>
    <t>1-B126</t>
  </si>
  <si>
    <t>1-B128</t>
  </si>
  <si>
    <t>1-B129</t>
  </si>
  <si>
    <t>1-B130</t>
  </si>
  <si>
    <t>1-B131</t>
  </si>
  <si>
    <t>1-B132</t>
  </si>
  <si>
    <t>1-B133</t>
  </si>
  <si>
    <t>1-B135</t>
  </si>
  <si>
    <t>1-B136</t>
  </si>
  <si>
    <t>1-B138</t>
  </si>
  <si>
    <t>1-B139</t>
  </si>
  <si>
    <t>1-B139-1</t>
  </si>
  <si>
    <t>1-B150</t>
  </si>
  <si>
    <t>1-B151</t>
  </si>
  <si>
    <t>1-B151-1</t>
  </si>
  <si>
    <t>1-B152</t>
  </si>
  <si>
    <t>1-B153</t>
  </si>
  <si>
    <t>1-B155</t>
  </si>
  <si>
    <t>1-B156</t>
  </si>
  <si>
    <t>1-B156-1</t>
  </si>
  <si>
    <t>1-C003</t>
  </si>
  <si>
    <t>1-C005</t>
  </si>
  <si>
    <t>1-C006</t>
  </si>
  <si>
    <t>1-C008</t>
  </si>
  <si>
    <t>1-C009</t>
  </si>
  <si>
    <t>1-C010</t>
  </si>
  <si>
    <t>1-C011</t>
  </si>
  <si>
    <t>1-C012</t>
  </si>
  <si>
    <t>1-C013</t>
  </si>
  <si>
    <t>1-C015</t>
  </si>
  <si>
    <t>1-C016</t>
  </si>
  <si>
    <t>1-C018</t>
  </si>
  <si>
    <t>1-C019</t>
  </si>
  <si>
    <t>1-C020</t>
  </si>
  <si>
    <t>1-C021</t>
  </si>
  <si>
    <t>1-C021-1</t>
  </si>
  <si>
    <t>1-C022</t>
  </si>
  <si>
    <t>1-C023</t>
  </si>
  <si>
    <t>1-C025</t>
  </si>
  <si>
    <t>1-C026</t>
  </si>
  <si>
    <t>1-C028</t>
  </si>
  <si>
    <t>1-C029</t>
  </si>
  <si>
    <t>1-C030</t>
  </si>
  <si>
    <t>1-C031</t>
  </si>
  <si>
    <t>1-C032</t>
  </si>
  <si>
    <t>1-C033</t>
  </si>
  <si>
    <t>1-C035</t>
  </si>
  <si>
    <t>1-C036</t>
  </si>
  <si>
    <t>1-C038</t>
  </si>
  <si>
    <t>1-C039</t>
  </si>
  <si>
    <t>1-C052</t>
  </si>
  <si>
    <t>1-C050</t>
  </si>
  <si>
    <t>1-C051</t>
  </si>
  <si>
    <t>1-C053</t>
  </si>
  <si>
    <t>1-C055</t>
  </si>
  <si>
    <t>1-C056</t>
  </si>
  <si>
    <t>1-C058</t>
  </si>
  <si>
    <t>1-C059</t>
  </si>
  <si>
    <t>1-C060</t>
  </si>
  <si>
    <t>1-C061</t>
  </si>
  <si>
    <t>1-C062</t>
  </si>
  <si>
    <t>1-C063</t>
  </si>
  <si>
    <t>1-C065</t>
  </si>
  <si>
    <t>1-C066</t>
  </si>
  <si>
    <t>1-C068</t>
  </si>
  <si>
    <t>1-C069</t>
  </si>
  <si>
    <t>1-C080</t>
  </si>
  <si>
    <t>1-C080-1</t>
  </si>
  <si>
    <t>1-C081</t>
  </si>
  <si>
    <t>1-C081-1</t>
  </si>
  <si>
    <t>1-C082</t>
  </si>
  <si>
    <t>1-C086</t>
  </si>
  <si>
    <t>1-C088</t>
  </si>
  <si>
    <t>1-C089</t>
  </si>
  <si>
    <t>1-C090</t>
  </si>
  <si>
    <t>1-C091</t>
  </si>
  <si>
    <t>1-C092</t>
  </si>
  <si>
    <t>1-C093</t>
  </si>
  <si>
    <t>1-C095</t>
  </si>
  <si>
    <t>1-C096</t>
  </si>
  <si>
    <t>1-C098</t>
  </si>
  <si>
    <t>1-C099</t>
  </si>
  <si>
    <t>1-C100</t>
  </si>
  <si>
    <t>1-C101</t>
  </si>
  <si>
    <t>1-C103</t>
  </si>
  <si>
    <t>1-C105</t>
  </si>
  <si>
    <t>1-C106</t>
  </si>
  <si>
    <t>1-D001</t>
  </si>
  <si>
    <t>1-D002</t>
  </si>
  <si>
    <t>1-D003</t>
  </si>
  <si>
    <t>1-D005</t>
  </si>
  <si>
    <t>1-D006</t>
  </si>
  <si>
    <t>1-D008</t>
  </si>
  <si>
    <t>1-D009</t>
  </si>
  <si>
    <t>1-D010</t>
  </si>
  <si>
    <t>1-D011</t>
  </si>
  <si>
    <t>1-D012</t>
  </si>
  <si>
    <t>1-D013</t>
  </si>
  <si>
    <t>1-D015</t>
  </si>
  <si>
    <t>1-D016</t>
  </si>
  <si>
    <t>1-D018</t>
  </si>
  <si>
    <t>1-D019</t>
  </si>
  <si>
    <t>1-D020</t>
  </si>
  <si>
    <t>1-D021</t>
  </si>
  <si>
    <t>1-D022</t>
  </si>
  <si>
    <t>1-D023</t>
  </si>
  <si>
    <t>1-D025</t>
  </si>
  <si>
    <t>1-D026</t>
  </si>
  <si>
    <t>1-D030</t>
  </si>
  <si>
    <t>1-D031</t>
  </si>
  <si>
    <t>1-D032</t>
  </si>
  <si>
    <t>1-D033</t>
  </si>
  <si>
    <t>1-D035</t>
  </si>
  <si>
    <t>1-D036</t>
  </si>
  <si>
    <t>1-D038</t>
  </si>
  <si>
    <t>1-D039</t>
  </si>
  <si>
    <t>1-D050</t>
  </si>
  <si>
    <t>1-D051</t>
  </si>
  <si>
    <t>1-D052</t>
  </si>
  <si>
    <t>1-D053</t>
  </si>
  <si>
    <t>1-D055</t>
  </si>
  <si>
    <t>1-D056</t>
  </si>
  <si>
    <t>1-D058</t>
  </si>
  <si>
    <t>1-D059</t>
  </si>
  <si>
    <t>1-D060</t>
  </si>
  <si>
    <t>1-D061</t>
  </si>
  <si>
    <t>1-D062</t>
  </si>
  <si>
    <t>1-D063</t>
  </si>
  <si>
    <t>1-D065</t>
  </si>
  <si>
    <t>通道</t>
  </si>
  <si>
    <t>1-D066</t>
  </si>
  <si>
    <t>1-D069</t>
  </si>
  <si>
    <t>1-D069-1</t>
  </si>
  <si>
    <t>1-D080</t>
  </si>
  <si>
    <t>1-D081</t>
  </si>
  <si>
    <t>1-D081-1</t>
  </si>
  <si>
    <t>1-D083</t>
  </si>
  <si>
    <t>1-D085</t>
  </si>
  <si>
    <t>1-D086</t>
  </si>
  <si>
    <t>1-D088</t>
  </si>
  <si>
    <t>1-D089</t>
  </si>
  <si>
    <t>1-D090</t>
  </si>
  <si>
    <t>1-D091</t>
  </si>
  <si>
    <t>1-D092</t>
  </si>
  <si>
    <t>1-D093</t>
  </si>
  <si>
    <t>1-D093-1</t>
  </si>
  <si>
    <t>1-D095</t>
  </si>
  <si>
    <t>1-D095-1</t>
  </si>
  <si>
    <t>1-D096</t>
  </si>
  <si>
    <t>1-D098</t>
  </si>
  <si>
    <t>1-D099</t>
  </si>
  <si>
    <t>1-D100</t>
  </si>
  <si>
    <t>1-D101</t>
  </si>
  <si>
    <t>1-D102</t>
  </si>
  <si>
    <t>1-D103</t>
  </si>
  <si>
    <t>1-D105</t>
  </si>
  <si>
    <t>1-D106</t>
  </si>
  <si>
    <t>1-D108</t>
  </si>
  <si>
    <t>1-D109</t>
  </si>
  <si>
    <t>1-D110</t>
  </si>
  <si>
    <t>1-D111</t>
  </si>
  <si>
    <t>1-D112</t>
  </si>
  <si>
    <t>1-D113</t>
  </si>
  <si>
    <t>1-D115</t>
  </si>
  <si>
    <t>1-D116</t>
  </si>
  <si>
    <t>1-D118</t>
  </si>
  <si>
    <t>1-D119</t>
  </si>
  <si>
    <t>1-D120</t>
  </si>
  <si>
    <t>1-D121</t>
  </si>
  <si>
    <t>1D122-1</t>
  </si>
  <si>
    <t>2A001</t>
  </si>
  <si>
    <t>2A002</t>
  </si>
  <si>
    <t>2A003</t>
  </si>
  <si>
    <t>2A005</t>
  </si>
  <si>
    <t>2A006</t>
  </si>
  <si>
    <t>2A008</t>
  </si>
  <si>
    <t>2A009</t>
  </si>
  <si>
    <t>2A010</t>
  </si>
  <si>
    <t>2A011</t>
  </si>
  <si>
    <t>2A012</t>
  </si>
  <si>
    <t>2A013</t>
  </si>
  <si>
    <t>2A015</t>
  </si>
  <si>
    <t>2A016</t>
  </si>
  <si>
    <t>2A018</t>
  </si>
  <si>
    <t>2A019</t>
  </si>
  <si>
    <t>2A020</t>
  </si>
  <si>
    <t>2A021</t>
  </si>
  <si>
    <t>2A022</t>
  </si>
  <si>
    <t>2A023</t>
  </si>
  <si>
    <t>2A025</t>
  </si>
  <si>
    <t>2A026</t>
  </si>
  <si>
    <t>2A028</t>
  </si>
  <si>
    <t>2A029</t>
  </si>
  <si>
    <t>2A030</t>
  </si>
  <si>
    <t>2A031</t>
  </si>
  <si>
    <t>2A032</t>
  </si>
  <si>
    <t>2A033</t>
  </si>
  <si>
    <t>2A035</t>
  </si>
  <si>
    <t>2A036</t>
  </si>
  <si>
    <t>2A038</t>
  </si>
  <si>
    <t>程多立</t>
  </si>
  <si>
    <t>2A039</t>
  </si>
  <si>
    <t>2A050</t>
  </si>
  <si>
    <t>2A051</t>
  </si>
  <si>
    <t>2A052</t>
  </si>
  <si>
    <t>2A053</t>
  </si>
  <si>
    <t>2A055</t>
  </si>
  <si>
    <t>2A056</t>
  </si>
  <si>
    <t>2A058</t>
  </si>
  <si>
    <t>2A059</t>
  </si>
  <si>
    <t>2A060</t>
  </si>
  <si>
    <t>2A061</t>
  </si>
  <si>
    <t>2A062</t>
  </si>
  <si>
    <t>2A063</t>
  </si>
  <si>
    <t>2A065</t>
  </si>
  <si>
    <t>2A066</t>
  </si>
  <si>
    <t>2A068</t>
  </si>
  <si>
    <t>2A069</t>
  </si>
  <si>
    <t>2A080</t>
  </si>
  <si>
    <t>2A081</t>
  </si>
  <si>
    <t>2B002</t>
  </si>
  <si>
    <t>2B003</t>
  </si>
  <si>
    <t>2B005</t>
  </si>
  <si>
    <t>2B006</t>
  </si>
  <si>
    <t>2B008</t>
  </si>
  <si>
    <t>2B009</t>
  </si>
  <si>
    <t>2B010</t>
  </si>
  <si>
    <t>2B011</t>
  </si>
  <si>
    <t>2B012</t>
  </si>
  <si>
    <t>2B013</t>
  </si>
  <si>
    <t>2B015</t>
  </si>
  <si>
    <t>2B016</t>
  </si>
  <si>
    <t>2B018</t>
  </si>
  <si>
    <t>2B019</t>
  </si>
  <si>
    <t>2B020</t>
  </si>
  <si>
    <t>2B021</t>
  </si>
  <si>
    <t>2B022</t>
  </si>
  <si>
    <t>2B023</t>
  </si>
  <si>
    <t>2B025</t>
  </si>
  <si>
    <t>2B026</t>
  </si>
  <si>
    <t>2B028</t>
  </si>
  <si>
    <t>2B029</t>
  </si>
  <si>
    <t>2B030</t>
  </si>
  <si>
    <t>2B031</t>
  </si>
  <si>
    <t>2B032</t>
  </si>
  <si>
    <t>2B033</t>
  </si>
  <si>
    <t>2B035</t>
  </si>
  <si>
    <t>2B036</t>
  </si>
  <si>
    <t>2B038</t>
  </si>
  <si>
    <t>2B039</t>
  </si>
  <si>
    <t>2B050</t>
  </si>
  <si>
    <t>2B051</t>
  </si>
  <si>
    <t>2B052</t>
  </si>
  <si>
    <t>2B053</t>
  </si>
  <si>
    <t>2B055</t>
  </si>
  <si>
    <t>3-A001</t>
  </si>
  <si>
    <t>3-A001-1</t>
  </si>
  <si>
    <t>3-A002</t>
  </si>
  <si>
    <t>3-A003</t>
  </si>
  <si>
    <t>3-A005</t>
  </si>
  <si>
    <t>3-A005-1</t>
  </si>
  <si>
    <t>3-A006</t>
  </si>
  <si>
    <t>3-A008</t>
  </si>
  <si>
    <t>3-A009</t>
  </si>
  <si>
    <t>3-A010</t>
  </si>
  <si>
    <t>3-A011</t>
  </si>
  <si>
    <t>3-A012</t>
  </si>
  <si>
    <t>3-A013</t>
  </si>
  <si>
    <t>3-A015</t>
  </si>
  <si>
    <t>3-A016</t>
  </si>
  <si>
    <t>3-A018</t>
  </si>
  <si>
    <t>3-A019</t>
  </si>
  <si>
    <t>3-A020</t>
  </si>
  <si>
    <t>3-A021</t>
  </si>
  <si>
    <t>3-A022</t>
  </si>
  <si>
    <t>3-A023</t>
  </si>
  <si>
    <t>3-A025</t>
  </si>
  <si>
    <t>3-A026</t>
  </si>
  <si>
    <t>3-A028</t>
  </si>
  <si>
    <t>3-A029</t>
  </si>
  <si>
    <t>3-A030</t>
  </si>
  <si>
    <t>3-A031</t>
  </si>
  <si>
    <t>3-A032</t>
  </si>
  <si>
    <t>3-A033</t>
  </si>
  <si>
    <t>3-A035</t>
  </si>
  <si>
    <t>3-A036</t>
  </si>
  <si>
    <t>3-A038</t>
  </si>
  <si>
    <t>3-A039</t>
  </si>
  <si>
    <t>3-A050</t>
  </si>
  <si>
    <t>3-A051</t>
  </si>
  <si>
    <t>3-A053-1</t>
  </si>
  <si>
    <t>3-A055</t>
  </si>
  <si>
    <t>3-A056</t>
  </si>
  <si>
    <t>3-A058</t>
  </si>
  <si>
    <t>3-A059</t>
  </si>
  <si>
    <t>3-A060</t>
  </si>
  <si>
    <t>3-A061</t>
  </si>
  <si>
    <t>3-A062</t>
  </si>
  <si>
    <t>3-B050</t>
  </si>
  <si>
    <t>3-B051</t>
  </si>
  <si>
    <t>3-B052</t>
  </si>
  <si>
    <t>3-B053</t>
  </si>
  <si>
    <t>3-B059</t>
  </si>
  <si>
    <t>3-B060</t>
  </si>
  <si>
    <t>3-B061</t>
  </si>
  <si>
    <t>3-B062</t>
  </si>
  <si>
    <t>3-A063</t>
  </si>
  <si>
    <t>3-A065</t>
  </si>
  <si>
    <t>3-A066</t>
  </si>
  <si>
    <t>3-A068</t>
  </si>
  <si>
    <t>3-A069</t>
  </si>
  <si>
    <t>3-A080</t>
  </si>
  <si>
    <t>3-A081</t>
  </si>
  <si>
    <t>3-A082</t>
  </si>
  <si>
    <t>3-A083</t>
  </si>
  <si>
    <t>3-A083-1</t>
  </si>
  <si>
    <t>3-A085</t>
  </si>
  <si>
    <t>3-A086</t>
  </si>
  <si>
    <t>3-A088</t>
  </si>
  <si>
    <t>3-A089</t>
  </si>
  <si>
    <t>3-A090</t>
  </si>
  <si>
    <t>3-A091</t>
  </si>
  <si>
    <t>3-A092</t>
  </si>
  <si>
    <t>3-A093</t>
  </si>
  <si>
    <t>3-A095</t>
  </si>
  <si>
    <t>3-A096</t>
  </si>
  <si>
    <t>3-A098</t>
  </si>
  <si>
    <t>3-A099</t>
  </si>
  <si>
    <t>3-A101</t>
  </si>
  <si>
    <t>3-A101-1</t>
  </si>
  <si>
    <t>3-A102</t>
  </si>
  <si>
    <t>3-A103</t>
  </si>
  <si>
    <t>3-A105</t>
  </si>
  <si>
    <t>3-B002</t>
  </si>
  <si>
    <t>3-B003</t>
  </si>
  <si>
    <t>3-B005</t>
  </si>
  <si>
    <t>3-B006</t>
  </si>
  <si>
    <t>3-B008</t>
  </si>
  <si>
    <t>3-B009</t>
  </si>
  <si>
    <t>3-B018</t>
  </si>
  <si>
    <t>3-B019</t>
  </si>
  <si>
    <t>3-B020</t>
  </si>
  <si>
    <t>3-B021</t>
  </si>
  <si>
    <t>3-B022</t>
  </si>
  <si>
    <t>3-B023</t>
  </si>
  <si>
    <t>3-B025</t>
  </si>
  <si>
    <t>3-B026</t>
  </si>
  <si>
    <t>3-B028</t>
  </si>
  <si>
    <t>3-B029</t>
  </si>
  <si>
    <t>3-B030</t>
  </si>
  <si>
    <t>3-B031</t>
  </si>
  <si>
    <t>3-B010</t>
  </si>
  <si>
    <t>3-B011</t>
  </si>
  <si>
    <t>3-B012</t>
  </si>
  <si>
    <t>3-B013</t>
  </si>
  <si>
    <t>3-B015</t>
  </si>
  <si>
    <t>3-B016</t>
  </si>
  <si>
    <t>3-B032</t>
  </si>
  <si>
    <t>3-B033</t>
  </si>
  <si>
    <t>3-B035</t>
  </si>
  <si>
    <t>3-B036</t>
  </si>
  <si>
    <t>3-B055</t>
  </si>
  <si>
    <t>3-B056</t>
  </si>
  <si>
    <t>3-B058</t>
  </si>
  <si>
    <t>3-B063</t>
  </si>
  <si>
    <t>3-B065</t>
  </si>
  <si>
    <t>3-B066</t>
  </si>
  <si>
    <t>3-B068</t>
  </si>
  <si>
    <t>已签临租6个月合同</t>
  </si>
  <si>
    <t>3-B069</t>
  </si>
  <si>
    <t>3-B080</t>
  </si>
  <si>
    <t>3-B081</t>
  </si>
  <si>
    <t>3-B082</t>
  </si>
  <si>
    <t>3-B083</t>
  </si>
  <si>
    <t>3-B085</t>
  </si>
  <si>
    <t>3-B086</t>
  </si>
  <si>
    <t>3-B088</t>
  </si>
  <si>
    <t>3-B089</t>
  </si>
  <si>
    <t>3-B089-1</t>
  </si>
  <si>
    <t>3-B090</t>
  </si>
  <si>
    <t>3-B091</t>
  </si>
  <si>
    <t>3-B092</t>
  </si>
  <si>
    <t>3-B093</t>
  </si>
  <si>
    <t>3-B095</t>
  </si>
  <si>
    <t>3-B096</t>
  </si>
  <si>
    <t>3-B098</t>
  </si>
  <si>
    <t>3-B099</t>
  </si>
  <si>
    <t>3-B100</t>
  </si>
  <si>
    <t>3-B101</t>
  </si>
  <si>
    <t>3-B102</t>
  </si>
  <si>
    <t>3-B103</t>
  </si>
  <si>
    <t>3-B105</t>
  </si>
  <si>
    <t>3-B106</t>
  </si>
  <si>
    <t>3-B108</t>
  </si>
  <si>
    <t>3-B109</t>
  </si>
  <si>
    <t>3-B110</t>
  </si>
  <si>
    <t>3-B111</t>
  </si>
  <si>
    <t>3-B112</t>
  </si>
  <si>
    <t>3-B113</t>
  </si>
  <si>
    <t>3-B115</t>
  </si>
  <si>
    <t>3-B116</t>
  </si>
  <si>
    <t>3-B119</t>
  </si>
  <si>
    <t>3-B120</t>
  </si>
  <si>
    <t>3-B121</t>
  </si>
  <si>
    <t>3-B122</t>
  </si>
  <si>
    <t>3-B123</t>
  </si>
  <si>
    <t>3-B125</t>
  </si>
  <si>
    <t>3-B126</t>
  </si>
  <si>
    <t>3-B128</t>
  </si>
  <si>
    <t>3-B129</t>
  </si>
  <si>
    <t>3-B130</t>
  </si>
  <si>
    <t>3-B131</t>
  </si>
  <si>
    <t>3-B132</t>
  </si>
  <si>
    <t>3-B133</t>
  </si>
  <si>
    <t>3-B135</t>
  </si>
  <si>
    <t>3-B136</t>
  </si>
  <si>
    <t>3-B138</t>
  </si>
  <si>
    <t>3-B139</t>
  </si>
  <si>
    <t>3-B092-095/130-132/150/151/152/153/155</t>
  </si>
  <si>
    <t>3-B156</t>
  </si>
  <si>
    <t>3-B158</t>
  </si>
  <si>
    <t>3-B159</t>
  </si>
  <si>
    <t>3-B160</t>
  </si>
  <si>
    <t>3-B161</t>
  </si>
  <si>
    <t>3-B162</t>
  </si>
  <si>
    <t>3-B162-1</t>
  </si>
  <si>
    <t>3-B163</t>
  </si>
  <si>
    <t>3-B165</t>
  </si>
  <si>
    <t>3-B166</t>
  </si>
  <si>
    <t>3-B168</t>
  </si>
  <si>
    <t>写字楼A区</t>
  </si>
  <si>
    <t>A001-1</t>
  </si>
  <si>
    <t>A001</t>
  </si>
  <si>
    <t>A002</t>
  </si>
  <si>
    <t>A003</t>
  </si>
  <si>
    <t>A005</t>
  </si>
  <si>
    <t>A006</t>
  </si>
  <si>
    <t>A008</t>
  </si>
  <si>
    <t>A009</t>
  </si>
  <si>
    <t>A010</t>
  </si>
  <si>
    <t>A011</t>
  </si>
  <si>
    <t>A095</t>
  </si>
  <si>
    <t>A096</t>
  </si>
  <si>
    <t>A098</t>
  </si>
  <si>
    <t>A099</t>
  </si>
  <si>
    <t>A100</t>
  </si>
  <si>
    <t>A013</t>
  </si>
  <si>
    <t>A015</t>
  </si>
  <si>
    <t>仓库A区</t>
  </si>
  <si>
    <t>A019</t>
  </si>
  <si>
    <t>4A050</t>
  </si>
  <si>
    <t>4A051</t>
  </si>
  <si>
    <t>4A052</t>
  </si>
  <si>
    <t>4A053</t>
  </si>
  <si>
    <t>4A055</t>
  </si>
  <si>
    <t>A056</t>
  </si>
  <si>
    <t>A059</t>
  </si>
  <si>
    <t>A060</t>
  </si>
  <si>
    <t>A061</t>
  </si>
  <si>
    <t>A062</t>
  </si>
  <si>
    <t>A063</t>
  </si>
  <si>
    <t>A065</t>
  </si>
  <si>
    <t>A066</t>
  </si>
  <si>
    <t>A068</t>
  </si>
  <si>
    <t>A069</t>
  </si>
  <si>
    <t>A089</t>
  </si>
  <si>
    <t>A090</t>
  </si>
  <si>
    <t>A091</t>
  </si>
  <si>
    <t>A092</t>
  </si>
  <si>
    <t>4-A121/122/123/B013/015/016</t>
  </si>
  <si>
    <t>4-A125/126/128/129/130/B006/008/009/010/011/012</t>
  </si>
  <si>
    <t>B001</t>
  </si>
  <si>
    <t>B002</t>
  </si>
  <si>
    <t>B003</t>
  </si>
  <si>
    <t>B005</t>
  </si>
  <si>
    <t>B018</t>
  </si>
  <si>
    <t>B019</t>
  </si>
  <si>
    <t>B021</t>
  </si>
  <si>
    <t>B022</t>
  </si>
  <si>
    <t>B023</t>
  </si>
  <si>
    <t>B025</t>
  </si>
  <si>
    <t>B026</t>
  </si>
  <si>
    <t>B028</t>
  </si>
  <si>
    <t>B029</t>
  </si>
  <si>
    <t>B030</t>
  </si>
  <si>
    <t>B032</t>
  </si>
  <si>
    <t>B033</t>
  </si>
  <si>
    <t>B035</t>
  </si>
  <si>
    <t>B036</t>
  </si>
  <si>
    <t>B038</t>
  </si>
  <si>
    <t>B039</t>
  </si>
  <si>
    <t>B050</t>
  </si>
  <si>
    <t>B051</t>
  </si>
  <si>
    <t>B052</t>
  </si>
  <si>
    <t>B053</t>
  </si>
  <si>
    <t>B055</t>
  </si>
  <si>
    <t>B056</t>
  </si>
  <si>
    <t>B082</t>
  </si>
  <si>
    <t>B083</t>
  </si>
  <si>
    <t>B058</t>
  </si>
  <si>
    <t>B059</t>
  </si>
  <si>
    <t>B060</t>
  </si>
  <si>
    <t>B080</t>
  </si>
  <si>
    <t>B062</t>
  </si>
  <si>
    <t>B063</t>
  </si>
  <si>
    <t>B065</t>
  </si>
  <si>
    <t>B066</t>
  </si>
  <si>
    <t>B081</t>
  </si>
  <si>
    <t>B121</t>
  </si>
  <si>
    <t>B122</t>
  </si>
  <si>
    <t>仓库B区</t>
  </si>
  <si>
    <t>B123</t>
  </si>
  <si>
    <t>B125</t>
  </si>
  <si>
    <t>B183</t>
  </si>
  <si>
    <t>B185</t>
  </si>
  <si>
    <t>B126</t>
  </si>
  <si>
    <t>写字楼B区</t>
  </si>
  <si>
    <t>B128</t>
  </si>
  <si>
    <t>B181</t>
  </si>
  <si>
    <t>B182</t>
  </si>
  <si>
    <t>B186</t>
  </si>
  <si>
    <t>B188</t>
  </si>
  <si>
    <t>B189</t>
  </si>
  <si>
    <t>4C01</t>
  </si>
  <si>
    <t>4C02</t>
  </si>
  <si>
    <t>4C03</t>
  </si>
  <si>
    <t>4C05</t>
  </si>
  <si>
    <t>4C06</t>
  </si>
  <si>
    <t>4C08</t>
  </si>
  <si>
    <t>4C09</t>
  </si>
  <si>
    <t>4C10-1</t>
  </si>
  <si>
    <t>4C10</t>
  </si>
  <si>
    <t>4C11</t>
  </si>
  <si>
    <t>513-1</t>
  </si>
  <si>
    <t>518-1</t>
  </si>
  <si>
    <t>旧519</t>
  </si>
  <si>
    <t>520-1</t>
  </si>
  <si>
    <t>520-2</t>
  </si>
  <si>
    <t>520-3</t>
  </si>
  <si>
    <t>520-9</t>
  </si>
  <si>
    <t>写字楼</t>
  </si>
  <si>
    <t>漏水，不能租</t>
  </si>
  <si>
    <t>广惠</t>
  </si>
  <si>
    <t>三楼整层</t>
  </si>
  <si>
    <t>四楼整层</t>
  </si>
  <si>
    <t>王德纯</t>
  </si>
  <si>
    <t>区域</t>
  </si>
  <si>
    <t>合同面积</t>
  </si>
  <si>
    <t>商户名称</t>
  </si>
  <si>
    <t>起租期</t>
  </si>
  <si>
    <t>结束期</t>
  </si>
  <si>
    <t>A1栋临街一层</t>
  </si>
  <si>
    <t>A1栋临街 01</t>
  </si>
  <si>
    <t>杨珊</t>
  </si>
  <si>
    <t>A1栋临街 02</t>
  </si>
  <si>
    <t>陈清芳</t>
  </si>
  <si>
    <t>A1栋临街 03</t>
  </si>
  <si>
    <t>曹雪影</t>
  </si>
  <si>
    <t>2025.4.16</t>
  </si>
  <si>
    <t>2028.4.15</t>
  </si>
  <si>
    <t>A1栋临街 05</t>
  </si>
  <si>
    <t>A1栋临街 06</t>
  </si>
  <si>
    <t>A1栋临街 07</t>
  </si>
  <si>
    <t>A1栋临街 08</t>
  </si>
  <si>
    <t>A1栋临街 09</t>
  </si>
  <si>
    <t>A1栋临街 10</t>
  </si>
  <si>
    <t>A1栋临街 11</t>
  </si>
  <si>
    <t>A1栋临街 12</t>
  </si>
  <si>
    <t>A1栋临街 13</t>
  </si>
  <si>
    <t>张俊星</t>
  </si>
  <si>
    <t>A1栋临街 15</t>
  </si>
  <si>
    <t>A1栋临街 16</t>
  </si>
  <si>
    <t>燕娜</t>
  </si>
  <si>
    <t>A1栋临街 17</t>
  </si>
  <si>
    <t>A1栋临街 18</t>
  </si>
  <si>
    <t>韩陆梅</t>
  </si>
  <si>
    <t>A1栋临街 19</t>
  </si>
  <si>
    <t>A1栋临街 20</t>
  </si>
  <si>
    <t>韩德民</t>
  </si>
  <si>
    <t>A1栋临街 21</t>
  </si>
  <si>
    <t>李翠琼</t>
  </si>
  <si>
    <t>A1栋临街 22</t>
  </si>
  <si>
    <t>A1栋临街 23</t>
  </si>
  <si>
    <t>A1栋临街 25</t>
  </si>
  <si>
    <t>李朝峰</t>
  </si>
  <si>
    <t>A1栋临街 26</t>
  </si>
  <si>
    <t>彭述勇</t>
  </si>
  <si>
    <t>A1栋临街 27</t>
  </si>
  <si>
    <t>A1栋临街 28</t>
  </si>
  <si>
    <t>A1栋临街 29</t>
  </si>
  <si>
    <t>A1栋临街 30</t>
  </si>
  <si>
    <t>曹雪立</t>
  </si>
  <si>
    <t>A1栋临街 31</t>
  </si>
  <si>
    <t>A1栋临街 32</t>
  </si>
  <si>
    <t>A1栋临街 33</t>
  </si>
  <si>
    <t>A1栋临街 35</t>
  </si>
  <si>
    <t>A1栋临街 36</t>
  </si>
  <si>
    <t>袁世民</t>
  </si>
  <si>
    <t>A1栋临街 37</t>
  </si>
  <si>
    <t>A1栋一层</t>
  </si>
  <si>
    <t>A1 01</t>
  </si>
  <si>
    <t>A1 02</t>
  </si>
  <si>
    <t>A1 03</t>
  </si>
  <si>
    <t>A1 05</t>
  </si>
  <si>
    <t>李宇霞</t>
  </si>
  <si>
    <t>A1 06</t>
  </si>
  <si>
    <t>A1 07</t>
  </si>
  <si>
    <t>A1 08</t>
  </si>
  <si>
    <t>A1 09</t>
  </si>
  <si>
    <t>A1 10</t>
  </si>
  <si>
    <t>A1 11</t>
  </si>
  <si>
    <t>A1 12</t>
  </si>
  <si>
    <t>A1 13</t>
  </si>
  <si>
    <t>A1 15</t>
  </si>
  <si>
    <t>A1 16</t>
  </si>
  <si>
    <t>A1 17</t>
  </si>
  <si>
    <t>A1 18</t>
  </si>
  <si>
    <t>A1 19</t>
  </si>
  <si>
    <t>A1 20</t>
  </si>
  <si>
    <t>A1 21</t>
  </si>
  <si>
    <t>A1栋二层</t>
  </si>
  <si>
    <t>A1 201</t>
  </si>
  <si>
    <t>A1 202</t>
  </si>
  <si>
    <t>A1 203</t>
  </si>
  <si>
    <t>A1 205</t>
  </si>
  <si>
    <t>A1 206</t>
  </si>
  <si>
    <t>A1 208</t>
  </si>
  <si>
    <t>A1 209</t>
  </si>
  <si>
    <t>彭友谊</t>
  </si>
  <si>
    <t>2025.5.1</t>
  </si>
  <si>
    <t>2028.4.30</t>
  </si>
  <si>
    <t>A1 210</t>
  </si>
  <si>
    <t>游建都</t>
  </si>
  <si>
    <t>2025.5.15</t>
  </si>
  <si>
    <t>A1 211</t>
  </si>
  <si>
    <t>邓志雄</t>
  </si>
  <si>
    <t>A1 212</t>
  </si>
  <si>
    <t>A1 213</t>
  </si>
  <si>
    <t>杨守花</t>
  </si>
  <si>
    <t>A1 215</t>
  </si>
  <si>
    <t>A1 216</t>
  </si>
  <si>
    <t>A1 218</t>
  </si>
  <si>
    <t>蔡庆文</t>
  </si>
  <si>
    <t>A1 219</t>
  </si>
  <si>
    <t>吴坤</t>
  </si>
  <si>
    <t>A1 220</t>
  </si>
  <si>
    <t>A1 221</t>
  </si>
  <si>
    <t>陈建勇</t>
  </si>
  <si>
    <t>2025.4.19</t>
  </si>
  <si>
    <t>2028.4.18</t>
  </si>
  <si>
    <t>A1 222</t>
  </si>
  <si>
    <t>A1 223</t>
  </si>
  <si>
    <t>魏成龙</t>
  </si>
  <si>
    <t>A1 225</t>
  </si>
  <si>
    <t>罗妙梅</t>
  </si>
  <si>
    <t>A1 226</t>
  </si>
  <si>
    <t>侯海军</t>
  </si>
  <si>
    <t>A1 228</t>
  </si>
  <si>
    <t>李桂程</t>
  </si>
  <si>
    <t>A1 229</t>
  </si>
  <si>
    <t>A1 230</t>
  </si>
  <si>
    <t>王锦浩/广州谷瑞医疗科技有限公司</t>
  </si>
  <si>
    <t>A1 231</t>
  </si>
  <si>
    <t>陈晓燕</t>
  </si>
  <si>
    <t>A1 232</t>
  </si>
  <si>
    <t>A1 233</t>
  </si>
  <si>
    <t>A1 235</t>
  </si>
  <si>
    <t>A1 236</t>
  </si>
  <si>
    <t>A1 238</t>
  </si>
  <si>
    <t>戚超</t>
  </si>
  <si>
    <t>A1 239</t>
  </si>
  <si>
    <t>A1 250</t>
  </si>
  <si>
    <t>姚靖</t>
  </si>
  <si>
    <t>A1 251</t>
  </si>
  <si>
    <t>A1 252</t>
  </si>
  <si>
    <t>A1 253</t>
  </si>
  <si>
    <t>A1 255</t>
  </si>
  <si>
    <t>A1 256</t>
  </si>
  <si>
    <t>彭小明</t>
  </si>
  <si>
    <t>A1 258</t>
  </si>
  <si>
    <t>王先生</t>
  </si>
  <si>
    <t>A2栋临街一层</t>
  </si>
  <si>
    <t>A2栋临街 01</t>
  </si>
  <si>
    <t>A2栋临街 02</t>
  </si>
  <si>
    <t>A2栋临街 03</t>
  </si>
  <si>
    <t>广州欢选屋餐饮有限公司</t>
  </si>
  <si>
    <t>A2栋临街 05</t>
  </si>
  <si>
    <t>A2栋临街 06</t>
  </si>
  <si>
    <t>行俊良</t>
  </si>
  <si>
    <t>A2栋临街 07</t>
  </si>
  <si>
    <t>A2栋临街 08</t>
  </si>
  <si>
    <t>黄永欲</t>
  </si>
  <si>
    <t>A2栋临街 09</t>
  </si>
  <si>
    <t>A2栋临街 10</t>
  </si>
  <si>
    <t>A2栋临街 11</t>
  </si>
  <si>
    <t>梁作奖</t>
  </si>
  <si>
    <t>A2栋临街 12</t>
  </si>
  <si>
    <t>A2栋临街 13</t>
  </si>
  <si>
    <t>A2栋临街 15</t>
  </si>
  <si>
    <t>A2栋临街 16</t>
  </si>
  <si>
    <t>蒋爱华</t>
  </si>
  <si>
    <t>A2栋临街 17</t>
  </si>
  <si>
    <t>A2栋临街 18</t>
  </si>
  <si>
    <t>A2栋临街 19</t>
  </si>
  <si>
    <t>A2栋临街 20</t>
  </si>
  <si>
    <t>A2栋临街 21</t>
  </si>
  <si>
    <t>A2栋临街 22</t>
  </si>
  <si>
    <t>谢芝良</t>
  </si>
  <si>
    <t>A2栋临街 23</t>
  </si>
  <si>
    <t>A2栋临街 25</t>
  </si>
  <si>
    <t>黄永焕</t>
  </si>
  <si>
    <t>A2栋临街 26</t>
  </si>
  <si>
    <t>赖松满</t>
  </si>
  <si>
    <t>A2栋临街 27</t>
  </si>
  <si>
    <t>A2栋临街 28</t>
  </si>
  <si>
    <t>A2栋临街 29</t>
  </si>
  <si>
    <t>裴清松</t>
  </si>
  <si>
    <t>A2栋临街 30</t>
  </si>
  <si>
    <t>张丽玲</t>
  </si>
  <si>
    <t>A2栋临街 31</t>
  </si>
  <si>
    <t>A2栋临街 32</t>
  </si>
  <si>
    <t>A2栋临街 33</t>
  </si>
  <si>
    <t>彭小忠</t>
  </si>
  <si>
    <t>A2栋临街 35</t>
  </si>
  <si>
    <t>谢杰</t>
  </si>
  <si>
    <t>A2栋一层</t>
  </si>
  <si>
    <t>A2 01</t>
  </si>
  <si>
    <t>A2 02</t>
  </si>
  <si>
    <t>A2 03</t>
  </si>
  <si>
    <t>A2 05</t>
  </si>
  <si>
    <t>李和莲</t>
  </si>
  <si>
    <t>A2 06</t>
  </si>
  <si>
    <t>吴友和</t>
  </si>
  <si>
    <t>A2 07</t>
  </si>
  <si>
    <t>江利建</t>
  </si>
  <si>
    <t>A2 08</t>
  </si>
  <si>
    <t>张和妹</t>
  </si>
  <si>
    <t>A2 09</t>
  </si>
  <si>
    <t>A2 10</t>
  </si>
  <si>
    <t>A2 11</t>
  </si>
  <si>
    <t>罗孝祥</t>
  </si>
  <si>
    <t>A2 12</t>
  </si>
  <si>
    <t>林少榕</t>
  </si>
  <si>
    <t>A2 13</t>
  </si>
  <si>
    <t>吴春发</t>
  </si>
  <si>
    <t>A2 15</t>
  </si>
  <si>
    <t>吴建国</t>
  </si>
  <si>
    <t>A2 16</t>
  </si>
  <si>
    <t>A2 17</t>
  </si>
  <si>
    <t>A2 18</t>
  </si>
  <si>
    <t>郭鸿鑫</t>
  </si>
  <si>
    <t>A2 19</t>
  </si>
  <si>
    <t>A2 20</t>
  </si>
  <si>
    <t>A2 21</t>
  </si>
  <si>
    <t>A2 22</t>
  </si>
  <si>
    <t>洪大忠</t>
  </si>
  <si>
    <t>A2 23</t>
  </si>
  <si>
    <t>陈伟杰</t>
  </si>
  <si>
    <t>A2栋二层</t>
  </si>
  <si>
    <t>A2 201</t>
  </si>
  <si>
    <t>龚艳娴</t>
  </si>
  <si>
    <t>A2 202</t>
  </si>
  <si>
    <t>A2 203</t>
  </si>
  <si>
    <t>A2 205</t>
  </si>
  <si>
    <t>邓裕岭</t>
  </si>
  <si>
    <t>A2 206</t>
  </si>
  <si>
    <t>许开涛</t>
  </si>
  <si>
    <t>2026.3.8</t>
  </si>
  <si>
    <t>2027.3.7</t>
  </si>
  <si>
    <t>A2 208</t>
  </si>
  <si>
    <t>王天琎</t>
  </si>
  <si>
    <t>A2 209</t>
  </si>
  <si>
    <t>A2 210（216）</t>
  </si>
  <si>
    <t>广州市腾达时国际货运代理有限公司</t>
  </si>
  <si>
    <t>A2 211</t>
  </si>
  <si>
    <t>宋年</t>
  </si>
  <si>
    <t>A2 212</t>
  </si>
  <si>
    <t>A2 213</t>
  </si>
  <si>
    <t>A2 213B</t>
  </si>
  <si>
    <t>费诗琪</t>
  </si>
  <si>
    <t>A2栋三层</t>
  </si>
  <si>
    <t>A2 301</t>
  </si>
  <si>
    <t>A2-302A</t>
  </si>
  <si>
    <t>A2 302</t>
  </si>
  <si>
    <t>郭鸿鑫2</t>
  </si>
  <si>
    <t>A2 303</t>
  </si>
  <si>
    <t>A3栋三层</t>
  </si>
  <si>
    <t>A2 303一1</t>
  </si>
  <si>
    <t>A2 303B</t>
  </si>
  <si>
    <t>谢贵权</t>
  </si>
  <si>
    <t>A2 305</t>
  </si>
  <si>
    <t>A2 308</t>
  </si>
  <si>
    <t>谢舒畅</t>
  </si>
  <si>
    <t>A2 309</t>
  </si>
  <si>
    <t>A2 310</t>
  </si>
  <si>
    <t>刘建青</t>
  </si>
  <si>
    <t>A2 310-2</t>
  </si>
  <si>
    <t>A2 310-3</t>
  </si>
  <si>
    <t>刘垒</t>
  </si>
  <si>
    <t>A2 310-5</t>
  </si>
  <si>
    <t>A2 310-6</t>
  </si>
  <si>
    <t>A2 310-7（实际312）</t>
  </si>
  <si>
    <t>A2 310-8</t>
  </si>
  <si>
    <t>A2 310-9</t>
  </si>
  <si>
    <t>A2 310-10</t>
  </si>
  <si>
    <t>A2 310-11</t>
  </si>
  <si>
    <t>李婵</t>
  </si>
  <si>
    <t>A3栋一层</t>
  </si>
  <si>
    <t>A3 01</t>
  </si>
  <si>
    <t>郑先友</t>
  </si>
  <si>
    <t>A3 02</t>
  </si>
  <si>
    <t>范坤全</t>
  </si>
  <si>
    <t>A3 03</t>
  </si>
  <si>
    <t>A3 05</t>
  </si>
  <si>
    <t>A3 06</t>
  </si>
  <si>
    <t>A3 07</t>
  </si>
  <si>
    <t>A3 08</t>
  </si>
  <si>
    <t>A3 09</t>
  </si>
  <si>
    <t>A3 10</t>
  </si>
  <si>
    <t>A3 11</t>
  </si>
  <si>
    <t>洪大贵</t>
  </si>
  <si>
    <t>A3 12</t>
  </si>
  <si>
    <t>许言</t>
  </si>
  <si>
    <t>A3 13</t>
  </si>
  <si>
    <t>A3 15</t>
  </si>
  <si>
    <t>刘光君</t>
  </si>
  <si>
    <t>A3 16</t>
  </si>
  <si>
    <t>A3 17</t>
  </si>
  <si>
    <t>张能国</t>
  </si>
  <si>
    <t>2028.4.17</t>
  </si>
  <si>
    <t>A3 18</t>
  </si>
  <si>
    <t>A3 19</t>
  </si>
  <si>
    <t>孙胤霖</t>
  </si>
  <si>
    <t>A3 20</t>
  </si>
  <si>
    <t>A3 21</t>
  </si>
  <si>
    <t>陈大西</t>
  </si>
  <si>
    <t>A3 22</t>
  </si>
  <si>
    <t>A3 23</t>
  </si>
  <si>
    <t>邓田田</t>
  </si>
  <si>
    <t>2025.3.1</t>
  </si>
  <si>
    <t>2028.2.28</t>
  </si>
  <si>
    <t>A3 25</t>
  </si>
  <si>
    <t>A3 26</t>
  </si>
  <si>
    <t>陈大贤</t>
  </si>
  <si>
    <t>A3 27</t>
  </si>
  <si>
    <t>A3 28</t>
  </si>
  <si>
    <t>刘梦琪</t>
  </si>
  <si>
    <t>A3 29</t>
  </si>
  <si>
    <t>A3 30</t>
  </si>
  <si>
    <t>吕建平</t>
  </si>
  <si>
    <t>A3 31</t>
  </si>
  <si>
    <t>A3 32</t>
  </si>
  <si>
    <t>陈勇伟</t>
  </si>
  <si>
    <t>A3 33</t>
  </si>
  <si>
    <t>陈泉城</t>
  </si>
  <si>
    <t>A3 35</t>
  </si>
  <si>
    <t>A3 36</t>
  </si>
  <si>
    <t>杨映丽</t>
  </si>
  <si>
    <t>A3栋二层</t>
  </si>
  <si>
    <t>A3 201</t>
  </si>
  <si>
    <t>A3 202</t>
  </si>
  <si>
    <t>晋廷（广州）农业发展有限公司</t>
  </si>
  <si>
    <t>A3 203</t>
  </si>
  <si>
    <t>广东省地通鲜生农业服务有限公司</t>
  </si>
  <si>
    <t>A3 205</t>
  </si>
  <si>
    <t>A3 206</t>
  </si>
  <si>
    <t>A3 208</t>
  </si>
  <si>
    <t>A3 209</t>
  </si>
  <si>
    <t>A3 210</t>
  </si>
  <si>
    <t>A3 211</t>
  </si>
  <si>
    <t>A3 212</t>
  </si>
  <si>
    <t>A3 213</t>
  </si>
  <si>
    <t>A3 215</t>
  </si>
  <si>
    <t>A3 216</t>
  </si>
  <si>
    <t>A3 218</t>
  </si>
  <si>
    <t>A3 219</t>
  </si>
  <si>
    <t>A3 220</t>
  </si>
  <si>
    <t>A3 221</t>
  </si>
  <si>
    <t>A5栋一层</t>
  </si>
  <si>
    <t>A5 01+A</t>
  </si>
  <si>
    <t>李水城1</t>
  </si>
  <si>
    <t>A5 01</t>
  </si>
  <si>
    <t>A5 02</t>
  </si>
  <si>
    <t>林万顷</t>
  </si>
  <si>
    <t>A5 03</t>
  </si>
  <si>
    <t>A5 05</t>
  </si>
  <si>
    <t>李水星</t>
  </si>
  <si>
    <t>A5 06</t>
  </si>
  <si>
    <t>张锡林</t>
  </si>
  <si>
    <t>A5 07</t>
  </si>
  <si>
    <t>A5 08</t>
  </si>
  <si>
    <t>A5 09</t>
  </si>
  <si>
    <t>A5 10</t>
  </si>
  <si>
    <t>A5 11</t>
  </si>
  <si>
    <t>A5 12</t>
  </si>
  <si>
    <t>A5 13</t>
  </si>
  <si>
    <t>A5 15</t>
  </si>
  <si>
    <t>A5 16</t>
  </si>
  <si>
    <t>吴增威</t>
  </si>
  <si>
    <t>A5 17</t>
  </si>
  <si>
    <t>吴增艳</t>
  </si>
  <si>
    <t>A5 18</t>
  </si>
  <si>
    <t>张武勇</t>
  </si>
  <si>
    <t>A5 19</t>
  </si>
  <si>
    <t>A5 20</t>
  </si>
  <si>
    <t>李顺尧</t>
  </si>
  <si>
    <t>A5 21</t>
  </si>
  <si>
    <t>A5 22</t>
  </si>
  <si>
    <t>A5 23</t>
  </si>
  <si>
    <t>李水城</t>
  </si>
  <si>
    <t>A5 25</t>
  </si>
  <si>
    <t>李水城2</t>
  </si>
  <si>
    <t>A5 26</t>
  </si>
  <si>
    <t>洪庆林</t>
  </si>
  <si>
    <t>A5 27</t>
  </si>
  <si>
    <t>陈福源</t>
  </si>
  <si>
    <t>A5 28</t>
  </si>
  <si>
    <t>A5 29</t>
  </si>
  <si>
    <t>A5 30</t>
  </si>
  <si>
    <t>付仁豪</t>
  </si>
  <si>
    <t>A5栋二层</t>
  </si>
  <si>
    <t>A5 201</t>
  </si>
  <si>
    <t>A5 202</t>
  </si>
  <si>
    <t>A5 203</t>
  </si>
  <si>
    <t>A5 205</t>
  </si>
  <si>
    <t>A5 206</t>
  </si>
  <si>
    <t>A5 208</t>
  </si>
  <si>
    <t>A5 209</t>
  </si>
  <si>
    <t>A5 210</t>
  </si>
  <si>
    <t>A5 211</t>
  </si>
  <si>
    <t>A5 212</t>
  </si>
  <si>
    <t>A5 213</t>
  </si>
  <si>
    <t>A5 215</t>
  </si>
  <si>
    <t>何具达</t>
  </si>
  <si>
    <t>A5 216</t>
  </si>
  <si>
    <t>A5 218</t>
  </si>
  <si>
    <t>A5 219</t>
  </si>
  <si>
    <t>广州钦点皮具有限公司</t>
  </si>
  <si>
    <t>A5 220</t>
  </si>
  <si>
    <t xml:space="preserve">董灏 </t>
  </si>
  <si>
    <t>A5 221</t>
  </si>
  <si>
    <t>A5 222</t>
  </si>
  <si>
    <t>A5 223</t>
  </si>
  <si>
    <t>A5 225</t>
  </si>
  <si>
    <t>A5 226</t>
  </si>
  <si>
    <t>A5 228</t>
  </si>
  <si>
    <t>孙黎明</t>
  </si>
  <si>
    <t>A5 229</t>
  </si>
  <si>
    <t>A5 230</t>
  </si>
  <si>
    <t>A5 231</t>
  </si>
  <si>
    <t>A5 232</t>
  </si>
  <si>
    <t>A5 233</t>
  </si>
  <si>
    <t>A5 235</t>
  </si>
  <si>
    <t>A5 236</t>
  </si>
  <si>
    <t>何吉森</t>
  </si>
  <si>
    <t>A5 238</t>
  </si>
  <si>
    <t>A5 239</t>
  </si>
  <si>
    <t>王双</t>
  </si>
  <si>
    <t>2025.4.30</t>
  </si>
  <si>
    <t>A5 250</t>
  </si>
  <si>
    <t>A5 251</t>
  </si>
  <si>
    <t>A5 252</t>
  </si>
  <si>
    <t>A5 253</t>
  </si>
  <si>
    <t>李先生</t>
  </si>
  <si>
    <t>B1栋临街一层</t>
  </si>
  <si>
    <t>B1栋临街 01</t>
  </si>
  <si>
    <t>广州市云龚利机械设备有限公司（张高云）</t>
  </si>
  <si>
    <t>B1栋临街 02</t>
  </si>
  <si>
    <t>B1栋临街 03</t>
  </si>
  <si>
    <t>B1栋临街 05</t>
  </si>
  <si>
    <t>B1栋临街 06</t>
  </si>
  <si>
    <t>B1栋临街 07</t>
  </si>
  <si>
    <t>B1栋临街 08</t>
  </si>
  <si>
    <t>B1栋临街 09</t>
  </si>
  <si>
    <t>B1栋临街 10</t>
  </si>
  <si>
    <t>B1栋临街 11</t>
  </si>
  <si>
    <t>甘承恒</t>
  </si>
  <si>
    <t>B1栋临街 12</t>
  </si>
  <si>
    <t>B1栋临街 13</t>
  </si>
  <si>
    <t>蒲跃昌</t>
  </si>
  <si>
    <t>B1栋临街 15</t>
  </si>
  <si>
    <t>B1栋临街 16</t>
  </si>
  <si>
    <t>杨华坤</t>
  </si>
  <si>
    <t>B1栋临街 17</t>
  </si>
  <si>
    <t>B1栋临街 18</t>
  </si>
  <si>
    <t>陈章兴</t>
  </si>
  <si>
    <t>2025.4.1</t>
  </si>
  <si>
    <t>2028.3.31</t>
  </si>
  <si>
    <t>B1栋临街 19</t>
  </si>
  <si>
    <t>钱灿垣</t>
  </si>
  <si>
    <t>B1栋临街 20</t>
  </si>
  <si>
    <t>燕起</t>
  </si>
  <si>
    <t>B1栋临街 21</t>
  </si>
  <si>
    <t>B1栋临街 22</t>
  </si>
  <si>
    <t>徐小军</t>
  </si>
  <si>
    <t>B1栋临街 23</t>
  </si>
  <si>
    <t>B1栋临街 25</t>
  </si>
  <si>
    <t>运满满</t>
  </si>
  <si>
    <t>B1栋临街 26</t>
  </si>
  <si>
    <t>B1栋临街 27</t>
  </si>
  <si>
    <t>B1栋临街 28</t>
  </si>
  <si>
    <t>B1栋临街 29</t>
  </si>
  <si>
    <t>B1栋临街 30</t>
  </si>
  <si>
    <t>B1栋一层</t>
  </si>
  <si>
    <t>B1 01</t>
  </si>
  <si>
    <t>B1 02</t>
  </si>
  <si>
    <t>B1 03</t>
  </si>
  <si>
    <t>B1 05</t>
  </si>
  <si>
    <t>B1 06</t>
  </si>
  <si>
    <t>B1 07</t>
  </si>
  <si>
    <t>B1 08</t>
  </si>
  <si>
    <t>B1 09</t>
  </si>
  <si>
    <t>B1 10</t>
  </si>
  <si>
    <t>B1 11</t>
  </si>
  <si>
    <t>B1 12</t>
  </si>
  <si>
    <t>B1 13</t>
  </si>
  <si>
    <t>B1 15</t>
  </si>
  <si>
    <t>B1 16</t>
  </si>
  <si>
    <t>电梯</t>
  </si>
  <si>
    <t>B1栋临街二层</t>
  </si>
  <si>
    <t>B1栋临街 201</t>
  </si>
  <si>
    <t>员工宿舍</t>
  </si>
  <si>
    <t>B1栋临街 202</t>
  </si>
  <si>
    <t>B1栋临街 203</t>
  </si>
  <si>
    <t>B1栋临街 205</t>
  </si>
  <si>
    <t>B1栋临街 206</t>
  </si>
  <si>
    <t>B1栋临街 208</t>
  </si>
  <si>
    <t>B1栋临街 209</t>
  </si>
  <si>
    <t>B1栋临街 210</t>
  </si>
  <si>
    <t>B1栋临街 211</t>
  </si>
  <si>
    <t>B1栋二层</t>
  </si>
  <si>
    <t>B1 201</t>
  </si>
  <si>
    <t>李志红</t>
  </si>
  <si>
    <t>B1 202</t>
  </si>
  <si>
    <t>B1 203</t>
  </si>
  <si>
    <t>B1 205</t>
  </si>
  <si>
    <t>B1 206</t>
  </si>
  <si>
    <t>B1 208</t>
  </si>
  <si>
    <t>B1 209</t>
  </si>
  <si>
    <t>B1 210</t>
  </si>
  <si>
    <t>B1 211</t>
  </si>
  <si>
    <t>B1 212</t>
  </si>
  <si>
    <t>B1 213</t>
  </si>
  <si>
    <t>B1 215</t>
  </si>
  <si>
    <t>B1 216</t>
  </si>
  <si>
    <t>B1 218</t>
  </si>
  <si>
    <t>B1 219</t>
  </si>
  <si>
    <t>B1 220</t>
  </si>
  <si>
    <t>B1 221</t>
  </si>
  <si>
    <t>B1 222</t>
  </si>
  <si>
    <t>B1 223</t>
  </si>
  <si>
    <t>B1 225</t>
  </si>
  <si>
    <t>B1 226</t>
  </si>
  <si>
    <t>B1 228</t>
  </si>
  <si>
    <t>B1 229</t>
  </si>
  <si>
    <t>B1 230</t>
  </si>
  <si>
    <t>B1 231</t>
  </si>
  <si>
    <t>B1 232</t>
  </si>
  <si>
    <t>B1 233</t>
  </si>
  <si>
    <t>B1 235</t>
  </si>
  <si>
    <t>B1 236</t>
  </si>
  <si>
    <t>B1 238</t>
  </si>
  <si>
    <t>B2栋一层</t>
  </si>
  <si>
    <t>B2 01</t>
  </si>
  <si>
    <t>B2 02</t>
  </si>
  <si>
    <t>B2 03</t>
  </si>
  <si>
    <t>B2 05</t>
  </si>
  <si>
    <t>陈可明</t>
  </si>
  <si>
    <t>B2 06</t>
  </si>
  <si>
    <t>刘敏敏</t>
  </si>
  <si>
    <t>B2 07</t>
  </si>
  <si>
    <t>张杨安</t>
  </si>
  <si>
    <t>B2 08</t>
  </si>
  <si>
    <t>胡天水</t>
  </si>
  <si>
    <t>B2 09</t>
  </si>
  <si>
    <t>龚芳</t>
  </si>
  <si>
    <t>B2 10</t>
  </si>
  <si>
    <t>B2 11</t>
  </si>
  <si>
    <t>雷勇</t>
  </si>
  <si>
    <t>B2 12</t>
  </si>
  <si>
    <t>叶开梅</t>
  </si>
  <si>
    <t>B2 13</t>
  </si>
  <si>
    <t>文玉清</t>
  </si>
  <si>
    <t>2025.1.1</t>
  </si>
  <si>
    <t>2026.12.31</t>
  </si>
  <si>
    <t>B2 15</t>
  </si>
  <si>
    <t>龚凤云</t>
  </si>
  <si>
    <t>B2 16</t>
  </si>
  <si>
    <t>曹雪芹</t>
  </si>
  <si>
    <t>B2 17</t>
  </si>
  <si>
    <t>张明明</t>
  </si>
  <si>
    <t>B2 18</t>
  </si>
  <si>
    <t>陈恩凤</t>
  </si>
  <si>
    <t>B2 19</t>
  </si>
  <si>
    <t>陈锦埕</t>
  </si>
  <si>
    <t>B2 20</t>
  </si>
  <si>
    <t>张运华</t>
  </si>
  <si>
    <t>B2 21</t>
  </si>
  <si>
    <t>罗丽梅</t>
  </si>
  <si>
    <t>B2 22</t>
  </si>
  <si>
    <t>郑维维</t>
  </si>
  <si>
    <t>B2 23</t>
  </si>
  <si>
    <t>马成豪1</t>
  </si>
  <si>
    <t>B2 25</t>
  </si>
  <si>
    <t>马俊金</t>
  </si>
  <si>
    <t>B2 26</t>
  </si>
  <si>
    <t>于飞</t>
  </si>
  <si>
    <t>B2 27</t>
  </si>
  <si>
    <t>付毕辉</t>
  </si>
  <si>
    <t>B2 28</t>
  </si>
  <si>
    <t>张海林</t>
  </si>
  <si>
    <t>B2 29</t>
  </si>
  <si>
    <t>B2 30</t>
  </si>
  <si>
    <t>楼国庆1</t>
  </si>
  <si>
    <t>B2 31</t>
  </si>
  <si>
    <t>楼国庆</t>
  </si>
  <si>
    <t>B2 32</t>
  </si>
  <si>
    <t>楼国庆2</t>
  </si>
  <si>
    <t>B2 33</t>
  </si>
  <si>
    <t>B2 35</t>
  </si>
  <si>
    <t>B2 36</t>
  </si>
  <si>
    <t>B2 37</t>
  </si>
  <si>
    <t>B2 38</t>
  </si>
  <si>
    <t>B2 39</t>
  </si>
  <si>
    <t>唐探</t>
  </si>
  <si>
    <t>B2 40</t>
  </si>
  <si>
    <t>龙连姣</t>
  </si>
  <si>
    <t>B2栋二层</t>
  </si>
  <si>
    <t>B2 212</t>
  </si>
  <si>
    <t>B2 213</t>
  </si>
  <si>
    <t>B2 215</t>
  </si>
  <si>
    <t>B2 216</t>
  </si>
  <si>
    <t>B2 218</t>
  </si>
  <si>
    <t>李明君</t>
  </si>
  <si>
    <t>B2 219</t>
  </si>
  <si>
    <t>B2 220</t>
  </si>
  <si>
    <t>B2 221</t>
  </si>
  <si>
    <t>B2 222</t>
  </si>
  <si>
    <t>B2 223</t>
  </si>
  <si>
    <t>B2 225</t>
  </si>
  <si>
    <t>B2 226</t>
  </si>
  <si>
    <t>B2 228</t>
  </si>
  <si>
    <t>B2 229</t>
  </si>
  <si>
    <t>B2 230</t>
  </si>
  <si>
    <t>B2 231</t>
  </si>
  <si>
    <t>B2 232</t>
  </si>
  <si>
    <t>B2 233</t>
  </si>
  <si>
    <t>B2 235</t>
  </si>
  <si>
    <t>B2 236</t>
  </si>
  <si>
    <t>B2 238</t>
  </si>
  <si>
    <t>B2 239</t>
  </si>
  <si>
    <t>B2 250</t>
  </si>
  <si>
    <t>B2 251</t>
  </si>
  <si>
    <t>B2 252</t>
  </si>
  <si>
    <t>B2 253</t>
  </si>
  <si>
    <t>B2 255</t>
  </si>
  <si>
    <t>B2 256</t>
  </si>
  <si>
    <t>B3栋一层</t>
  </si>
  <si>
    <t>B3 01</t>
  </si>
  <si>
    <t>穆宁宁</t>
  </si>
  <si>
    <t>B3 02</t>
  </si>
  <si>
    <t>郭鸿鑫3</t>
  </si>
  <si>
    <t>B3 03</t>
  </si>
  <si>
    <t>B3 05</t>
  </si>
  <si>
    <t>B3 06</t>
  </si>
  <si>
    <t>B3 07</t>
  </si>
  <si>
    <t>B3 08</t>
  </si>
  <si>
    <t>B3 09</t>
  </si>
  <si>
    <t>B3 10</t>
  </si>
  <si>
    <t>B3 11</t>
  </si>
  <si>
    <t>B3 12</t>
  </si>
  <si>
    <t>B3 13</t>
  </si>
  <si>
    <t>B3 15</t>
  </si>
  <si>
    <t>B3 16</t>
  </si>
  <si>
    <t>郑德亮</t>
  </si>
  <si>
    <t>B3 17</t>
  </si>
  <si>
    <t>B3 18</t>
  </si>
  <si>
    <t>B3 19</t>
  </si>
  <si>
    <t>陈浪子</t>
  </si>
  <si>
    <t>B3 20</t>
  </si>
  <si>
    <t>张彪</t>
  </si>
  <si>
    <t>B3 21</t>
  </si>
  <si>
    <t>藤广正</t>
  </si>
  <si>
    <t>B3 22</t>
  </si>
  <si>
    <t>唐磊</t>
  </si>
  <si>
    <t>B3 23</t>
  </si>
  <si>
    <t>李书英</t>
  </si>
  <si>
    <t>B3 25</t>
  </si>
  <si>
    <t>B3栋二层</t>
  </si>
  <si>
    <t>B3 201</t>
  </si>
  <si>
    <t>汪振华</t>
  </si>
  <si>
    <t>B3 202</t>
  </si>
  <si>
    <t>B3 203</t>
  </si>
  <si>
    <t>B3 205</t>
  </si>
  <si>
    <t>B3 206</t>
  </si>
  <si>
    <t>B3 208</t>
  </si>
  <si>
    <t>B3 209</t>
  </si>
  <si>
    <t>B3 210</t>
  </si>
  <si>
    <t>B3 211</t>
  </si>
  <si>
    <t>B3 212</t>
  </si>
  <si>
    <t>B3 213</t>
  </si>
  <si>
    <t>B3 215</t>
  </si>
  <si>
    <t>B3 216</t>
  </si>
  <si>
    <t>B3 218</t>
  </si>
  <si>
    <t>B3 219</t>
  </si>
  <si>
    <t>B3 220</t>
  </si>
  <si>
    <t>B3 221</t>
  </si>
  <si>
    <t>B3 222</t>
  </si>
  <si>
    <t>刘日煜</t>
  </si>
  <si>
    <t>B3 223</t>
  </si>
  <si>
    <t>B3 225</t>
  </si>
  <si>
    <t>B3 226</t>
  </si>
  <si>
    <t>B3 228</t>
  </si>
  <si>
    <t>B3 229</t>
  </si>
  <si>
    <t>B5栋一层</t>
  </si>
  <si>
    <t>B5 01</t>
  </si>
  <si>
    <t>廖日宁</t>
  </si>
  <si>
    <t>B5 02</t>
  </si>
  <si>
    <t>B5 03</t>
  </si>
  <si>
    <t>周兴磊</t>
  </si>
  <si>
    <t>B5 05</t>
  </si>
  <si>
    <t>薛君</t>
  </si>
  <si>
    <t>B5 06</t>
  </si>
  <si>
    <t>朱磊</t>
  </si>
  <si>
    <t>B5 07</t>
  </si>
  <si>
    <t>陈怡霖</t>
  </si>
  <si>
    <t>B5 08</t>
  </si>
  <si>
    <t>刘新芳</t>
  </si>
  <si>
    <t>B5 09</t>
  </si>
  <si>
    <t>梅花</t>
  </si>
  <si>
    <t>B5 10</t>
  </si>
  <si>
    <t>梅涛</t>
  </si>
  <si>
    <t>B5 11</t>
  </si>
  <si>
    <t>王荣欣</t>
  </si>
  <si>
    <t>B5 12</t>
  </si>
  <si>
    <t>粱素丽</t>
  </si>
  <si>
    <t>B5 13</t>
  </si>
  <si>
    <t>B5 15</t>
  </si>
  <si>
    <t>王小毛</t>
  </si>
  <si>
    <t>B5 16</t>
  </si>
  <si>
    <t>B5 17</t>
  </si>
  <si>
    <t>廖日金</t>
  </si>
  <si>
    <t>B5 18</t>
  </si>
  <si>
    <t>熊</t>
  </si>
  <si>
    <t>B5 19</t>
  </si>
  <si>
    <t>徐文威</t>
  </si>
  <si>
    <t>B5 20</t>
  </si>
  <si>
    <t>周保华</t>
  </si>
  <si>
    <t>B5 21</t>
  </si>
  <si>
    <t>查光政</t>
  </si>
  <si>
    <t>B5 22</t>
  </si>
  <si>
    <t>B5栋二层</t>
  </si>
  <si>
    <t>B5 201</t>
  </si>
  <si>
    <t>监控室</t>
  </si>
  <si>
    <t>B5 202</t>
  </si>
  <si>
    <t>充电桩休息室</t>
  </si>
  <si>
    <t>B5 203</t>
  </si>
  <si>
    <t>袁棚</t>
  </si>
  <si>
    <t>B5 205</t>
  </si>
  <si>
    <t>B5 206</t>
  </si>
  <si>
    <t>B5 208</t>
  </si>
  <si>
    <t>B5 209</t>
  </si>
  <si>
    <t>B5 210</t>
  </si>
  <si>
    <t>B5 211</t>
  </si>
  <si>
    <t>黄林</t>
  </si>
  <si>
    <t>B5 212</t>
  </si>
  <si>
    <t>B5 213</t>
  </si>
  <si>
    <t>B5 215</t>
  </si>
  <si>
    <t>B5 216</t>
  </si>
  <si>
    <t>B5 218</t>
  </si>
  <si>
    <t>陈书英</t>
  </si>
  <si>
    <t>B5 219</t>
  </si>
  <si>
    <t>B5 220</t>
  </si>
  <si>
    <t>B5 221</t>
  </si>
  <si>
    <t>B5 222</t>
  </si>
  <si>
    <t>B5 223</t>
  </si>
  <si>
    <t>B5 225</t>
  </si>
  <si>
    <t>B6栋一层</t>
  </si>
  <si>
    <t>B6 01</t>
  </si>
  <si>
    <t>马成豪2</t>
  </si>
  <si>
    <t>B6 02</t>
  </si>
  <si>
    <t>杨松安</t>
  </si>
  <si>
    <t>B6 03</t>
  </si>
  <si>
    <t>穆学文</t>
  </si>
  <si>
    <t>B6 05</t>
  </si>
  <si>
    <t>刘胜利</t>
  </si>
  <si>
    <t>B6 06</t>
  </si>
  <si>
    <t>曹雪岭</t>
  </si>
  <si>
    <t>B6 07</t>
  </si>
  <si>
    <t>郑纪祥</t>
  </si>
  <si>
    <t>B6 08</t>
  </si>
  <si>
    <t>张保花</t>
  </si>
  <si>
    <t>B6 09</t>
  </si>
  <si>
    <t>B6 10</t>
  </si>
  <si>
    <t>王进财</t>
  </si>
  <si>
    <t>B6 11</t>
  </si>
  <si>
    <t>B6 12</t>
  </si>
  <si>
    <t>付仰发</t>
  </si>
  <si>
    <t>B6 13</t>
  </si>
  <si>
    <t>B6 15</t>
  </si>
  <si>
    <t>韩伟、韩志聪</t>
  </si>
  <si>
    <t>B6 16</t>
  </si>
  <si>
    <t>B6 17</t>
  </si>
  <si>
    <t>王永全</t>
  </si>
  <si>
    <t>B6 18</t>
  </si>
  <si>
    <t>B6 19</t>
  </si>
  <si>
    <t>付正东</t>
  </si>
  <si>
    <t>B6 20</t>
  </si>
  <si>
    <t>B6 21</t>
  </si>
  <si>
    <t>杨正杰</t>
  </si>
  <si>
    <t>B6 22</t>
  </si>
  <si>
    <t>B6 23</t>
  </si>
  <si>
    <t>B6 25</t>
  </si>
  <si>
    <t>B6 26</t>
  </si>
  <si>
    <t>B6 27</t>
  </si>
  <si>
    <t>江梁明</t>
  </si>
  <si>
    <t>B6 28</t>
  </si>
  <si>
    <t>B6 29</t>
  </si>
  <si>
    <t>王亚培</t>
  </si>
  <si>
    <t>B6 30</t>
  </si>
  <si>
    <t>潘中华</t>
  </si>
  <si>
    <t>B6 31</t>
  </si>
  <si>
    <t xml:space="preserve"> 盖磊</t>
  </si>
  <si>
    <t>B6 32</t>
  </si>
  <si>
    <t>B6 33</t>
  </si>
  <si>
    <t>陈美军</t>
  </si>
  <si>
    <t>B6 35</t>
  </si>
  <si>
    <t>B6栋二层</t>
  </si>
  <si>
    <t>B6 201</t>
  </si>
  <si>
    <t>覃九州1</t>
  </si>
  <si>
    <t>B6 202</t>
  </si>
  <si>
    <t>覃九州</t>
  </si>
  <si>
    <t>B6 203</t>
  </si>
  <si>
    <t>B6 205</t>
  </si>
  <si>
    <t>B6 206</t>
  </si>
  <si>
    <t>叶肇初</t>
  </si>
  <si>
    <t>B6 208</t>
  </si>
  <si>
    <t>B6 209</t>
  </si>
  <si>
    <t>B6 210</t>
  </si>
  <si>
    <t>B6 211-212</t>
  </si>
  <si>
    <t>陈怀银</t>
  </si>
  <si>
    <t>B6 213</t>
  </si>
  <si>
    <t>B6 215</t>
  </si>
  <si>
    <t>黄伟</t>
  </si>
  <si>
    <t>B6 216</t>
  </si>
  <si>
    <t>B6 218</t>
  </si>
  <si>
    <t>B6 219</t>
  </si>
  <si>
    <t>陈江林</t>
  </si>
  <si>
    <t>B6 220</t>
  </si>
  <si>
    <t>B6 221</t>
  </si>
  <si>
    <t>B6 222</t>
  </si>
  <si>
    <t>B6 223</t>
  </si>
  <si>
    <t>B6 225</t>
  </si>
  <si>
    <t>B6 226</t>
  </si>
  <si>
    <t>B6 227</t>
  </si>
  <si>
    <t>梁君兰</t>
  </si>
  <si>
    <t>B6 228</t>
  </si>
  <si>
    <t>B6 229</t>
  </si>
  <si>
    <t>B6 230</t>
  </si>
  <si>
    <t>B6 231</t>
  </si>
  <si>
    <t>B6 232</t>
  </si>
  <si>
    <t>覃九州2</t>
  </si>
  <si>
    <t>B6 233</t>
  </si>
  <si>
    <t>B6 235</t>
  </si>
  <si>
    <t>B6 236</t>
  </si>
  <si>
    <t>B6 238</t>
  </si>
  <si>
    <t>B6 239</t>
  </si>
  <si>
    <t>B6 250</t>
  </si>
  <si>
    <t>占用-天空篮球场</t>
  </si>
  <si>
    <t>B6栋三层</t>
  </si>
  <si>
    <t>B区空地停车场</t>
  </si>
  <si>
    <t>马超锋</t>
  </si>
  <si>
    <t>空地1</t>
  </si>
  <si>
    <t xml:space="preserve">空地1 </t>
  </si>
  <si>
    <t>北京小蚂蚁在线科技有限公司-美团</t>
  </si>
  <si>
    <t>总出租面积</t>
  </si>
  <si>
    <t>一楼间数</t>
  </si>
  <si>
    <t>二三楼间数</t>
  </si>
  <si>
    <t xml:space="preserve"> </t>
  </si>
  <si>
    <t>广惠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</si>
</sst>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76" formatCode="[$-F800]dddd\,\ mmmm\ dd\,\ yyyy"/>
    <numFmt numFmtId="177" formatCode="0.00_ "/>
    <numFmt numFmtId="178" formatCode="yyyy/m/d;@"/>
    <numFmt numFmtId="179" formatCode="0.000_ "/>
    <numFmt numFmtId="180" formatCode="0_ "/>
    <numFmt numFmtId="181" formatCode="0&quot;㎡&quot;"/>
    <numFmt numFmtId="182" formatCode="0.0_ "/>
    <numFmt numFmtId="183" formatCode="0_);[Red]\(0\)"/>
    <numFmt numFmtId="184" formatCode="0_ ;[Red]\-0\ "/>
  </numFmts>
  <fonts count="25" x14ac:knownFonts="1">
    <font>
      <sz val="11"/>
      <color theme="1"/>
      <name val="等线"/>
      <charset val="134"/>
      <scheme val="minor"/>
    </font>
    <font>
      <sz val="11"/>
      <color theme="1"/>
      <name val="新宋体"/>
      <family val="3"/>
      <charset val="134"/>
    </font>
    <font>
      <sz val="11"/>
      <name val="新宋体"/>
      <family val="3"/>
      <charset val="134"/>
    </font>
    <font>
      <b/>
      <sz val="11"/>
      <color theme="1"/>
      <name val="新宋体"/>
      <family val="3"/>
      <charset val="134"/>
    </font>
    <font>
      <b/>
      <sz val="11"/>
      <name val="新宋体"/>
      <family val="3"/>
      <charset val="134"/>
    </font>
    <font>
      <b/>
      <sz val="11"/>
      <color rgb="FFFF0000"/>
      <name val="新宋体"/>
      <family val="3"/>
      <charset val="134"/>
    </font>
    <font>
      <sz val="11"/>
      <color rgb="FFFF0000"/>
      <name val="新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24"/>
      <color theme="1"/>
      <name val="等线"/>
      <family val="3"/>
      <charset val="134"/>
      <scheme val="minor"/>
    </font>
    <font>
      <sz val="12"/>
      <name val="新宋体"/>
      <family val="3"/>
      <charset val="134"/>
    </font>
    <font>
      <sz val="12"/>
      <name val="宋体"/>
      <family val="3"/>
      <charset val="134"/>
    </font>
    <font>
      <sz val="10"/>
      <color theme="1"/>
      <name val="新宋体"/>
      <family val="3"/>
      <charset val="134"/>
    </font>
    <font>
      <sz val="10"/>
      <color indexed="8"/>
      <name val="新宋体"/>
      <family val="3"/>
      <charset val="134"/>
    </font>
    <font>
      <sz val="11"/>
      <color rgb="FF000000"/>
      <name val="新宋体"/>
      <family val="3"/>
      <charset val="134"/>
    </font>
    <font>
      <sz val="10"/>
      <name val="新宋体"/>
      <family val="3"/>
      <charset val="134"/>
    </font>
    <font>
      <b/>
      <sz val="2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43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  <xf numFmtId="176" fontId="23" fillId="0" borderId="0">
      <alignment vertical="center"/>
    </xf>
  </cellStyleXfs>
  <cellXfs count="14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3" fontId="1" fillId="0" borderId="1" xfId="1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7" fontId="2" fillId="0" borderId="1" xfId="1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77" fontId="1" fillId="0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177" fontId="2" fillId="0" borderId="2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9" fontId="2" fillId="0" borderId="1" xfId="1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181" fontId="8" fillId="6" borderId="1" xfId="0" applyNumberFormat="1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0" fontId="8" fillId="6" borderId="1" xfId="0" applyNumberFormat="1" applyFont="1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180" fontId="2" fillId="0" borderId="5" xfId="0" applyNumberFormat="1" applyFont="1" applyBorder="1" applyAlignment="1">
      <alignment horizontal="center" vertical="center"/>
    </xf>
    <xf numFmtId="180" fontId="2" fillId="0" borderId="2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80" fontId="2" fillId="0" borderId="3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80" fontId="2" fillId="7" borderId="1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8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9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2" fillId="0" borderId="1" xfId="6" applyFont="1" applyFill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1" fillId="0" borderId="0" xfId="4" applyFont="1" applyAlignment="1">
      <alignment horizontal="center" vertical="center"/>
    </xf>
    <xf numFmtId="0" fontId="23" fillId="0" borderId="0" xfId="4">
      <alignment vertical="center"/>
    </xf>
    <xf numFmtId="0" fontId="2" fillId="0" borderId="1" xfId="4" applyFont="1" applyBorder="1" applyAlignment="1">
      <alignment horizontal="center" vertical="center" wrapText="1"/>
    </xf>
    <xf numFmtId="0" fontId="1" fillId="0" borderId="1" xfId="4" applyFont="1" applyBorder="1" applyAlignment="1">
      <alignment horizontal="center" vertical="center" wrapText="1"/>
    </xf>
    <xf numFmtId="14" fontId="1" fillId="0" borderId="1" xfId="4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3" fontId="1" fillId="0" borderId="1" xfId="4" applyNumberFormat="1" applyFont="1" applyBorder="1" applyAlignment="1">
      <alignment horizontal="center" vertical="center" wrapText="1"/>
    </xf>
    <xf numFmtId="9" fontId="1" fillId="0" borderId="1" xfId="4" applyNumberFormat="1" applyFont="1" applyBorder="1" applyAlignment="1">
      <alignment horizontal="center" vertical="center" wrapText="1"/>
    </xf>
    <xf numFmtId="9" fontId="1" fillId="0" borderId="1" xfId="3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" fillId="0" borderId="1" xfId="4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78" fontId="14" fillId="0" borderId="1" xfId="0" applyNumberFormat="1" applyFont="1" applyBorder="1" applyAlignment="1">
      <alignment horizontal="center" vertical="center" wrapText="1"/>
    </xf>
    <xf numFmtId="58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84" fontId="15" fillId="0" borderId="1" xfId="5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4" fontId="15" fillId="0" borderId="0" xfId="4" applyNumberFormat="1" applyFont="1" applyAlignment="1">
      <alignment horizontal="center" vertical="center" wrapText="1"/>
    </xf>
    <xf numFmtId="177" fontId="15" fillId="0" borderId="1" xfId="0" applyNumberFormat="1" applyFont="1" applyBorder="1" applyAlignment="1">
      <alignment horizontal="center" vertical="center" wrapText="1"/>
    </xf>
    <xf numFmtId="183" fontId="15" fillId="0" borderId="1" xfId="6" applyNumberFormat="1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182" fontId="17" fillId="0" borderId="1" xfId="0" applyNumberFormat="1" applyFont="1" applyBorder="1" applyAlignment="1">
      <alignment horizontal="center" vertical="center"/>
    </xf>
    <xf numFmtId="10" fontId="17" fillId="0" borderId="1" xfId="2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0" fontId="19" fillId="0" borderId="1" xfId="2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8" fontId="10" fillId="0" borderId="2" xfId="7" applyNumberFormat="1" applyFont="1" applyBorder="1" applyAlignment="1">
      <alignment horizontal="center" vertical="center"/>
    </xf>
    <xf numFmtId="178" fontId="10" fillId="0" borderId="3" xfId="7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4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7" fontId="1" fillId="0" borderId="1" xfId="1" applyNumberFormat="1" applyFont="1" applyFill="1" applyBorder="1" applyAlignment="1">
      <alignment horizontal="center" vertical="center"/>
    </xf>
  </cellXfs>
  <cellStyles count="13">
    <cellStyle name="百分比" xfId="2" builtinId="5"/>
    <cellStyle name="百分比 2" xfId="3" xr:uid="{00000000-0005-0000-0000-000031000000}"/>
    <cellStyle name="常规" xfId="0" builtinId="0"/>
    <cellStyle name="常规 2" xfId="4" xr:uid="{00000000-0005-0000-0000-000032000000}"/>
    <cellStyle name="常规 24" xfId="10" xr:uid="{00000000-0005-0000-0000-000038000000}"/>
    <cellStyle name="常规 27" xfId="11" xr:uid="{00000000-0005-0000-0000-000039000000}"/>
    <cellStyle name="常规 28" xfId="12" xr:uid="{00000000-0005-0000-0000-00003A000000}"/>
    <cellStyle name="常规 29" xfId="8" xr:uid="{00000000-0005-0000-0000-000036000000}"/>
    <cellStyle name="常规 3" xfId="9" xr:uid="{00000000-0005-0000-0000-000037000000}"/>
    <cellStyle name="常规 4" xfId="7" xr:uid="{00000000-0005-0000-0000-000035000000}"/>
    <cellStyle name="千位分隔" xfId="1" builtinId="3"/>
    <cellStyle name="千位分隔 2" xfId="5" xr:uid="{00000000-0005-0000-0000-000033000000}"/>
    <cellStyle name="着色 1 2" xfId="6" xr:uid="{00000000-0005-0000-0000-000034000000}"/>
  </cellStyles>
  <dxfs count="22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ont>
        <b val="0"/>
        <color indexed="20"/>
      </font>
      <fill>
        <patternFill patternType="solid">
          <bgColor indexed="45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GOOD/GD&#22791;&#20221;/&#22269;&#22823;&#38598;&#22242;/1&#12289;&#36130;&#21153;&#25253;&#34920;/2026&#24180;&#25253;&#34920;/3&#26376;/&#21512;&#21516;&#21488;&#36134;&#21450;&#20986;&#21333;/2026&#24180;&#20113;&#27712;&#27719;&#31119;&#27704;&#21512;&#21516;&#21488;&#36134;.xlsx" TargetMode="External"/><Relationship Id="rId1" Type="http://schemas.openxmlformats.org/officeDocument/2006/relationships/externalLinkPath" Target="/GOOD/GD&#22791;&#20221;/&#22269;&#22823;&#38598;&#22242;/1&#12289;&#36130;&#21153;&#25253;&#34920;/2026&#24180;&#25253;&#34920;/3&#26376;/&#21512;&#21516;&#21488;&#36134;&#21450;&#20986;&#21333;/2026&#24180;&#20113;&#27712;&#27719;&#31119;&#27704;&#21512;&#21516;&#21488;&#36134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GOOD/GD&#22791;&#20221;/&#22269;&#22823;&#38598;&#22242;/1&#12289;&#36130;&#21153;&#25253;&#34920;/2026&#24180;&#25253;&#34920;/3&#26376;/&#21512;&#21516;&#21488;&#36134;&#21450;&#20986;&#21333;/2026&#24180;&#20113;&#27712;&#27719;&#37329;&#28558;&#26469;&#21512;&#21516;&#21488;&#36134;.xls" TargetMode="External"/><Relationship Id="rId1" Type="http://schemas.openxmlformats.org/officeDocument/2006/relationships/externalLinkPath" Target="/GOOD/GD&#22791;&#20221;/&#22269;&#22823;&#38598;&#22242;/1&#12289;&#36130;&#21153;&#25253;&#34920;/2026&#24180;&#25253;&#34920;/3&#26376;/&#21512;&#21516;&#21488;&#36134;&#21450;&#20986;&#21333;/2026&#24180;&#20113;&#27712;&#27719;&#37329;&#28558;&#26469;&#21512;&#21516;&#21488;&#3613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024.8"/>
      <sheetName val="2025.2"/>
      <sheetName val="2025.4"/>
      <sheetName val="2025.5"/>
      <sheetName val="2025.6"/>
      <sheetName val="2025.7"/>
      <sheetName val="2025.8"/>
      <sheetName val="2025.9"/>
      <sheetName val="2025.10"/>
      <sheetName val="2025.11"/>
      <sheetName val="2025.12"/>
      <sheetName val="2026.1"/>
      <sheetName val="2026.3"/>
      <sheetName val="信息表 "/>
      <sheetName val="Sheet1"/>
      <sheetName val="空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3">
          <cell r="C3" t="str">
            <v>E204/206</v>
          </cell>
          <cell r="E3">
            <v>248</v>
          </cell>
          <cell r="I3" t="str">
            <v>广州市南亚电梯工程有限公司</v>
          </cell>
          <cell r="K3" t="str">
            <v>72号1栋204.206单元</v>
          </cell>
          <cell r="M3" t="str">
            <v>72号1栋204.206单元</v>
          </cell>
          <cell r="P3">
            <v>45748</v>
          </cell>
          <cell r="Q3">
            <v>46112</v>
          </cell>
        </row>
        <row r="4">
          <cell r="C4" t="str">
            <v>E301-306</v>
          </cell>
          <cell r="E4">
            <v>620</v>
          </cell>
          <cell r="I4" t="str">
            <v>王艳艳</v>
          </cell>
          <cell r="K4" t="str">
            <v>72号1栋301-306单元</v>
          </cell>
          <cell r="M4" t="str">
            <v>72号1栋301-306单元</v>
          </cell>
          <cell r="P4">
            <v>45536</v>
          </cell>
          <cell r="Q4">
            <v>46630</v>
          </cell>
        </row>
        <row r="5">
          <cell r="C5" t="str">
            <v>E401-402</v>
          </cell>
          <cell r="E5">
            <v>220</v>
          </cell>
          <cell r="I5" t="str">
            <v>潘灿生</v>
          </cell>
          <cell r="K5" t="str">
            <v>E栋401-402</v>
          </cell>
          <cell r="M5" t="str">
            <v>E栋401-402</v>
          </cell>
          <cell r="P5">
            <v>45765</v>
          </cell>
          <cell r="Q5">
            <v>46494</v>
          </cell>
        </row>
        <row r="6">
          <cell r="C6" t="str">
            <v>1号A101</v>
          </cell>
          <cell r="D6">
            <v>0.7</v>
          </cell>
          <cell r="E6">
            <v>73</v>
          </cell>
          <cell r="F6">
            <v>30</v>
          </cell>
          <cell r="G6">
            <v>2190</v>
          </cell>
          <cell r="H6">
            <v>365</v>
          </cell>
          <cell r="J6" t="str">
            <v>空档</v>
          </cell>
        </row>
        <row r="7">
          <cell r="C7" t="str">
            <v>1号A102</v>
          </cell>
          <cell r="D7">
            <v>0.7</v>
          </cell>
          <cell r="E7">
            <v>323</v>
          </cell>
          <cell r="F7">
            <v>30</v>
          </cell>
          <cell r="G7">
            <v>9690</v>
          </cell>
          <cell r="H7">
            <v>1615</v>
          </cell>
          <cell r="I7" t="str">
            <v>广州阿丁克拉货运代理有限公司</v>
          </cell>
          <cell r="J7" t="str">
            <v>调档</v>
          </cell>
          <cell r="M7" t="str">
            <v>庆丰二路1号A102</v>
          </cell>
          <cell r="O7">
            <v>45805</v>
          </cell>
          <cell r="P7">
            <v>45717</v>
          </cell>
          <cell r="Q7">
            <v>46081</v>
          </cell>
          <cell r="R7">
            <v>45717</v>
          </cell>
        </row>
        <row r="8">
          <cell r="C8" t="str">
            <v>1号A103</v>
          </cell>
          <cell r="D8">
            <v>0.7</v>
          </cell>
          <cell r="E8">
            <v>1048</v>
          </cell>
          <cell r="F8">
            <v>30</v>
          </cell>
          <cell r="G8">
            <v>31440</v>
          </cell>
          <cell r="H8">
            <v>5240</v>
          </cell>
          <cell r="I8" t="str">
            <v>李运玲</v>
          </cell>
          <cell r="J8" t="str">
            <v>调档</v>
          </cell>
          <cell r="M8" t="str">
            <v>庆丰二路1号A103</v>
          </cell>
          <cell r="O8">
            <v>45748</v>
          </cell>
          <cell r="P8">
            <v>45748</v>
          </cell>
          <cell r="Q8">
            <v>46477</v>
          </cell>
          <cell r="R8">
            <v>45763</v>
          </cell>
        </row>
        <row r="9">
          <cell r="C9" t="str">
            <v>1号A105</v>
          </cell>
          <cell r="D9">
            <v>0.7</v>
          </cell>
          <cell r="E9">
            <v>169</v>
          </cell>
          <cell r="F9">
            <v>30</v>
          </cell>
          <cell r="G9">
            <v>5070</v>
          </cell>
          <cell r="H9">
            <v>845</v>
          </cell>
          <cell r="I9" t="str">
            <v>李运玲</v>
          </cell>
          <cell r="J9" t="str">
            <v>临租</v>
          </cell>
          <cell r="L9" t="str">
            <v>25.12.8已收押3380，12.10-1.9首月租3380</v>
          </cell>
          <cell r="M9" t="str">
            <v>庆丰二路1号A105</v>
          </cell>
          <cell r="O9">
            <v>45999</v>
          </cell>
          <cell r="P9">
            <v>46001</v>
          </cell>
          <cell r="Q9">
            <v>46090</v>
          </cell>
          <cell r="R9">
            <v>46001</v>
          </cell>
        </row>
        <row r="10">
          <cell r="C10" t="str">
            <v>1号A105-1</v>
          </cell>
          <cell r="D10">
            <v>0.7</v>
          </cell>
          <cell r="E10">
            <v>177</v>
          </cell>
          <cell r="F10">
            <v>30</v>
          </cell>
          <cell r="G10">
            <v>5310</v>
          </cell>
          <cell r="H10">
            <v>885</v>
          </cell>
          <cell r="I10" t="str">
            <v>曾莹明</v>
          </cell>
          <cell r="M10" t="str">
            <v>庆丰二路1号A105-1</v>
          </cell>
          <cell r="N10" t="str">
            <v>仓库</v>
          </cell>
          <cell r="O10">
            <v>45823</v>
          </cell>
          <cell r="P10">
            <v>45823</v>
          </cell>
          <cell r="Q10">
            <v>46918</v>
          </cell>
          <cell r="R10">
            <v>45839</v>
          </cell>
        </row>
        <row r="11">
          <cell r="C11" t="str">
            <v>1号A106</v>
          </cell>
          <cell r="D11">
            <v>0.7</v>
          </cell>
          <cell r="E11">
            <v>724</v>
          </cell>
          <cell r="F11">
            <v>30</v>
          </cell>
          <cell r="G11">
            <v>21720</v>
          </cell>
          <cell r="H11">
            <v>3620</v>
          </cell>
          <cell r="J11" t="str">
            <v>空档</v>
          </cell>
        </row>
        <row r="12">
          <cell r="C12" t="str">
            <v>1号A107</v>
          </cell>
          <cell r="D12">
            <v>0.7</v>
          </cell>
          <cell r="E12">
            <v>345</v>
          </cell>
          <cell r="F12">
            <v>30</v>
          </cell>
          <cell r="G12">
            <v>10350</v>
          </cell>
          <cell r="H12">
            <v>1725</v>
          </cell>
          <cell r="I12" t="str">
            <v>吴兴瑜</v>
          </cell>
          <cell r="L12" t="str">
            <v>25.4.26已收押79485,6月租22710管3785</v>
          </cell>
          <cell r="M12" t="str">
            <v>庆丰二路1号A107/108</v>
          </cell>
          <cell r="O12">
            <v>45773</v>
          </cell>
          <cell r="P12">
            <v>45778</v>
          </cell>
          <cell r="Q12">
            <v>46507</v>
          </cell>
          <cell r="R12">
            <v>45809</v>
          </cell>
        </row>
        <row r="13">
          <cell r="C13" t="str">
            <v>1号A108</v>
          </cell>
          <cell r="D13">
            <v>0.7</v>
          </cell>
          <cell r="E13">
            <v>412</v>
          </cell>
          <cell r="F13">
            <v>30</v>
          </cell>
          <cell r="G13">
            <v>12360</v>
          </cell>
          <cell r="H13">
            <v>2060</v>
          </cell>
          <cell r="I13" t="str">
            <v>吴兴瑜</v>
          </cell>
          <cell r="M13" t="str">
            <v>庆丰二路1号A107/108</v>
          </cell>
          <cell r="O13">
            <v>45773</v>
          </cell>
          <cell r="P13">
            <v>45778</v>
          </cell>
          <cell r="Q13">
            <v>46507</v>
          </cell>
          <cell r="R13">
            <v>45809</v>
          </cell>
        </row>
        <row r="14">
          <cell r="C14" t="str">
            <v>1号A201</v>
          </cell>
          <cell r="D14">
            <v>0.7</v>
          </cell>
          <cell r="E14">
            <v>32</v>
          </cell>
          <cell r="F14">
            <v>18</v>
          </cell>
          <cell r="G14">
            <v>576</v>
          </cell>
          <cell r="H14">
            <v>160</v>
          </cell>
          <cell r="J14" t="str">
            <v>空档</v>
          </cell>
        </row>
        <row r="15">
          <cell r="C15" t="str">
            <v>1号A202</v>
          </cell>
          <cell r="D15">
            <v>0.7</v>
          </cell>
          <cell r="E15">
            <v>1851</v>
          </cell>
          <cell r="F15">
            <v>18</v>
          </cell>
          <cell r="G15">
            <v>33318</v>
          </cell>
          <cell r="H15">
            <v>9255</v>
          </cell>
          <cell r="I15" t="str">
            <v>陈生国</v>
          </cell>
          <cell r="K15" t="str">
            <v>公摊0.65/度，消防保证金未收</v>
          </cell>
          <cell r="L15" t="str">
            <v>25.12.10已收押6万，1月首月租2万管1万</v>
          </cell>
          <cell r="M15" t="str">
            <v>庆丰二路1号A202/203</v>
          </cell>
          <cell r="N15" t="str">
            <v>仓库</v>
          </cell>
          <cell r="O15">
            <v>46001</v>
          </cell>
          <cell r="P15">
            <v>46023</v>
          </cell>
          <cell r="Q15">
            <v>47118</v>
          </cell>
          <cell r="R15">
            <v>46082</v>
          </cell>
        </row>
        <row r="16">
          <cell r="C16" t="str">
            <v>1号A203</v>
          </cell>
          <cell r="D16">
            <v>0.7</v>
          </cell>
          <cell r="E16">
            <v>236</v>
          </cell>
          <cell r="F16">
            <v>18</v>
          </cell>
          <cell r="G16">
            <v>4248</v>
          </cell>
          <cell r="H16">
            <v>1180</v>
          </cell>
          <cell r="I16" t="str">
            <v>陈生国</v>
          </cell>
          <cell r="M16" t="str">
            <v>庆丰二路1号A202/203</v>
          </cell>
          <cell r="N16" t="str">
            <v>仓库</v>
          </cell>
          <cell r="O16">
            <v>46001</v>
          </cell>
          <cell r="P16">
            <v>46023</v>
          </cell>
          <cell r="Q16">
            <v>47118</v>
          </cell>
          <cell r="R16">
            <v>46082</v>
          </cell>
        </row>
        <row r="17">
          <cell r="C17" t="str">
            <v>1号A204</v>
          </cell>
          <cell r="D17">
            <v>0.7</v>
          </cell>
          <cell r="E17">
            <v>790</v>
          </cell>
          <cell r="F17">
            <v>18</v>
          </cell>
          <cell r="G17">
            <v>14220</v>
          </cell>
          <cell r="H17">
            <v>3950</v>
          </cell>
          <cell r="I17" t="str">
            <v>吴雷</v>
          </cell>
          <cell r="L17" t="str">
            <v>25.9.10已收押2.8万9.25-10.24租11608管2370</v>
          </cell>
          <cell r="M17" t="str">
            <v>庆丰二路1号A204</v>
          </cell>
          <cell r="O17">
            <v>45910</v>
          </cell>
          <cell r="P17">
            <v>45910</v>
          </cell>
          <cell r="Q17">
            <v>46274</v>
          </cell>
          <cell r="R17">
            <v>45925</v>
          </cell>
        </row>
        <row r="18">
          <cell r="C18" t="str">
            <v>1号B101</v>
          </cell>
          <cell r="D18">
            <v>0.7</v>
          </cell>
          <cell r="E18">
            <v>146</v>
          </cell>
          <cell r="F18">
            <v>30</v>
          </cell>
          <cell r="G18">
            <v>4380</v>
          </cell>
          <cell r="H18">
            <v>730</v>
          </cell>
          <cell r="J18" t="str">
            <v>空档</v>
          </cell>
          <cell r="K18" t="str">
            <v>客服说是庆丰村的未交付</v>
          </cell>
        </row>
        <row r="19">
          <cell r="C19" t="str">
            <v>1号B102</v>
          </cell>
          <cell r="D19">
            <v>0.7</v>
          </cell>
          <cell r="E19">
            <v>275</v>
          </cell>
          <cell r="F19">
            <v>30</v>
          </cell>
          <cell r="G19">
            <v>8250</v>
          </cell>
          <cell r="H19">
            <v>1375</v>
          </cell>
          <cell r="I19" t="str">
            <v>戴善超</v>
          </cell>
          <cell r="J19" t="str">
            <v>新签</v>
          </cell>
          <cell r="K19" t="str">
            <v>免租一个月（2025.4.15-2025.5.14）</v>
          </cell>
          <cell r="L19" t="str">
            <v>25.4.9已收押19250，首月租8250，管1375水电公摊82.5卫生费137.5</v>
          </cell>
          <cell r="M19" t="str">
            <v>庆丰二路1号B102</v>
          </cell>
          <cell r="N19" t="str">
            <v>仓库</v>
          </cell>
          <cell r="O19">
            <v>45762</v>
          </cell>
          <cell r="P19">
            <v>45762</v>
          </cell>
          <cell r="Q19">
            <v>46491</v>
          </cell>
          <cell r="R19">
            <v>45792</v>
          </cell>
        </row>
        <row r="20">
          <cell r="C20" t="str">
            <v>1号B103</v>
          </cell>
          <cell r="D20">
            <v>0.7</v>
          </cell>
          <cell r="E20">
            <v>41</v>
          </cell>
          <cell r="F20">
            <v>30</v>
          </cell>
          <cell r="G20">
            <v>1230</v>
          </cell>
          <cell r="H20">
            <v>205</v>
          </cell>
          <cell r="J20" t="str">
            <v>空档</v>
          </cell>
        </row>
        <row r="21">
          <cell r="C21" t="str">
            <v>1号B104</v>
          </cell>
          <cell r="D21">
            <v>0.7</v>
          </cell>
          <cell r="E21">
            <v>175</v>
          </cell>
          <cell r="F21">
            <v>30</v>
          </cell>
          <cell r="G21">
            <v>5250</v>
          </cell>
          <cell r="H21">
            <v>875</v>
          </cell>
          <cell r="I21" t="str">
            <v>秦少飞</v>
          </cell>
          <cell r="J21" t="str">
            <v>新签</v>
          </cell>
          <cell r="K21" t="str">
            <v>首月已收公共能源，合同按实际面积125㎡签 免租一个月（2025.3.20-2025.4.19）</v>
          </cell>
          <cell r="L21" t="str">
            <v>25.3.20已收押18000,首月租6000，公摊水电37.5卫生费62.5</v>
          </cell>
          <cell r="M21" t="str">
            <v>庆丰二路1号B104</v>
          </cell>
          <cell r="N21" t="str">
            <v>仓库</v>
          </cell>
          <cell r="O21">
            <v>45748</v>
          </cell>
          <cell r="P21">
            <v>45736</v>
          </cell>
          <cell r="Q21">
            <v>46100</v>
          </cell>
          <cell r="R21">
            <v>45767</v>
          </cell>
        </row>
        <row r="22">
          <cell r="C22" t="str">
            <v>1号B201</v>
          </cell>
          <cell r="D22">
            <v>0.7</v>
          </cell>
          <cell r="E22">
            <v>47</v>
          </cell>
          <cell r="F22">
            <v>23</v>
          </cell>
          <cell r="G22">
            <v>1081</v>
          </cell>
          <cell r="H22">
            <v>235</v>
          </cell>
          <cell r="J22" t="str">
            <v>空档</v>
          </cell>
        </row>
        <row r="23">
          <cell r="C23" t="str">
            <v>1号B202</v>
          </cell>
          <cell r="D23">
            <v>0.7</v>
          </cell>
          <cell r="E23">
            <v>76</v>
          </cell>
          <cell r="F23">
            <v>23</v>
          </cell>
          <cell r="G23">
            <v>1748</v>
          </cell>
          <cell r="H23">
            <v>380</v>
          </cell>
          <cell r="J23" t="str">
            <v>空档</v>
          </cell>
        </row>
        <row r="24">
          <cell r="C24" t="str">
            <v>1号B203</v>
          </cell>
          <cell r="D24">
            <v>0.7</v>
          </cell>
          <cell r="E24">
            <v>76</v>
          </cell>
          <cell r="F24">
            <v>23</v>
          </cell>
          <cell r="G24">
            <v>1748</v>
          </cell>
          <cell r="H24">
            <v>380</v>
          </cell>
          <cell r="J24" t="str">
            <v>空档</v>
          </cell>
        </row>
        <row r="25">
          <cell r="C25" t="str">
            <v>1号B203-1</v>
          </cell>
          <cell r="D25">
            <v>0.7</v>
          </cell>
          <cell r="E25">
            <v>76</v>
          </cell>
          <cell r="F25">
            <v>23</v>
          </cell>
          <cell r="G25">
            <v>1748</v>
          </cell>
          <cell r="H25">
            <v>380</v>
          </cell>
          <cell r="J25" t="str">
            <v>空档</v>
          </cell>
        </row>
        <row r="26">
          <cell r="C26" t="str">
            <v>1号B204</v>
          </cell>
          <cell r="D26">
            <v>0.7</v>
          </cell>
          <cell r="E26">
            <v>41</v>
          </cell>
          <cell r="F26">
            <v>23</v>
          </cell>
          <cell r="G26">
            <v>943</v>
          </cell>
          <cell r="H26">
            <v>205</v>
          </cell>
          <cell r="J26" t="str">
            <v>空档</v>
          </cell>
        </row>
        <row r="27">
          <cell r="C27" t="str">
            <v>1号B206</v>
          </cell>
          <cell r="D27">
            <v>0.7</v>
          </cell>
          <cell r="E27">
            <v>50</v>
          </cell>
          <cell r="F27">
            <v>23</v>
          </cell>
          <cell r="G27">
            <v>1150</v>
          </cell>
          <cell r="H27">
            <v>250</v>
          </cell>
          <cell r="J27" t="str">
            <v>空档</v>
          </cell>
        </row>
        <row r="28">
          <cell r="C28" t="str">
            <v>6号101</v>
          </cell>
          <cell r="D28">
            <v>0.7</v>
          </cell>
          <cell r="E28">
            <v>173</v>
          </cell>
          <cell r="F28">
            <v>20</v>
          </cell>
          <cell r="G28">
            <v>3460</v>
          </cell>
          <cell r="H28">
            <v>865</v>
          </cell>
          <cell r="J28" t="str">
            <v>空档</v>
          </cell>
        </row>
        <row r="29">
          <cell r="C29" t="str">
            <v>6号102</v>
          </cell>
          <cell r="D29">
            <v>0.7</v>
          </cell>
          <cell r="E29">
            <v>160</v>
          </cell>
          <cell r="F29">
            <v>25</v>
          </cell>
          <cell r="G29">
            <v>4000</v>
          </cell>
          <cell r="H29">
            <v>800</v>
          </cell>
          <cell r="J29" t="str">
            <v>空档</v>
          </cell>
        </row>
        <row r="30">
          <cell r="C30" t="str">
            <v>6号103</v>
          </cell>
          <cell r="D30">
            <v>0.7</v>
          </cell>
          <cell r="E30">
            <v>94.65</v>
          </cell>
          <cell r="F30">
            <v>25</v>
          </cell>
          <cell r="G30">
            <v>2366.25</v>
          </cell>
          <cell r="H30">
            <v>473.25</v>
          </cell>
          <cell r="J30" t="str">
            <v>空档</v>
          </cell>
        </row>
        <row r="31">
          <cell r="C31" t="str">
            <v>6号104-1</v>
          </cell>
          <cell r="D31">
            <v>0.7</v>
          </cell>
          <cell r="E31">
            <v>246</v>
          </cell>
          <cell r="J31" t="str">
            <v>空档</v>
          </cell>
          <cell r="K31" t="str">
            <v>104档使用只400方</v>
          </cell>
        </row>
        <row r="32">
          <cell r="C32" t="str">
            <v>6号104</v>
          </cell>
          <cell r="D32">
            <v>0.7</v>
          </cell>
          <cell r="E32">
            <v>400</v>
          </cell>
          <cell r="F32">
            <v>25</v>
          </cell>
          <cell r="G32">
            <v>10000</v>
          </cell>
          <cell r="H32">
            <v>2000</v>
          </cell>
          <cell r="J32" t="str">
            <v>空档</v>
          </cell>
          <cell r="K32" t="str">
            <v>11.30到期退</v>
          </cell>
          <cell r="L32" t="str">
            <v>25.8.31已收押8000,9月临租租金8000</v>
          </cell>
        </row>
        <row r="33">
          <cell r="C33" t="str">
            <v>6号105</v>
          </cell>
          <cell r="D33">
            <v>0.7</v>
          </cell>
          <cell r="E33">
            <v>16.809999999999999</v>
          </cell>
          <cell r="J33" t="str">
            <v>空档</v>
          </cell>
        </row>
        <row r="34">
          <cell r="C34" t="str">
            <v>6号106</v>
          </cell>
          <cell r="D34">
            <v>0.7</v>
          </cell>
          <cell r="E34">
            <v>364.15</v>
          </cell>
          <cell r="J34" t="str">
            <v>空档</v>
          </cell>
        </row>
        <row r="35">
          <cell r="C35" t="str">
            <v>庆丰二路6号201</v>
          </cell>
          <cell r="D35">
            <v>0.7</v>
          </cell>
          <cell r="E35">
            <v>80.819999999999993</v>
          </cell>
          <cell r="J35" t="str">
            <v>空档</v>
          </cell>
        </row>
        <row r="36">
          <cell r="C36" t="str">
            <v>庆丰二路6号202</v>
          </cell>
          <cell r="D36">
            <v>0.7</v>
          </cell>
          <cell r="E36">
            <v>20.3</v>
          </cell>
          <cell r="J36" t="str">
            <v>空档</v>
          </cell>
        </row>
        <row r="37">
          <cell r="C37" t="str">
            <v>庆丰二路6号203</v>
          </cell>
          <cell r="D37">
            <v>0.7</v>
          </cell>
          <cell r="E37">
            <v>152.41</v>
          </cell>
          <cell r="J37" t="str">
            <v>空档</v>
          </cell>
        </row>
        <row r="38">
          <cell r="C38" t="str">
            <v>庆丰二路6号204</v>
          </cell>
          <cell r="D38">
            <v>0.7</v>
          </cell>
          <cell r="E38">
            <v>19.41</v>
          </cell>
          <cell r="J38" t="str">
            <v>空档</v>
          </cell>
        </row>
        <row r="39">
          <cell r="C39" t="str">
            <v>庆丰二路6号205</v>
          </cell>
          <cell r="D39">
            <v>0.7</v>
          </cell>
          <cell r="E39">
            <v>83.65</v>
          </cell>
          <cell r="J39" t="str">
            <v>空档</v>
          </cell>
        </row>
        <row r="40">
          <cell r="C40" t="str">
            <v>庆丰二路6号206</v>
          </cell>
          <cell r="D40">
            <v>0.7</v>
          </cell>
          <cell r="E40">
            <v>39.9</v>
          </cell>
          <cell r="J40" t="str">
            <v>空档</v>
          </cell>
        </row>
        <row r="41">
          <cell r="C41" t="str">
            <v>庆丰二路6号207</v>
          </cell>
          <cell r="D41">
            <v>0.7</v>
          </cell>
          <cell r="E41">
            <v>38.32</v>
          </cell>
          <cell r="J41" t="str">
            <v>空档</v>
          </cell>
        </row>
        <row r="42">
          <cell r="C42" t="str">
            <v>庆丰二路6号208</v>
          </cell>
          <cell r="D42">
            <v>0.7</v>
          </cell>
          <cell r="E42">
            <v>11.81</v>
          </cell>
          <cell r="J42" t="str">
            <v>空档</v>
          </cell>
        </row>
        <row r="43">
          <cell r="C43" t="str">
            <v>庆丰二路6号209</v>
          </cell>
          <cell r="D43">
            <v>0.7</v>
          </cell>
          <cell r="E43">
            <v>6.28</v>
          </cell>
          <cell r="J43" t="str">
            <v>空档</v>
          </cell>
        </row>
        <row r="44">
          <cell r="C44" t="str">
            <v>庆丰二路6号210</v>
          </cell>
          <cell r="D44">
            <v>0.7</v>
          </cell>
          <cell r="E44">
            <v>20.100000000000001</v>
          </cell>
          <cell r="J44" t="str">
            <v>空档</v>
          </cell>
        </row>
        <row r="45">
          <cell r="C45" t="str">
            <v>庆丰二路6号211</v>
          </cell>
          <cell r="D45">
            <v>0.7</v>
          </cell>
          <cell r="E45">
            <v>13.38</v>
          </cell>
          <cell r="J45" t="str">
            <v>空档</v>
          </cell>
        </row>
        <row r="46">
          <cell r="C46" t="str">
            <v>庆丰二路6号212</v>
          </cell>
          <cell r="D46">
            <v>0.7</v>
          </cell>
          <cell r="E46">
            <v>28.27</v>
          </cell>
          <cell r="J46" t="str">
            <v>空档</v>
          </cell>
        </row>
        <row r="47">
          <cell r="C47" t="str">
            <v>庆丰二路6号213</v>
          </cell>
          <cell r="D47">
            <v>0.7</v>
          </cell>
          <cell r="E47">
            <v>28.27</v>
          </cell>
          <cell r="J47" t="str">
            <v>空档</v>
          </cell>
        </row>
        <row r="48">
          <cell r="C48" t="str">
            <v>庆丰二路6号214</v>
          </cell>
          <cell r="D48">
            <v>0.7</v>
          </cell>
          <cell r="E48">
            <v>20.88</v>
          </cell>
          <cell r="J48" t="str">
            <v>空档</v>
          </cell>
        </row>
        <row r="49">
          <cell r="C49" t="str">
            <v>庆丰二路6号215</v>
          </cell>
          <cell r="D49">
            <v>0.7</v>
          </cell>
          <cell r="E49">
            <v>18.8</v>
          </cell>
          <cell r="J49" t="str">
            <v>空档</v>
          </cell>
        </row>
        <row r="50">
          <cell r="C50" t="str">
            <v>庆丰二路6号216</v>
          </cell>
          <cell r="D50">
            <v>0.7</v>
          </cell>
          <cell r="E50">
            <v>567.21</v>
          </cell>
          <cell r="J50" t="str">
            <v>空档</v>
          </cell>
        </row>
        <row r="51">
          <cell r="C51" t="str">
            <v>庆丰二路6号217</v>
          </cell>
          <cell r="D51">
            <v>0.7</v>
          </cell>
          <cell r="E51">
            <v>58.45</v>
          </cell>
          <cell r="J51" t="str">
            <v>空档</v>
          </cell>
        </row>
        <row r="52">
          <cell r="C52" t="str">
            <v>庆丰二路6号218</v>
          </cell>
          <cell r="D52">
            <v>0.7</v>
          </cell>
          <cell r="E52">
            <v>13.71</v>
          </cell>
          <cell r="J52" t="str">
            <v>空档</v>
          </cell>
        </row>
        <row r="53">
          <cell r="C53" t="str">
            <v>庆丰二路6号219</v>
          </cell>
          <cell r="D53">
            <v>0.7</v>
          </cell>
          <cell r="E53">
            <v>23.31</v>
          </cell>
          <cell r="J53" t="str">
            <v>空档</v>
          </cell>
        </row>
        <row r="54">
          <cell r="C54" t="str">
            <v>庆丰二路6号220</v>
          </cell>
          <cell r="D54">
            <v>0.7</v>
          </cell>
          <cell r="E54">
            <v>5.07</v>
          </cell>
          <cell r="J54" t="str">
            <v>空档</v>
          </cell>
        </row>
        <row r="55">
          <cell r="C55" t="str">
            <v>庆丰二路6号221</v>
          </cell>
          <cell r="D55">
            <v>0.7</v>
          </cell>
          <cell r="E55">
            <v>31.67</v>
          </cell>
          <cell r="J55" t="str">
            <v>空档</v>
          </cell>
        </row>
        <row r="56">
          <cell r="C56" t="str">
            <v>庆丰二路6号222</v>
          </cell>
          <cell r="D56">
            <v>0.7</v>
          </cell>
          <cell r="E56">
            <v>27.17</v>
          </cell>
          <cell r="J56" t="str">
            <v>空档</v>
          </cell>
        </row>
        <row r="57">
          <cell r="C57" t="str">
            <v>庆丰二路6号223</v>
          </cell>
          <cell r="D57">
            <v>0.7</v>
          </cell>
          <cell r="E57">
            <v>43.57</v>
          </cell>
          <cell r="J57" t="str">
            <v>空档</v>
          </cell>
        </row>
        <row r="58">
          <cell r="C58" t="str">
            <v>18号101</v>
          </cell>
          <cell r="D58">
            <v>0.7</v>
          </cell>
          <cell r="E58">
            <v>109</v>
          </cell>
          <cell r="I58" t="str">
            <v>张建青</v>
          </cell>
          <cell r="L58" t="str">
            <v>25.8.9已收9.1-9.30租32708.16-9.15管545</v>
          </cell>
          <cell r="M58" t="str">
            <v>庆丰二路18号101</v>
          </cell>
          <cell r="N58" t="str">
            <v>仓库</v>
          </cell>
          <cell r="O58">
            <v>45887</v>
          </cell>
          <cell r="P58">
            <v>45885</v>
          </cell>
          <cell r="Q58">
            <v>46249</v>
          </cell>
          <cell r="R58">
            <v>45901</v>
          </cell>
        </row>
        <row r="59">
          <cell r="C59" t="str">
            <v>18号102\104/105</v>
          </cell>
          <cell r="D59">
            <v>0.7</v>
          </cell>
          <cell r="E59">
            <v>477</v>
          </cell>
          <cell r="F59">
            <v>30</v>
          </cell>
          <cell r="G59">
            <v>14310</v>
          </cell>
          <cell r="H59">
            <v>1431</v>
          </cell>
          <cell r="I59" t="str">
            <v>途泽（广州）贸易有限公司</v>
          </cell>
          <cell r="K59" t="str">
            <v>免租一个月2025.10月</v>
          </cell>
          <cell r="L59" t="str">
            <v>25.8.13已收押95370，9月租43350管4335</v>
          </cell>
          <cell r="M59" t="str">
            <v>庆丰二路18号102/104/105</v>
          </cell>
          <cell r="N59" t="str">
            <v>仓库</v>
          </cell>
          <cell r="O59">
            <v>45901</v>
          </cell>
          <cell r="P59">
            <v>45901</v>
          </cell>
          <cell r="Q59">
            <v>46265</v>
          </cell>
          <cell r="R59">
            <v>45901</v>
          </cell>
        </row>
        <row r="60">
          <cell r="C60" t="str">
            <v>18号102\104/105</v>
          </cell>
          <cell r="D60">
            <v>0.7</v>
          </cell>
          <cell r="E60">
            <v>421</v>
          </cell>
          <cell r="F60">
            <v>30</v>
          </cell>
          <cell r="G60">
            <v>12630</v>
          </cell>
          <cell r="H60">
            <v>1263</v>
          </cell>
          <cell r="I60" t="str">
            <v>途泽（广州）贸易有限公司</v>
          </cell>
          <cell r="M60" t="str">
            <v>庆丰二路18号102/104/105</v>
          </cell>
          <cell r="N60" t="str">
            <v>仓库</v>
          </cell>
          <cell r="O60">
            <v>45901</v>
          </cell>
          <cell r="P60">
            <v>45901</v>
          </cell>
          <cell r="Q60">
            <v>46265</v>
          </cell>
          <cell r="R60">
            <v>45901</v>
          </cell>
        </row>
        <row r="61">
          <cell r="C61" t="str">
            <v>18号102\104/105</v>
          </cell>
          <cell r="D61">
            <v>0.7</v>
          </cell>
          <cell r="E61">
            <v>547</v>
          </cell>
          <cell r="F61">
            <v>30</v>
          </cell>
          <cell r="G61">
            <v>16410</v>
          </cell>
          <cell r="H61">
            <v>1641</v>
          </cell>
          <cell r="I61" t="str">
            <v>途泽（广州）贸易有限公司</v>
          </cell>
          <cell r="M61" t="str">
            <v>庆丰二路18号102/104/105</v>
          </cell>
          <cell r="N61" t="str">
            <v>仓库</v>
          </cell>
          <cell r="O61">
            <v>45901</v>
          </cell>
          <cell r="P61">
            <v>45901</v>
          </cell>
          <cell r="Q61">
            <v>46265</v>
          </cell>
          <cell r="R61">
            <v>45901</v>
          </cell>
        </row>
        <row r="62">
          <cell r="C62" t="str">
            <v>18号103</v>
          </cell>
          <cell r="D62">
            <v>0.7</v>
          </cell>
          <cell r="E62">
            <v>418</v>
          </cell>
          <cell r="F62">
            <v>30.885000000000002</v>
          </cell>
          <cell r="G62">
            <v>12909.93</v>
          </cell>
          <cell r="H62">
            <v>2090</v>
          </cell>
          <cell r="I62" t="str">
            <v>广东德邦物流有限公司</v>
          </cell>
          <cell r="M62" t="str">
            <v>庆丰二路18号103</v>
          </cell>
          <cell r="O62">
            <v>45916</v>
          </cell>
          <cell r="P62">
            <v>45901</v>
          </cell>
          <cell r="Q62">
            <v>46265</v>
          </cell>
          <cell r="R62">
            <v>45909</v>
          </cell>
        </row>
        <row r="63">
          <cell r="C63" t="str">
            <v>18号201</v>
          </cell>
          <cell r="D63">
            <v>0.7</v>
          </cell>
          <cell r="E63">
            <v>507</v>
          </cell>
          <cell r="F63">
            <v>23</v>
          </cell>
          <cell r="G63">
            <v>11661</v>
          </cell>
          <cell r="H63">
            <v>2535</v>
          </cell>
          <cell r="I63" t="str">
            <v>刘志超</v>
          </cell>
          <cell r="L63" t="str">
            <v>25.9.22已收押26364,11月租11661,10月管1521</v>
          </cell>
          <cell r="M63" t="str">
            <v>庆丰二路18号201</v>
          </cell>
          <cell r="O63">
            <v>45930</v>
          </cell>
          <cell r="P63">
            <v>45931</v>
          </cell>
          <cell r="Q63">
            <v>46660</v>
          </cell>
          <cell r="R63">
            <v>45962</v>
          </cell>
        </row>
        <row r="64">
          <cell r="C64" t="str">
            <v>18号202</v>
          </cell>
          <cell r="D64">
            <v>0.7</v>
          </cell>
          <cell r="E64">
            <v>329</v>
          </cell>
          <cell r="F64">
            <v>23</v>
          </cell>
          <cell r="G64">
            <v>7567</v>
          </cell>
          <cell r="H64">
            <v>1645</v>
          </cell>
          <cell r="I64" t="str">
            <v>陈傅和</v>
          </cell>
          <cell r="L64" t="str">
            <v>25.11.16已收押27692,首月租10626管3220</v>
          </cell>
          <cell r="M64" t="str">
            <v>庆丰二路18号202/203</v>
          </cell>
          <cell r="O64">
            <v>46042</v>
          </cell>
          <cell r="P64">
            <v>45962</v>
          </cell>
          <cell r="Q64">
            <v>46326</v>
          </cell>
          <cell r="R64">
            <v>45977</v>
          </cell>
        </row>
        <row r="65">
          <cell r="C65" t="str">
            <v>18号203</v>
          </cell>
          <cell r="D65">
            <v>0.7</v>
          </cell>
          <cell r="E65">
            <v>315</v>
          </cell>
          <cell r="F65">
            <v>23</v>
          </cell>
          <cell r="G65">
            <v>7245</v>
          </cell>
          <cell r="H65">
            <v>1575</v>
          </cell>
          <cell r="I65" t="str">
            <v>陈傅和</v>
          </cell>
          <cell r="M65" t="str">
            <v>庆丰二路18号202/203</v>
          </cell>
          <cell r="P65">
            <v>45962</v>
          </cell>
          <cell r="Q65">
            <v>46326</v>
          </cell>
          <cell r="R65">
            <v>45977</v>
          </cell>
        </row>
        <row r="66">
          <cell r="C66" t="str">
            <v>18号204</v>
          </cell>
          <cell r="D66">
            <v>0.7</v>
          </cell>
          <cell r="E66">
            <v>116</v>
          </cell>
          <cell r="F66">
            <v>23</v>
          </cell>
          <cell r="G66">
            <v>2668</v>
          </cell>
          <cell r="H66">
            <v>580</v>
          </cell>
          <cell r="I66" t="str">
            <v>廖永涛</v>
          </cell>
          <cell r="L66" t="str">
            <v>25.9.17已收押6千 9.17-10.16租2420管580</v>
          </cell>
          <cell r="M66" t="str">
            <v>庆丰二路18号204</v>
          </cell>
          <cell r="O66">
            <v>45917</v>
          </cell>
          <cell r="P66">
            <v>45917</v>
          </cell>
          <cell r="Q66">
            <v>46281</v>
          </cell>
          <cell r="R66">
            <v>45917</v>
          </cell>
        </row>
        <row r="67">
          <cell r="C67" t="str">
            <v>18号205</v>
          </cell>
          <cell r="D67">
            <v>0.7</v>
          </cell>
          <cell r="E67">
            <v>210</v>
          </cell>
          <cell r="F67">
            <v>23</v>
          </cell>
          <cell r="G67">
            <v>4830</v>
          </cell>
          <cell r="H67">
            <v>1050</v>
          </cell>
          <cell r="J67" t="str">
            <v>空档</v>
          </cell>
          <cell r="M67" t="str">
            <v>庆丰二路18号205</v>
          </cell>
        </row>
        <row r="68">
          <cell r="C68" t="str">
            <v>18号206</v>
          </cell>
          <cell r="D68">
            <v>0.7</v>
          </cell>
          <cell r="E68">
            <v>167</v>
          </cell>
          <cell r="F68">
            <v>23</v>
          </cell>
          <cell r="G68">
            <v>3841</v>
          </cell>
          <cell r="H68">
            <v>501</v>
          </cell>
          <cell r="I68" t="str">
            <v>罗家定</v>
          </cell>
          <cell r="L68" t="str">
            <v>25.8.31已收押8684,9月租3841管501</v>
          </cell>
          <cell r="M68" t="str">
            <v>庆丰二路18号206</v>
          </cell>
          <cell r="O68">
            <v>45900</v>
          </cell>
          <cell r="P68">
            <v>45901</v>
          </cell>
          <cell r="Q68">
            <v>46630</v>
          </cell>
          <cell r="R68">
            <v>45921</v>
          </cell>
        </row>
        <row r="69">
          <cell r="C69" t="str">
            <v>18号207</v>
          </cell>
          <cell r="D69">
            <v>0.7</v>
          </cell>
          <cell r="E69">
            <v>353</v>
          </cell>
          <cell r="F69">
            <v>24</v>
          </cell>
          <cell r="G69">
            <v>8472</v>
          </cell>
          <cell r="H69">
            <v>1059</v>
          </cell>
          <cell r="I69" t="str">
            <v>黄寅喜</v>
          </cell>
          <cell r="K69" t="str">
            <v>商户介绍奖励租金三分之一，员工不再报个人提成。电费按0.85元/月，能源分摊0.65元/度，水费按20元/月，其他免收</v>
          </cell>
          <cell r="L69" t="str">
            <v>25.12.17已收押1.6万，1月首月租8千</v>
          </cell>
          <cell r="M69" t="str">
            <v>庆丰二路18号207</v>
          </cell>
          <cell r="N69" t="str">
            <v>仓库</v>
          </cell>
          <cell r="P69">
            <v>46023</v>
          </cell>
          <cell r="Q69">
            <v>46752</v>
          </cell>
          <cell r="R69">
            <v>46023</v>
          </cell>
        </row>
        <row r="70">
          <cell r="C70" t="str">
            <v>18号301/302</v>
          </cell>
          <cell r="D70">
            <v>0.7</v>
          </cell>
          <cell r="E70">
            <v>2203</v>
          </cell>
          <cell r="F70">
            <v>21</v>
          </cell>
          <cell r="G70">
            <v>46263</v>
          </cell>
          <cell r="H70">
            <v>11015</v>
          </cell>
          <cell r="I70" t="str">
            <v>陈长远</v>
          </cell>
          <cell r="M70" t="str">
            <v>庆丰二路18号301/302</v>
          </cell>
          <cell r="O70">
            <v>45931</v>
          </cell>
          <cell r="P70">
            <v>45931</v>
          </cell>
          <cell r="Q70">
            <v>47026</v>
          </cell>
          <cell r="R70">
            <v>45962</v>
          </cell>
        </row>
        <row r="71">
          <cell r="C71" t="str">
            <v>18号401</v>
          </cell>
          <cell r="D71">
            <v>0.7</v>
          </cell>
          <cell r="E71">
            <v>46</v>
          </cell>
          <cell r="G71">
            <v>0</v>
          </cell>
          <cell r="H71">
            <v>230</v>
          </cell>
          <cell r="J71" t="str">
            <v>空档</v>
          </cell>
        </row>
        <row r="72">
          <cell r="C72" t="str">
            <v>18号402</v>
          </cell>
          <cell r="D72">
            <v>0.7</v>
          </cell>
          <cell r="E72">
            <v>46</v>
          </cell>
          <cell r="G72">
            <v>0</v>
          </cell>
          <cell r="H72">
            <v>230</v>
          </cell>
          <cell r="I72" t="str">
            <v>郭华濠</v>
          </cell>
          <cell r="L72" t="str">
            <v>25.11.5已收押3600,11.11-12.10租金966管230</v>
          </cell>
          <cell r="M72" t="str">
            <v>庆丰二路18号402</v>
          </cell>
          <cell r="O72">
            <v>46373</v>
          </cell>
          <cell r="P72">
            <v>45972</v>
          </cell>
          <cell r="Q72">
            <v>46336</v>
          </cell>
          <cell r="R72">
            <v>45972</v>
          </cell>
        </row>
        <row r="73">
          <cell r="C73" t="str">
            <v>18号403</v>
          </cell>
          <cell r="D73">
            <v>0.7</v>
          </cell>
          <cell r="E73">
            <v>59</v>
          </cell>
          <cell r="G73">
            <v>0</v>
          </cell>
          <cell r="H73">
            <v>295</v>
          </cell>
          <cell r="J73" t="str">
            <v>空档</v>
          </cell>
        </row>
        <row r="74">
          <cell r="C74" t="str">
            <v>18号404</v>
          </cell>
          <cell r="D74">
            <v>0.7</v>
          </cell>
          <cell r="E74">
            <v>67</v>
          </cell>
          <cell r="G74">
            <v>0</v>
          </cell>
          <cell r="H74">
            <v>335</v>
          </cell>
          <cell r="J74" t="str">
            <v>空档</v>
          </cell>
        </row>
        <row r="75">
          <cell r="C75" t="str">
            <v>H7栋101</v>
          </cell>
          <cell r="D75">
            <v>0.7</v>
          </cell>
          <cell r="E75">
            <v>170</v>
          </cell>
          <cell r="F75">
            <v>30</v>
          </cell>
          <cell r="G75">
            <v>5100</v>
          </cell>
          <cell r="H75">
            <v>850</v>
          </cell>
          <cell r="I75" t="str">
            <v>林秋梅</v>
          </cell>
          <cell r="J75" t="str">
            <v>新签</v>
          </cell>
          <cell r="L75" t="str">
            <v>24.8.22已收押10400,9月租4350管850水50</v>
          </cell>
          <cell r="M75" t="str">
            <v>H7栋101</v>
          </cell>
          <cell r="N75" t="str">
            <v>仓库</v>
          </cell>
          <cell r="O75">
            <v>45526</v>
          </cell>
          <cell r="P75">
            <v>45536</v>
          </cell>
          <cell r="Q75">
            <v>46265</v>
          </cell>
          <cell r="R75">
            <v>45536</v>
          </cell>
        </row>
        <row r="76">
          <cell r="C76" t="str">
            <v>H7栋102-1</v>
          </cell>
          <cell r="D76">
            <v>0.7</v>
          </cell>
          <cell r="E76">
            <v>16</v>
          </cell>
          <cell r="F76">
            <v>35</v>
          </cell>
          <cell r="G76">
            <v>560</v>
          </cell>
          <cell r="H76">
            <v>80</v>
          </cell>
          <cell r="J76" t="str">
            <v>空档</v>
          </cell>
        </row>
        <row r="77">
          <cell r="C77" t="str">
            <v>H7栋103</v>
          </cell>
          <cell r="D77">
            <v>0.7</v>
          </cell>
          <cell r="E77">
            <v>228</v>
          </cell>
          <cell r="F77">
            <v>30</v>
          </cell>
          <cell r="G77">
            <v>6840</v>
          </cell>
          <cell r="H77">
            <v>1140</v>
          </cell>
          <cell r="J77" t="str">
            <v>空档</v>
          </cell>
        </row>
        <row r="78">
          <cell r="C78" t="str">
            <v>H7栋105</v>
          </cell>
          <cell r="D78">
            <v>0.7</v>
          </cell>
          <cell r="E78">
            <v>21</v>
          </cell>
          <cell r="F78">
            <v>30</v>
          </cell>
          <cell r="G78">
            <v>630</v>
          </cell>
          <cell r="H78">
            <v>105</v>
          </cell>
          <cell r="J78" t="str">
            <v>空档</v>
          </cell>
        </row>
        <row r="79">
          <cell r="C79" t="str">
            <v>H7栋106</v>
          </cell>
          <cell r="D79">
            <v>0.7</v>
          </cell>
          <cell r="E79">
            <v>20</v>
          </cell>
          <cell r="F79">
            <v>30</v>
          </cell>
          <cell r="G79">
            <v>600</v>
          </cell>
          <cell r="H79">
            <v>100</v>
          </cell>
          <cell r="J79" t="str">
            <v>空档</v>
          </cell>
        </row>
        <row r="80">
          <cell r="C80" t="str">
            <v>H7栋201</v>
          </cell>
          <cell r="D80">
            <v>0.7</v>
          </cell>
          <cell r="E80">
            <v>170</v>
          </cell>
          <cell r="F80">
            <v>23</v>
          </cell>
          <cell r="G80">
            <v>3910</v>
          </cell>
          <cell r="H80">
            <v>850</v>
          </cell>
          <cell r="I80" t="str">
            <v>唐道辉</v>
          </cell>
          <cell r="J80" t="str">
            <v>续签</v>
          </cell>
          <cell r="M80" t="str">
            <v>H7栋201</v>
          </cell>
          <cell r="N80" t="str">
            <v>仓库直播</v>
          </cell>
          <cell r="O80">
            <v>45859</v>
          </cell>
          <cell r="P80">
            <v>45882</v>
          </cell>
          <cell r="Q80">
            <v>46611</v>
          </cell>
          <cell r="R80">
            <v>45882</v>
          </cell>
        </row>
        <row r="81">
          <cell r="C81" t="str">
            <v>H7栋202</v>
          </cell>
          <cell r="D81">
            <v>0.7</v>
          </cell>
          <cell r="E81">
            <v>16</v>
          </cell>
          <cell r="F81">
            <v>20</v>
          </cell>
          <cell r="G81">
            <v>320</v>
          </cell>
          <cell r="H81">
            <v>80</v>
          </cell>
          <cell r="J81" t="str">
            <v>空档</v>
          </cell>
        </row>
        <row r="82">
          <cell r="C82" t="str">
            <v>H7栋203</v>
          </cell>
          <cell r="D82">
            <v>0.7</v>
          </cell>
          <cell r="E82">
            <v>228</v>
          </cell>
          <cell r="F82">
            <v>23</v>
          </cell>
          <cell r="G82">
            <v>5244</v>
          </cell>
          <cell r="H82">
            <v>1140</v>
          </cell>
          <cell r="I82" t="str">
            <v>林艳萍</v>
          </cell>
          <cell r="J82" t="str">
            <v>续签</v>
          </cell>
          <cell r="M82" t="str">
            <v>H7栋203</v>
          </cell>
          <cell r="N82" t="str">
            <v>仓库</v>
          </cell>
          <cell r="O82">
            <v>45987</v>
          </cell>
          <cell r="P82">
            <v>45940</v>
          </cell>
          <cell r="Q82">
            <v>46669</v>
          </cell>
          <cell r="R82">
            <v>45590</v>
          </cell>
        </row>
        <row r="83">
          <cell r="C83" t="str">
            <v>H7栋205</v>
          </cell>
          <cell r="D83">
            <v>0.7</v>
          </cell>
          <cell r="E83">
            <v>21</v>
          </cell>
          <cell r="F83">
            <v>23</v>
          </cell>
          <cell r="G83">
            <v>483</v>
          </cell>
          <cell r="H83">
            <v>105</v>
          </cell>
          <cell r="I83" t="str">
            <v>林艳萍</v>
          </cell>
          <cell r="L83" t="str">
            <v>25.11.14已收押1000,11.20-12租295管205</v>
          </cell>
          <cell r="M83" t="str">
            <v>H7栋205/206</v>
          </cell>
          <cell r="O83">
            <v>45974</v>
          </cell>
          <cell r="P83">
            <v>45981</v>
          </cell>
          <cell r="Q83">
            <v>46345</v>
          </cell>
          <cell r="R83">
            <v>45981</v>
          </cell>
        </row>
        <row r="84">
          <cell r="C84" t="str">
            <v>H7栋206</v>
          </cell>
          <cell r="D84">
            <v>0.7</v>
          </cell>
          <cell r="E84">
            <v>20</v>
          </cell>
          <cell r="F84">
            <v>23</v>
          </cell>
          <cell r="G84">
            <v>460</v>
          </cell>
          <cell r="H84">
            <v>100</v>
          </cell>
          <cell r="I84" t="str">
            <v>林艳萍</v>
          </cell>
          <cell r="M84" t="str">
            <v>H7栋205/206</v>
          </cell>
          <cell r="P84">
            <v>45981</v>
          </cell>
          <cell r="Q84">
            <v>46345</v>
          </cell>
          <cell r="R84">
            <v>45981</v>
          </cell>
        </row>
        <row r="85">
          <cell r="C85" t="str">
            <v>H7栋301</v>
          </cell>
          <cell r="D85">
            <v>0.7</v>
          </cell>
          <cell r="E85">
            <v>170</v>
          </cell>
          <cell r="F85">
            <v>16.588999999999999</v>
          </cell>
          <cell r="G85">
            <v>2820.13</v>
          </cell>
          <cell r="H85">
            <v>850</v>
          </cell>
          <cell r="I85" t="str">
            <v>李艳萍</v>
          </cell>
          <cell r="J85" t="str">
            <v>续签</v>
          </cell>
          <cell r="M85" t="str">
            <v>H7栋301</v>
          </cell>
          <cell r="N85" t="str">
            <v>仓库</v>
          </cell>
          <cell r="O85">
            <v>45916</v>
          </cell>
          <cell r="P85">
            <v>45925</v>
          </cell>
          <cell r="Q85">
            <v>46289</v>
          </cell>
          <cell r="R85">
            <v>45925</v>
          </cell>
        </row>
        <row r="86">
          <cell r="C86" t="str">
            <v>H7栋302</v>
          </cell>
          <cell r="D86">
            <v>0.7</v>
          </cell>
          <cell r="E86">
            <v>16</v>
          </cell>
          <cell r="F86">
            <v>20</v>
          </cell>
          <cell r="G86">
            <v>320</v>
          </cell>
          <cell r="H86">
            <v>80</v>
          </cell>
          <cell r="J86" t="str">
            <v>空档</v>
          </cell>
        </row>
        <row r="87">
          <cell r="C87" t="str">
            <v>H7栋303</v>
          </cell>
          <cell r="D87">
            <v>0.7</v>
          </cell>
          <cell r="E87">
            <v>228</v>
          </cell>
          <cell r="F87">
            <v>23</v>
          </cell>
          <cell r="G87">
            <v>5244</v>
          </cell>
          <cell r="H87">
            <v>1140</v>
          </cell>
          <cell r="I87" t="str">
            <v>林秋梅</v>
          </cell>
          <cell r="J87" t="str">
            <v>临租</v>
          </cell>
          <cell r="M87" t="str">
            <v>H7栋303</v>
          </cell>
          <cell r="N87" t="str">
            <v>仓库</v>
          </cell>
          <cell r="O87">
            <v>45658</v>
          </cell>
          <cell r="P87">
            <v>45839</v>
          </cell>
          <cell r="Q87">
            <v>46022</v>
          </cell>
          <cell r="R87">
            <v>45839</v>
          </cell>
        </row>
        <row r="88">
          <cell r="C88" t="str">
            <v>H7栋305</v>
          </cell>
          <cell r="D88">
            <v>0.7</v>
          </cell>
          <cell r="E88">
            <v>21</v>
          </cell>
          <cell r="F88">
            <v>23</v>
          </cell>
          <cell r="G88">
            <v>483</v>
          </cell>
          <cell r="H88">
            <v>105</v>
          </cell>
          <cell r="J88" t="str">
            <v>空档</v>
          </cell>
          <cell r="M88" t="str">
            <v>H7栋305.306</v>
          </cell>
        </row>
        <row r="89">
          <cell r="C89" t="str">
            <v>H7栋306</v>
          </cell>
          <cell r="D89">
            <v>0.7</v>
          </cell>
          <cell r="E89">
            <v>20</v>
          </cell>
          <cell r="F89">
            <v>23</v>
          </cell>
          <cell r="G89">
            <v>460</v>
          </cell>
          <cell r="H89">
            <v>100</v>
          </cell>
          <cell r="J89" t="str">
            <v>空档</v>
          </cell>
          <cell r="M89" t="str">
            <v>H7栋305.306</v>
          </cell>
        </row>
        <row r="90">
          <cell r="C90" t="str">
            <v>H7栋401</v>
          </cell>
          <cell r="D90">
            <v>0.7</v>
          </cell>
          <cell r="E90">
            <v>170</v>
          </cell>
          <cell r="F90">
            <v>20</v>
          </cell>
          <cell r="G90">
            <v>3400</v>
          </cell>
          <cell r="H90">
            <v>850</v>
          </cell>
          <cell r="J90" t="str">
            <v>空档</v>
          </cell>
        </row>
        <row r="91">
          <cell r="C91" t="str">
            <v>H7栋402</v>
          </cell>
          <cell r="D91">
            <v>0.7</v>
          </cell>
          <cell r="E91">
            <v>16</v>
          </cell>
          <cell r="F91">
            <v>15</v>
          </cell>
          <cell r="G91">
            <v>240</v>
          </cell>
          <cell r="H91">
            <v>80</v>
          </cell>
          <cell r="J91" t="str">
            <v>空档</v>
          </cell>
        </row>
        <row r="92">
          <cell r="C92" t="str">
            <v>H7栋403</v>
          </cell>
          <cell r="D92">
            <v>0.7</v>
          </cell>
          <cell r="E92">
            <v>228</v>
          </cell>
          <cell r="F92">
            <v>20</v>
          </cell>
          <cell r="G92">
            <v>4560</v>
          </cell>
          <cell r="H92">
            <v>1140</v>
          </cell>
          <cell r="J92" t="str">
            <v>空档</v>
          </cell>
          <cell r="K92" t="str">
            <v>电费1.5元/度，水电公摊50元/月</v>
          </cell>
        </row>
        <row r="93">
          <cell r="C93" t="str">
            <v>H7栋405</v>
          </cell>
          <cell r="D93">
            <v>0.7</v>
          </cell>
          <cell r="E93">
            <v>21</v>
          </cell>
          <cell r="F93">
            <v>20</v>
          </cell>
          <cell r="G93">
            <v>420</v>
          </cell>
          <cell r="H93">
            <v>105</v>
          </cell>
          <cell r="J93" t="str">
            <v>空档</v>
          </cell>
        </row>
        <row r="94">
          <cell r="C94" t="str">
            <v>H7栋406</v>
          </cell>
          <cell r="D94">
            <v>0.7</v>
          </cell>
          <cell r="E94">
            <v>20</v>
          </cell>
          <cell r="F94">
            <v>20</v>
          </cell>
          <cell r="G94">
            <v>400</v>
          </cell>
          <cell r="H94">
            <v>100</v>
          </cell>
          <cell r="J94" t="str">
            <v>空档</v>
          </cell>
        </row>
        <row r="95">
          <cell r="C95" t="str">
            <v>H7栋102</v>
          </cell>
          <cell r="D95">
            <v>0.7</v>
          </cell>
          <cell r="E95">
            <v>348</v>
          </cell>
          <cell r="F95">
            <v>30</v>
          </cell>
          <cell r="G95">
            <v>10440</v>
          </cell>
          <cell r="H95">
            <v>1740</v>
          </cell>
          <cell r="J95" t="str">
            <v>空档</v>
          </cell>
        </row>
        <row r="96">
          <cell r="C96" t="str">
            <v>H009栋102-103/102-103外棚以及H10栋103A/105/106/106-1棚区/201/202/301/302</v>
          </cell>
          <cell r="D96">
            <v>0.7</v>
          </cell>
          <cell r="E96">
            <v>1030</v>
          </cell>
          <cell r="F96">
            <v>30</v>
          </cell>
          <cell r="G96">
            <v>30900</v>
          </cell>
          <cell r="H96">
            <v>5150</v>
          </cell>
          <cell r="I96" t="str">
            <v>梁攀明、林敬贤、李卫国</v>
          </cell>
          <cell r="K96" t="str">
            <v>首月押金消防保证金未交，签补充协议。公共能源分摊费按0.65元/度电，水300元/月，电0.85元/度</v>
          </cell>
          <cell r="L96" t="str">
            <v>25.11.27已收押4万</v>
          </cell>
          <cell r="M96" t="str">
            <v>H009栋102-103/102-103外棚以及H10栋103A/105/106/106-1棚区/201/202/301/302</v>
          </cell>
          <cell r="N96" t="str">
            <v>仓储</v>
          </cell>
          <cell r="P96">
            <v>46011</v>
          </cell>
          <cell r="Q96">
            <v>46375</v>
          </cell>
          <cell r="R96">
            <v>46033</v>
          </cell>
        </row>
        <row r="97">
          <cell r="C97" t="str">
            <v>H009栋102-103/102-103外棚以及H10栋103A/105/106/106-1棚区/201/202/301/302</v>
          </cell>
          <cell r="D97">
            <v>0.7</v>
          </cell>
          <cell r="E97">
            <v>360</v>
          </cell>
          <cell r="F97">
            <v>15</v>
          </cell>
          <cell r="G97">
            <v>5400</v>
          </cell>
          <cell r="H97">
            <v>1800</v>
          </cell>
          <cell r="I97" t="str">
            <v>梁攀明、林敬贤、李卫国</v>
          </cell>
          <cell r="M97" t="str">
            <v>H009栋102-103/102-103外棚以及H10栋103A/105/106/106-1棚区/201/202/301/302</v>
          </cell>
          <cell r="N97" t="str">
            <v>仓储</v>
          </cell>
        </row>
        <row r="98">
          <cell r="C98" t="str">
            <v>H009栋102-103/102-103外棚以及H10栋103A/105/106/106-1棚区/201/202/301/302</v>
          </cell>
          <cell r="D98">
            <v>0.7</v>
          </cell>
          <cell r="E98">
            <v>59</v>
          </cell>
          <cell r="F98">
            <v>25</v>
          </cell>
          <cell r="G98">
            <v>1475</v>
          </cell>
          <cell r="H98">
            <v>295</v>
          </cell>
          <cell r="I98" t="str">
            <v>梁攀明、林敬贤、李卫国</v>
          </cell>
          <cell r="M98" t="str">
            <v>H009栋102-103/102-103外棚以及H10栋103A/105/106/106-1棚区/201/202/301/302</v>
          </cell>
          <cell r="N98" t="str">
            <v>仓储</v>
          </cell>
        </row>
        <row r="99">
          <cell r="C99" t="str">
            <v>H009栋102-103/102-103外棚以及H10栋103A/105/106/106-1棚区/201/202/301/302</v>
          </cell>
          <cell r="D99">
            <v>0.7</v>
          </cell>
          <cell r="E99">
            <v>184</v>
          </cell>
          <cell r="F99">
            <v>25</v>
          </cell>
          <cell r="G99">
            <v>4600</v>
          </cell>
          <cell r="H99">
            <v>920</v>
          </cell>
          <cell r="I99" t="str">
            <v>梁攀明、林敬贤、李卫国</v>
          </cell>
          <cell r="M99" t="str">
            <v>H009栋102-103/102-103外棚以及H10栋103A/105/106/106-1棚区/201/202/301/302</v>
          </cell>
          <cell r="N99" t="str">
            <v>仓储</v>
          </cell>
        </row>
        <row r="100">
          <cell r="C100" t="str">
            <v>H009栋102-103/102-103外棚以及H10栋103A/105/106/106-1棚区/201/202/301/302</v>
          </cell>
          <cell r="D100">
            <v>0.7</v>
          </cell>
          <cell r="E100">
            <v>325</v>
          </cell>
          <cell r="F100">
            <v>25</v>
          </cell>
          <cell r="G100">
            <v>8125</v>
          </cell>
          <cell r="H100">
            <v>1625</v>
          </cell>
          <cell r="I100" t="str">
            <v>梁攀明、林敬贤、李卫国</v>
          </cell>
          <cell r="M100" t="str">
            <v>H009栋102-103/102-103外棚以及H10栋103A/105/106/106-1棚区/201/202/301/302</v>
          </cell>
          <cell r="N100" t="str">
            <v>仓储</v>
          </cell>
        </row>
        <row r="101">
          <cell r="C101" t="str">
            <v>H009栋102-103/102-103外棚以及H10栋103A/105/106/106-1棚区/201/202/301/302</v>
          </cell>
          <cell r="D101">
            <v>0.7</v>
          </cell>
          <cell r="E101">
            <v>252</v>
          </cell>
          <cell r="F101">
            <v>10</v>
          </cell>
          <cell r="G101">
            <v>2520</v>
          </cell>
          <cell r="H101">
            <v>1260</v>
          </cell>
          <cell r="I101" t="str">
            <v>梁攀明、林敬贤、李卫国</v>
          </cell>
          <cell r="M101" t="str">
            <v>H009栋102-103/102-103外棚以及H10栋103A/105/106/106-1棚区/201/202/301/302</v>
          </cell>
          <cell r="N101" t="str">
            <v>仓储</v>
          </cell>
        </row>
        <row r="102">
          <cell r="C102" t="str">
            <v>H009栋102-103/102-103外棚以及H10栋103A/105/106/106-1棚区/201/202/301/302</v>
          </cell>
          <cell r="D102">
            <v>0.7</v>
          </cell>
          <cell r="E102">
            <v>262</v>
          </cell>
          <cell r="F102">
            <v>20</v>
          </cell>
          <cell r="G102">
            <v>5240</v>
          </cell>
          <cell r="H102">
            <v>1310</v>
          </cell>
          <cell r="I102" t="str">
            <v>梁攀明、林敬贤、李卫国</v>
          </cell>
          <cell r="M102" t="str">
            <v>H009栋102-103/102-103外棚以及H10栋103A/105/106/106-1棚区/201/202/301/302</v>
          </cell>
          <cell r="N102" t="str">
            <v>仓储</v>
          </cell>
        </row>
        <row r="103">
          <cell r="C103" t="str">
            <v>H009栋102-103/102-103外棚以及H10栋103A/105/106/106-1棚区/201/202/301/302</v>
          </cell>
          <cell r="D103">
            <v>0.7</v>
          </cell>
          <cell r="E103">
            <v>246</v>
          </cell>
          <cell r="F103">
            <v>20</v>
          </cell>
          <cell r="G103">
            <v>4920</v>
          </cell>
          <cell r="H103">
            <v>1230</v>
          </cell>
          <cell r="I103" t="str">
            <v>梁攀明、林敬贤、李卫国</v>
          </cell>
          <cell r="M103" t="str">
            <v>H009栋102-103/102-103外棚以及H10栋103A/105/106/106-1棚区/201/202/301/302</v>
          </cell>
          <cell r="N103" t="str">
            <v>仓储</v>
          </cell>
        </row>
        <row r="104">
          <cell r="C104" t="str">
            <v>H009栋102-103/102-103外棚以及H10栋103A/105/106/106-1棚区/201/202/301/302</v>
          </cell>
          <cell r="D104">
            <v>0.7</v>
          </cell>
          <cell r="E104">
            <v>263</v>
          </cell>
          <cell r="F104">
            <v>15</v>
          </cell>
          <cell r="G104">
            <v>3945</v>
          </cell>
          <cell r="H104">
            <v>1315</v>
          </cell>
          <cell r="I104" t="str">
            <v>梁攀明、林敬贤、李卫国</v>
          </cell>
          <cell r="M104" t="str">
            <v>H009栋102-103/102-103外棚以及H10栋103A/105/106/106-1棚区/201/202/301/302</v>
          </cell>
          <cell r="N104" t="str">
            <v>仓储</v>
          </cell>
        </row>
        <row r="105">
          <cell r="C105" t="str">
            <v>H009栋102-103/102-103外棚以及H10栋103A/105/106/106-1棚区/201/202/301/302</v>
          </cell>
          <cell r="D105">
            <v>0.7</v>
          </cell>
          <cell r="E105">
            <v>246</v>
          </cell>
          <cell r="F105">
            <v>15</v>
          </cell>
          <cell r="G105">
            <v>3690</v>
          </cell>
          <cell r="H105">
            <v>1230</v>
          </cell>
          <cell r="I105" t="str">
            <v>梁攀明、林敬贤、李卫国</v>
          </cell>
          <cell r="M105" t="str">
            <v>H009栋102-103/102-103外棚以及H10栋103A/105/106/106-1棚区/201/202/301/302</v>
          </cell>
          <cell r="N105" t="str">
            <v>仓储</v>
          </cell>
        </row>
        <row r="106">
          <cell r="C106" t="str">
            <v>B01/B02</v>
          </cell>
          <cell r="D106">
            <v>0.5</v>
          </cell>
          <cell r="E106">
            <v>83</v>
          </cell>
          <cell r="F106">
            <v>70</v>
          </cell>
          <cell r="G106">
            <v>5810</v>
          </cell>
          <cell r="H106">
            <v>830</v>
          </cell>
          <cell r="I106" t="str">
            <v>范志森</v>
          </cell>
          <cell r="L106" t="str">
            <v>25.4.29已收押57270，三年预交款407367</v>
          </cell>
          <cell r="M106" t="str">
            <v>1B01/02</v>
          </cell>
          <cell r="N106" t="str">
            <v>女装</v>
          </cell>
          <cell r="O106">
            <v>45771</v>
          </cell>
          <cell r="P106">
            <v>45717</v>
          </cell>
          <cell r="Q106">
            <v>46812</v>
          </cell>
          <cell r="R106">
            <v>45809</v>
          </cell>
        </row>
        <row r="107">
          <cell r="C107" t="str">
            <v>B02</v>
          </cell>
          <cell r="D107">
            <v>0.5</v>
          </cell>
          <cell r="E107">
            <v>83</v>
          </cell>
          <cell r="F107">
            <v>70</v>
          </cell>
          <cell r="G107">
            <v>5810</v>
          </cell>
          <cell r="H107">
            <v>830</v>
          </cell>
          <cell r="I107" t="str">
            <v>范志森</v>
          </cell>
          <cell r="M107" t="str">
            <v>1B01/02</v>
          </cell>
          <cell r="N107" t="str">
            <v>女装</v>
          </cell>
          <cell r="O107">
            <v>45771</v>
          </cell>
          <cell r="P107">
            <v>45717</v>
          </cell>
          <cell r="Q107">
            <v>46812</v>
          </cell>
          <cell r="R107">
            <v>45809</v>
          </cell>
        </row>
        <row r="108">
          <cell r="C108" t="str">
            <v>B04</v>
          </cell>
          <cell r="D108">
            <v>0.5</v>
          </cell>
          <cell r="E108">
            <v>165</v>
          </cell>
          <cell r="F108">
            <v>70</v>
          </cell>
          <cell r="G108">
            <v>11550</v>
          </cell>
          <cell r="H108">
            <v>1650</v>
          </cell>
          <cell r="I108" t="str">
            <v>韩俊朋</v>
          </cell>
          <cell r="K108" t="str">
            <v>首月已收公共能源，免管理费，免租期需交10元/㎡管理费，5元/㎡公摊费</v>
          </cell>
          <cell r="L108" t="str">
            <v>25.4.21已收押23850，9.15-10.14租8250</v>
          </cell>
          <cell r="M108" t="str">
            <v>1B04</v>
          </cell>
          <cell r="N108" t="str">
            <v>女装</v>
          </cell>
          <cell r="O108">
            <v>45785</v>
          </cell>
          <cell r="P108">
            <v>45823</v>
          </cell>
          <cell r="Q108">
            <v>46918</v>
          </cell>
          <cell r="R108">
            <v>45915</v>
          </cell>
        </row>
        <row r="109">
          <cell r="C109" t="str">
            <v>B05/B07</v>
          </cell>
          <cell r="D109">
            <v>0.5</v>
          </cell>
          <cell r="E109">
            <v>114</v>
          </cell>
          <cell r="F109">
            <v>70</v>
          </cell>
          <cell r="G109">
            <v>7980</v>
          </cell>
          <cell r="H109">
            <v>1140</v>
          </cell>
          <cell r="I109" t="str">
            <v>陈忠标</v>
          </cell>
          <cell r="K109" t="str">
            <v>首月已收公共能源，免管理费，免租期需交10元/㎡管理费，5元/㎡公摊费</v>
          </cell>
          <cell r="L109" t="str">
            <v>25.5.1已收押34200,9月租11400</v>
          </cell>
          <cell r="M109" t="str">
            <v>1B05/07</v>
          </cell>
          <cell r="N109" t="str">
            <v>女装</v>
          </cell>
          <cell r="O109">
            <v>45778</v>
          </cell>
          <cell r="P109">
            <v>45809</v>
          </cell>
          <cell r="Q109">
            <v>46904</v>
          </cell>
          <cell r="R109">
            <v>45901</v>
          </cell>
        </row>
        <row r="110">
          <cell r="C110" t="str">
            <v>B07</v>
          </cell>
          <cell r="D110">
            <v>0.5</v>
          </cell>
          <cell r="E110">
            <v>114</v>
          </cell>
          <cell r="F110">
            <v>70</v>
          </cell>
          <cell r="G110">
            <v>7980</v>
          </cell>
          <cell r="H110">
            <v>1140</v>
          </cell>
          <cell r="I110" t="str">
            <v>陈忠标</v>
          </cell>
          <cell r="M110" t="str">
            <v>1B05/07</v>
          </cell>
          <cell r="N110" t="str">
            <v>女装</v>
          </cell>
          <cell r="O110">
            <v>45778</v>
          </cell>
          <cell r="P110">
            <v>45809</v>
          </cell>
          <cell r="Q110">
            <v>46904</v>
          </cell>
          <cell r="R110">
            <v>45901</v>
          </cell>
        </row>
        <row r="111">
          <cell r="C111" t="str">
            <v>B06</v>
          </cell>
          <cell r="D111">
            <v>0.5</v>
          </cell>
          <cell r="E111">
            <v>114</v>
          </cell>
          <cell r="F111">
            <v>70</v>
          </cell>
          <cell r="G111">
            <v>7980</v>
          </cell>
          <cell r="H111">
            <v>1140</v>
          </cell>
          <cell r="I111" t="str">
            <v>唐波</v>
          </cell>
          <cell r="K111" t="str">
            <v>首月已收公共能源，免管理费，免租期需交10元/㎡管理费，5元/㎡公摊费</v>
          </cell>
          <cell r="L111" t="str">
            <v>25.4.22已收押17100,9.15-10.14租5700</v>
          </cell>
          <cell r="M111" t="str">
            <v>1B06</v>
          </cell>
          <cell r="N111" t="str">
            <v>女装</v>
          </cell>
          <cell r="O111">
            <v>45771</v>
          </cell>
          <cell r="P111">
            <v>45823</v>
          </cell>
          <cell r="Q111">
            <v>46918</v>
          </cell>
          <cell r="R111">
            <v>45915</v>
          </cell>
        </row>
        <row r="112">
          <cell r="C112" t="str">
            <v>B08</v>
          </cell>
          <cell r="D112">
            <v>0.5</v>
          </cell>
          <cell r="E112">
            <v>118</v>
          </cell>
          <cell r="F112">
            <v>70</v>
          </cell>
          <cell r="G112">
            <v>8260</v>
          </cell>
          <cell r="H112">
            <v>1180</v>
          </cell>
          <cell r="I112" t="str">
            <v>李常林</v>
          </cell>
          <cell r="L112" t="str">
            <v>24.11.28已收押33060，首月租9860管1160</v>
          </cell>
          <cell r="M112" t="str">
            <v>1B08</v>
          </cell>
          <cell r="N112" t="str">
            <v>女装</v>
          </cell>
          <cell r="O112">
            <v>45746</v>
          </cell>
          <cell r="P112">
            <v>45748</v>
          </cell>
          <cell r="Q112">
            <v>46843</v>
          </cell>
          <cell r="R112">
            <v>45839</v>
          </cell>
        </row>
        <row r="113">
          <cell r="C113" t="str">
            <v>B09</v>
          </cell>
          <cell r="D113">
            <v>0.5</v>
          </cell>
          <cell r="E113">
            <v>114.8</v>
          </cell>
          <cell r="F113">
            <v>70</v>
          </cell>
          <cell r="G113">
            <v>8036</v>
          </cell>
          <cell r="H113">
            <v>1148</v>
          </cell>
          <cell r="I113" t="str">
            <v>欧阳小燕</v>
          </cell>
          <cell r="J113" t="str">
            <v>新签</v>
          </cell>
          <cell r="L113" t="str">
            <v>25.4.25已收押36162，首月租10906管1148</v>
          </cell>
          <cell r="M113" t="str">
            <v>1B09</v>
          </cell>
          <cell r="N113" t="str">
            <v>女装</v>
          </cell>
          <cell r="O113">
            <v>45717</v>
          </cell>
          <cell r="P113">
            <v>45717</v>
          </cell>
          <cell r="Q113">
            <v>46812</v>
          </cell>
          <cell r="R113">
            <v>45809</v>
          </cell>
        </row>
        <row r="114">
          <cell r="C114" t="str">
            <v>B10</v>
          </cell>
          <cell r="D114">
            <v>0.5</v>
          </cell>
          <cell r="E114">
            <v>92</v>
          </cell>
          <cell r="F114">
            <v>65</v>
          </cell>
          <cell r="G114">
            <v>5980</v>
          </cell>
          <cell r="H114">
            <v>920</v>
          </cell>
          <cell r="I114" t="str">
            <v>陈标春</v>
          </cell>
          <cell r="J114" t="str">
            <v>新签</v>
          </cell>
          <cell r="K114" t="str">
            <v>签补充协议80㎡</v>
          </cell>
          <cell r="L114" t="str">
            <v>25.4.1已收押16800，首月租4800管800</v>
          </cell>
          <cell r="M114" t="str">
            <v>1B10</v>
          </cell>
          <cell r="N114" t="str">
            <v>女装</v>
          </cell>
          <cell r="O114">
            <v>45748</v>
          </cell>
          <cell r="P114">
            <v>45748</v>
          </cell>
          <cell r="Q114">
            <v>46843</v>
          </cell>
          <cell r="R114">
            <v>45839</v>
          </cell>
        </row>
        <row r="115">
          <cell r="C115" t="str">
            <v>B11</v>
          </cell>
          <cell r="D115">
            <v>0.5</v>
          </cell>
          <cell r="E115">
            <v>84</v>
          </cell>
          <cell r="F115">
            <v>60</v>
          </cell>
          <cell r="G115">
            <v>5040</v>
          </cell>
          <cell r="H115">
            <v>840</v>
          </cell>
          <cell r="I115" t="str">
            <v>宋文玲</v>
          </cell>
          <cell r="M115" t="str">
            <v>1B11</v>
          </cell>
          <cell r="N115" t="str">
            <v>女装</v>
          </cell>
          <cell r="O115">
            <v>45839</v>
          </cell>
          <cell r="P115">
            <v>45839</v>
          </cell>
          <cell r="Q115">
            <v>46934</v>
          </cell>
          <cell r="R115">
            <v>45931</v>
          </cell>
        </row>
        <row r="116">
          <cell r="C116" t="str">
            <v>B12</v>
          </cell>
          <cell r="D116">
            <v>0.5</v>
          </cell>
          <cell r="E116">
            <v>90</v>
          </cell>
          <cell r="F116">
            <v>60</v>
          </cell>
          <cell r="G116">
            <v>5400</v>
          </cell>
          <cell r="H116">
            <v>900</v>
          </cell>
          <cell r="I116" t="str">
            <v>贾军娜</v>
          </cell>
          <cell r="J116" t="str">
            <v>新签</v>
          </cell>
          <cell r="L116" t="str">
            <v>25.3.27已收押18900,首月租5400管900水50</v>
          </cell>
          <cell r="M116" t="str">
            <v>1B12</v>
          </cell>
          <cell r="N116" t="str">
            <v>女装</v>
          </cell>
          <cell r="O116">
            <v>45743</v>
          </cell>
          <cell r="P116">
            <v>45748</v>
          </cell>
          <cell r="Q116">
            <v>46843</v>
          </cell>
          <cell r="R116">
            <v>45839</v>
          </cell>
        </row>
        <row r="117">
          <cell r="C117" t="str">
            <v>B13</v>
          </cell>
          <cell r="D117">
            <v>0.5</v>
          </cell>
          <cell r="E117">
            <v>89</v>
          </cell>
          <cell r="F117">
            <v>65</v>
          </cell>
          <cell r="G117">
            <v>5785</v>
          </cell>
          <cell r="H117">
            <v>890</v>
          </cell>
          <cell r="I117" t="str">
            <v>贾军娜</v>
          </cell>
          <cell r="J117" t="str">
            <v>新签</v>
          </cell>
          <cell r="L117" t="str">
            <v>25.3.27已收押18690,首月租5340管890水50</v>
          </cell>
          <cell r="M117" t="str">
            <v>1B13</v>
          </cell>
          <cell r="N117" t="str">
            <v>女装</v>
          </cell>
          <cell r="O117">
            <v>45743</v>
          </cell>
          <cell r="P117">
            <v>45748</v>
          </cell>
          <cell r="Q117">
            <v>46843</v>
          </cell>
          <cell r="R117">
            <v>45839</v>
          </cell>
        </row>
        <row r="118">
          <cell r="C118" t="str">
            <v>B14</v>
          </cell>
          <cell r="D118">
            <v>0.5</v>
          </cell>
          <cell r="E118">
            <v>111</v>
          </cell>
          <cell r="F118">
            <v>60</v>
          </cell>
          <cell r="G118">
            <v>6660</v>
          </cell>
          <cell r="H118">
            <v>1110</v>
          </cell>
          <cell r="I118" t="str">
            <v>杨镇泉</v>
          </cell>
          <cell r="J118" t="str">
            <v>新签</v>
          </cell>
          <cell r="L118" t="str">
            <v>25.4.21已收押23310，首月租6660管1110</v>
          </cell>
          <cell r="M118" t="str">
            <v>1B14</v>
          </cell>
          <cell r="N118" t="str">
            <v>女装</v>
          </cell>
          <cell r="O118">
            <v>45768</v>
          </cell>
          <cell r="P118">
            <v>45778</v>
          </cell>
          <cell r="Q118">
            <v>46873</v>
          </cell>
          <cell r="R118">
            <v>45870</v>
          </cell>
        </row>
        <row r="119">
          <cell r="C119" t="str">
            <v>B15</v>
          </cell>
          <cell r="D119">
            <v>0.5</v>
          </cell>
          <cell r="E119">
            <v>109</v>
          </cell>
          <cell r="F119">
            <v>50</v>
          </cell>
          <cell r="G119">
            <v>5450</v>
          </cell>
          <cell r="H119">
            <v>1090</v>
          </cell>
          <cell r="I119" t="str">
            <v>陈菊</v>
          </cell>
          <cell r="L119" t="str">
            <v>25.9.17已收押19620，1.20-2.19租5450管1090</v>
          </cell>
          <cell r="M119" t="str">
            <v>1B15</v>
          </cell>
          <cell r="N119" t="str">
            <v>女装</v>
          </cell>
          <cell r="O119">
            <v>45917</v>
          </cell>
          <cell r="P119">
            <v>45920</v>
          </cell>
          <cell r="Q119">
            <v>47015</v>
          </cell>
          <cell r="R119">
            <v>46042</v>
          </cell>
        </row>
        <row r="120">
          <cell r="C120" t="str">
            <v>B16</v>
          </cell>
          <cell r="D120">
            <v>0.5</v>
          </cell>
          <cell r="E120">
            <v>88</v>
          </cell>
          <cell r="F120">
            <v>65</v>
          </cell>
          <cell r="G120">
            <v>5720</v>
          </cell>
          <cell r="H120">
            <v>880</v>
          </cell>
          <cell r="I120" t="str">
            <v>吴储秋</v>
          </cell>
          <cell r="J120" t="str">
            <v>新签</v>
          </cell>
          <cell r="K120" t="str">
            <v>首月已收公共能源费</v>
          </cell>
          <cell r="L120" t="str">
            <v>25.4.25已收押30060，8月租8350管1670</v>
          </cell>
          <cell r="M120" t="str">
            <v>1B16/17</v>
          </cell>
          <cell r="N120" t="str">
            <v>女装</v>
          </cell>
          <cell r="O120">
            <v>45772</v>
          </cell>
          <cell r="P120">
            <v>45778</v>
          </cell>
          <cell r="Q120">
            <v>46873</v>
          </cell>
          <cell r="R120">
            <v>45870</v>
          </cell>
        </row>
        <row r="121">
          <cell r="C121" t="str">
            <v>B17</v>
          </cell>
          <cell r="D121">
            <v>0.5</v>
          </cell>
          <cell r="E121">
            <v>79</v>
          </cell>
          <cell r="F121">
            <v>60</v>
          </cell>
          <cell r="G121">
            <v>4740</v>
          </cell>
          <cell r="H121">
            <v>790</v>
          </cell>
          <cell r="I121" t="str">
            <v>吴储秋</v>
          </cell>
          <cell r="J121" t="str">
            <v>新签</v>
          </cell>
          <cell r="M121" t="str">
            <v>1B16/17</v>
          </cell>
          <cell r="N121" t="str">
            <v>女装</v>
          </cell>
          <cell r="O121">
            <v>45772</v>
          </cell>
          <cell r="P121">
            <v>45778</v>
          </cell>
          <cell r="Q121">
            <v>46873</v>
          </cell>
          <cell r="R121">
            <v>45870</v>
          </cell>
        </row>
        <row r="122">
          <cell r="C122" t="str">
            <v>B18/B19</v>
          </cell>
          <cell r="D122">
            <v>0.5</v>
          </cell>
          <cell r="E122">
            <v>82</v>
          </cell>
          <cell r="F122">
            <v>60</v>
          </cell>
          <cell r="G122">
            <v>4920</v>
          </cell>
          <cell r="H122">
            <v>820</v>
          </cell>
          <cell r="I122" t="str">
            <v>林畅丽</v>
          </cell>
          <cell r="L122" t="str">
            <v>25.6.9已收押30318,9.10-10.9租8476管1630</v>
          </cell>
          <cell r="M122" t="str">
            <v>1B18/19</v>
          </cell>
          <cell r="N122" t="str">
            <v>女装</v>
          </cell>
          <cell r="O122">
            <v>45817</v>
          </cell>
          <cell r="P122">
            <v>45818</v>
          </cell>
          <cell r="Q122">
            <v>46913</v>
          </cell>
          <cell r="R122">
            <v>45910</v>
          </cell>
        </row>
        <row r="123">
          <cell r="C123" t="str">
            <v>B19</v>
          </cell>
          <cell r="D123">
            <v>0.5</v>
          </cell>
          <cell r="E123">
            <v>81</v>
          </cell>
          <cell r="F123">
            <v>65</v>
          </cell>
          <cell r="G123">
            <v>5265</v>
          </cell>
          <cell r="H123">
            <v>810</v>
          </cell>
          <cell r="I123" t="str">
            <v>林畅丽</v>
          </cell>
          <cell r="M123" t="str">
            <v>1B18/19</v>
          </cell>
          <cell r="N123" t="str">
            <v>女装</v>
          </cell>
          <cell r="O123">
            <v>45817</v>
          </cell>
          <cell r="P123">
            <v>45818</v>
          </cell>
          <cell r="Q123">
            <v>46913</v>
          </cell>
          <cell r="R123">
            <v>45910</v>
          </cell>
        </row>
        <row r="124">
          <cell r="C124" t="str">
            <v>B20/B21/B22</v>
          </cell>
          <cell r="D124">
            <v>0.5</v>
          </cell>
          <cell r="E124">
            <v>60</v>
          </cell>
          <cell r="F124">
            <v>65</v>
          </cell>
          <cell r="G124">
            <v>3900</v>
          </cell>
          <cell r="H124">
            <v>600</v>
          </cell>
          <cell r="I124" t="str">
            <v>陈杰</v>
          </cell>
          <cell r="J124" t="str">
            <v>新签</v>
          </cell>
          <cell r="K124" t="str">
            <v>签补充协议156㎡</v>
          </cell>
          <cell r="L124" t="str">
            <v>25.3.1已收押32760，首月租9360管1560</v>
          </cell>
          <cell r="M124" t="str">
            <v>1B20/21/22</v>
          </cell>
          <cell r="N124" t="str">
            <v>女装</v>
          </cell>
          <cell r="O124">
            <v>45748</v>
          </cell>
          <cell r="P124">
            <v>45748</v>
          </cell>
          <cell r="Q124">
            <v>46843</v>
          </cell>
          <cell r="R124">
            <v>45839</v>
          </cell>
        </row>
        <row r="125">
          <cell r="C125" t="str">
            <v>B21</v>
          </cell>
          <cell r="D125">
            <v>0.5</v>
          </cell>
          <cell r="E125">
            <v>60</v>
          </cell>
          <cell r="F125">
            <v>60</v>
          </cell>
          <cell r="G125">
            <v>3600</v>
          </cell>
          <cell r="H125">
            <v>600</v>
          </cell>
          <cell r="I125" t="str">
            <v>陈杰</v>
          </cell>
          <cell r="J125" t="str">
            <v>新签</v>
          </cell>
          <cell r="M125" t="str">
            <v>1B20/21/22</v>
          </cell>
          <cell r="N125" t="str">
            <v>女装</v>
          </cell>
          <cell r="O125">
            <v>45748</v>
          </cell>
          <cell r="P125">
            <v>45748</v>
          </cell>
          <cell r="Q125">
            <v>46843</v>
          </cell>
          <cell r="R125">
            <v>45839</v>
          </cell>
        </row>
        <row r="126">
          <cell r="C126" t="str">
            <v>B22</v>
          </cell>
          <cell r="D126">
            <v>0.5</v>
          </cell>
          <cell r="E126">
            <v>60</v>
          </cell>
          <cell r="F126">
            <v>60</v>
          </cell>
          <cell r="G126">
            <v>3600</v>
          </cell>
          <cell r="H126">
            <v>600</v>
          </cell>
          <cell r="I126" t="str">
            <v>陈杰</v>
          </cell>
          <cell r="J126" t="str">
            <v>新签</v>
          </cell>
          <cell r="M126" t="str">
            <v>1B20/21/22</v>
          </cell>
          <cell r="N126" t="str">
            <v>女装</v>
          </cell>
          <cell r="O126">
            <v>45748</v>
          </cell>
          <cell r="P126">
            <v>45748</v>
          </cell>
          <cell r="Q126">
            <v>46843</v>
          </cell>
          <cell r="R126">
            <v>45839</v>
          </cell>
        </row>
        <row r="127">
          <cell r="C127" t="str">
            <v>B23</v>
          </cell>
          <cell r="D127">
            <v>0.5</v>
          </cell>
          <cell r="E127">
            <v>60</v>
          </cell>
          <cell r="F127">
            <v>65</v>
          </cell>
          <cell r="G127">
            <v>3900</v>
          </cell>
          <cell r="H127">
            <v>600</v>
          </cell>
          <cell r="I127" t="str">
            <v>黄玲洁</v>
          </cell>
          <cell r="J127" t="str">
            <v>新签</v>
          </cell>
          <cell r="L127" t="str">
            <v>25.6.8已收押10800,9.15-10.14租3千管600</v>
          </cell>
          <cell r="M127" t="str">
            <v>1B23</v>
          </cell>
          <cell r="N127" t="str">
            <v>女装</v>
          </cell>
          <cell r="O127">
            <v>45816</v>
          </cell>
          <cell r="P127">
            <v>45823</v>
          </cell>
          <cell r="Q127">
            <v>46918</v>
          </cell>
          <cell r="R127">
            <v>45915</v>
          </cell>
        </row>
        <row r="128">
          <cell r="C128" t="str">
            <v>C101</v>
          </cell>
          <cell r="D128">
            <v>0.5</v>
          </cell>
          <cell r="E128">
            <v>290</v>
          </cell>
          <cell r="F128">
            <v>50</v>
          </cell>
          <cell r="G128">
            <v>14500</v>
          </cell>
          <cell r="H128">
            <v>2900</v>
          </cell>
          <cell r="I128" t="str">
            <v>黄童转</v>
          </cell>
          <cell r="K128" t="str">
            <v>合同已给</v>
          </cell>
          <cell r="L128" t="str">
            <v>25.10.1已收押43500,26.10.15租14500管2900</v>
          </cell>
          <cell r="M128" t="str">
            <v>C101</v>
          </cell>
          <cell r="N128" t="str">
            <v>童装</v>
          </cell>
          <cell r="O128">
            <v>45931</v>
          </cell>
          <cell r="P128">
            <v>45945</v>
          </cell>
          <cell r="Q128">
            <v>47040</v>
          </cell>
          <cell r="R128">
            <v>46310</v>
          </cell>
        </row>
        <row r="129">
          <cell r="C129" t="str">
            <v>C102</v>
          </cell>
          <cell r="D129">
            <v>0.5</v>
          </cell>
          <cell r="E129">
            <v>258</v>
          </cell>
          <cell r="F129">
            <v>50</v>
          </cell>
          <cell r="G129">
            <v>12900</v>
          </cell>
          <cell r="H129">
            <v>2580</v>
          </cell>
          <cell r="I129" t="str">
            <v>柯拿云</v>
          </cell>
          <cell r="K129" t="str">
            <v>合同已给</v>
          </cell>
          <cell r="M129" t="str">
            <v>C102</v>
          </cell>
          <cell r="N129" t="str">
            <v>童装</v>
          </cell>
          <cell r="O129">
            <v>45848</v>
          </cell>
          <cell r="P129">
            <v>45870</v>
          </cell>
          <cell r="Q129">
            <v>46965</v>
          </cell>
          <cell r="R129">
            <v>46235</v>
          </cell>
        </row>
        <row r="130">
          <cell r="C130" t="str">
            <v>C103/103A</v>
          </cell>
          <cell r="D130">
            <v>0.5</v>
          </cell>
          <cell r="E130">
            <v>549</v>
          </cell>
          <cell r="F130">
            <v>50</v>
          </cell>
          <cell r="G130">
            <v>27450</v>
          </cell>
          <cell r="H130">
            <v>5490</v>
          </cell>
          <cell r="I130" t="str">
            <v>吴容标</v>
          </cell>
          <cell r="K130" t="str">
            <v>合同已给</v>
          </cell>
          <cell r="M130" t="str">
            <v>C103/103A</v>
          </cell>
          <cell r="N130" t="str">
            <v>童装</v>
          </cell>
          <cell r="O130">
            <v>45848</v>
          </cell>
          <cell r="P130">
            <v>45870</v>
          </cell>
          <cell r="Q130">
            <v>46965</v>
          </cell>
          <cell r="R130">
            <v>46235</v>
          </cell>
        </row>
        <row r="131">
          <cell r="C131" t="str">
            <v>C105</v>
          </cell>
          <cell r="D131">
            <v>0.5</v>
          </cell>
          <cell r="E131">
            <v>272</v>
          </cell>
          <cell r="F131">
            <v>50</v>
          </cell>
          <cell r="G131">
            <v>13600</v>
          </cell>
          <cell r="H131">
            <v>2720</v>
          </cell>
          <cell r="I131" t="str">
            <v>陈红霞</v>
          </cell>
          <cell r="L131" t="str">
            <v>26.1.20已收押40800,8月首月租13600管2720</v>
          </cell>
          <cell r="M131" t="str">
            <v>C105</v>
          </cell>
          <cell r="N131" t="str">
            <v>童装</v>
          </cell>
          <cell r="O131">
            <v>46221</v>
          </cell>
          <cell r="P131">
            <v>45870</v>
          </cell>
          <cell r="Q131">
            <v>46965</v>
          </cell>
          <cell r="R131">
            <v>46235</v>
          </cell>
        </row>
        <row r="132">
          <cell r="C132" t="str">
            <v>C106</v>
          </cell>
          <cell r="D132">
            <v>0.5</v>
          </cell>
          <cell r="E132">
            <v>272</v>
          </cell>
          <cell r="F132">
            <v>50</v>
          </cell>
          <cell r="G132">
            <v>13600</v>
          </cell>
          <cell r="H132">
            <v>2720</v>
          </cell>
          <cell r="I132" t="str">
            <v>高丽婷</v>
          </cell>
          <cell r="K132" t="str">
            <v>合同已给</v>
          </cell>
          <cell r="M132" t="str">
            <v>C106</v>
          </cell>
          <cell r="N132" t="str">
            <v>童装</v>
          </cell>
          <cell r="O132">
            <v>45849</v>
          </cell>
          <cell r="P132">
            <v>45870</v>
          </cell>
          <cell r="Q132">
            <v>46965</v>
          </cell>
          <cell r="R132">
            <v>46235</v>
          </cell>
        </row>
        <row r="133">
          <cell r="C133" t="str">
            <v>C107</v>
          </cell>
          <cell r="D133">
            <v>0.5</v>
          </cell>
          <cell r="E133">
            <v>272</v>
          </cell>
          <cell r="F133">
            <v>50</v>
          </cell>
          <cell r="G133">
            <v>13600</v>
          </cell>
          <cell r="H133">
            <v>2720</v>
          </cell>
          <cell r="I133" t="str">
            <v>汤建华</v>
          </cell>
          <cell r="K133" t="str">
            <v>未交齐</v>
          </cell>
          <cell r="M133" t="str">
            <v>C107</v>
          </cell>
          <cell r="N133" t="str">
            <v>童装</v>
          </cell>
          <cell r="O133">
            <v>45858</v>
          </cell>
          <cell r="P133">
            <v>45870</v>
          </cell>
          <cell r="Q133">
            <v>46965</v>
          </cell>
          <cell r="R133">
            <v>46235</v>
          </cell>
        </row>
        <row r="134">
          <cell r="C134" t="str">
            <v>C108</v>
          </cell>
          <cell r="D134">
            <v>0.5</v>
          </cell>
          <cell r="E134">
            <v>285</v>
          </cell>
          <cell r="F134">
            <v>50</v>
          </cell>
          <cell r="G134">
            <v>14250</v>
          </cell>
          <cell r="H134">
            <v>2850</v>
          </cell>
          <cell r="I134" t="str">
            <v>陈丽贤</v>
          </cell>
          <cell r="K134" t="str">
            <v>合同已给</v>
          </cell>
          <cell r="M134" t="str">
            <v>C108</v>
          </cell>
          <cell r="N134" t="str">
            <v>童装</v>
          </cell>
          <cell r="O134">
            <v>45861</v>
          </cell>
          <cell r="P134">
            <v>45870</v>
          </cell>
          <cell r="Q134">
            <v>46965</v>
          </cell>
          <cell r="R134">
            <v>46235</v>
          </cell>
        </row>
        <row r="135">
          <cell r="C135" t="str">
            <v>C109</v>
          </cell>
          <cell r="D135">
            <v>0.5</v>
          </cell>
          <cell r="E135">
            <v>272</v>
          </cell>
          <cell r="F135">
            <v>50</v>
          </cell>
          <cell r="G135">
            <v>13600</v>
          </cell>
          <cell r="H135">
            <v>2720</v>
          </cell>
          <cell r="I135" t="str">
            <v>邓志杰</v>
          </cell>
          <cell r="K135" t="str">
            <v>合同已给</v>
          </cell>
          <cell r="M135" t="str">
            <v>C109</v>
          </cell>
          <cell r="N135" t="str">
            <v>童装</v>
          </cell>
          <cell r="O135">
            <v>45848</v>
          </cell>
          <cell r="P135">
            <v>45870</v>
          </cell>
          <cell r="Q135">
            <v>46965</v>
          </cell>
          <cell r="R135">
            <v>46235</v>
          </cell>
        </row>
        <row r="136">
          <cell r="C136" t="str">
            <v>C110</v>
          </cell>
          <cell r="D136">
            <v>0.5</v>
          </cell>
          <cell r="E136">
            <v>272</v>
          </cell>
          <cell r="F136">
            <v>50</v>
          </cell>
          <cell r="G136">
            <v>13600</v>
          </cell>
          <cell r="H136">
            <v>2720</v>
          </cell>
          <cell r="I136" t="str">
            <v>唐晶</v>
          </cell>
          <cell r="K136" t="str">
            <v>未交齐</v>
          </cell>
          <cell r="M136" t="str">
            <v>C110</v>
          </cell>
          <cell r="N136" t="str">
            <v>童装</v>
          </cell>
          <cell r="O136">
            <v>45890</v>
          </cell>
          <cell r="P136">
            <v>45901</v>
          </cell>
          <cell r="Q136">
            <v>46996</v>
          </cell>
          <cell r="R136">
            <v>46266</v>
          </cell>
        </row>
        <row r="137">
          <cell r="C137" t="str">
            <v>C111</v>
          </cell>
          <cell r="D137">
            <v>0.5</v>
          </cell>
          <cell r="E137">
            <v>373</v>
          </cell>
          <cell r="F137">
            <v>50</v>
          </cell>
          <cell r="G137">
            <v>18650</v>
          </cell>
          <cell r="H137">
            <v>3730</v>
          </cell>
          <cell r="I137" t="str">
            <v>刘紫霞</v>
          </cell>
          <cell r="K137" t="str">
            <v>未交齐</v>
          </cell>
          <cell r="L137" t="str">
            <v>25.10.4交定金59330</v>
          </cell>
          <cell r="M137" t="str">
            <v>C111</v>
          </cell>
          <cell r="N137" t="str">
            <v>童装</v>
          </cell>
          <cell r="O137">
            <v>45935</v>
          </cell>
          <cell r="P137">
            <v>45931</v>
          </cell>
          <cell r="Q137">
            <v>47026</v>
          </cell>
          <cell r="R137">
            <v>46296</v>
          </cell>
        </row>
        <row r="138">
          <cell r="C138" t="str">
            <v>C201</v>
          </cell>
          <cell r="D138">
            <v>0.5</v>
          </cell>
          <cell r="E138">
            <v>174</v>
          </cell>
          <cell r="F138">
            <v>20</v>
          </cell>
          <cell r="G138">
            <v>3480</v>
          </cell>
          <cell r="H138">
            <v>870</v>
          </cell>
          <cell r="I138" t="str">
            <v>付嘉诚</v>
          </cell>
          <cell r="K138" t="str">
            <v>未交齐</v>
          </cell>
          <cell r="M138" t="str">
            <v>C201</v>
          </cell>
          <cell r="N138" t="str">
            <v>仓储</v>
          </cell>
          <cell r="O138">
            <v>45962</v>
          </cell>
          <cell r="P138">
            <v>45962</v>
          </cell>
          <cell r="Q138">
            <v>47057</v>
          </cell>
          <cell r="R138">
            <v>46023</v>
          </cell>
        </row>
        <row r="139">
          <cell r="C139" t="str">
            <v>C202</v>
          </cell>
          <cell r="D139">
            <v>0.5</v>
          </cell>
          <cell r="E139">
            <v>112</v>
          </cell>
          <cell r="F139">
            <v>20</v>
          </cell>
          <cell r="G139">
            <v>2240</v>
          </cell>
          <cell r="H139">
            <v>560</v>
          </cell>
          <cell r="I139" t="str">
            <v>唐晶</v>
          </cell>
          <cell r="K139" t="str">
            <v>未交齐，签补充协议</v>
          </cell>
          <cell r="M139" t="str">
            <v>C202</v>
          </cell>
          <cell r="N139" t="str">
            <v>仓储</v>
          </cell>
          <cell r="O139">
            <v>45962</v>
          </cell>
          <cell r="P139">
            <v>45962</v>
          </cell>
          <cell r="Q139">
            <v>47057</v>
          </cell>
          <cell r="R139">
            <v>46023</v>
          </cell>
        </row>
        <row r="140">
          <cell r="C140" t="str">
            <v>C203</v>
          </cell>
          <cell r="D140">
            <v>0.5</v>
          </cell>
          <cell r="E140">
            <v>113</v>
          </cell>
          <cell r="F140">
            <v>20</v>
          </cell>
          <cell r="G140">
            <v>2260</v>
          </cell>
          <cell r="H140">
            <v>565</v>
          </cell>
          <cell r="I140" t="str">
            <v>邓志杰</v>
          </cell>
          <cell r="L140" t="str">
            <v>25.12.3已收押6780,1月首月租2260管565</v>
          </cell>
          <cell r="M140" t="str">
            <v>C203</v>
          </cell>
          <cell r="N140" t="str">
            <v>仓储</v>
          </cell>
          <cell r="O140">
            <v>45994</v>
          </cell>
          <cell r="P140">
            <v>45962</v>
          </cell>
          <cell r="Q140">
            <v>47057</v>
          </cell>
          <cell r="R140">
            <v>46023</v>
          </cell>
        </row>
        <row r="141">
          <cell r="C141" t="str">
            <v>C203A</v>
          </cell>
          <cell r="D141">
            <v>0.5</v>
          </cell>
          <cell r="E141">
            <v>119</v>
          </cell>
          <cell r="F141">
            <v>20</v>
          </cell>
          <cell r="G141">
            <v>2380</v>
          </cell>
          <cell r="H141">
            <v>595</v>
          </cell>
          <cell r="I141" t="str">
            <v>陈丽贤</v>
          </cell>
          <cell r="L141" t="str">
            <v>25.11.19已收押7140,1月租金2380管595</v>
          </cell>
          <cell r="M141" t="str">
            <v>C203A</v>
          </cell>
          <cell r="N141" t="str">
            <v>仓储</v>
          </cell>
          <cell r="O141">
            <v>45962</v>
          </cell>
          <cell r="P141">
            <v>45962</v>
          </cell>
          <cell r="Q141">
            <v>47057</v>
          </cell>
          <cell r="R141">
            <v>46023</v>
          </cell>
        </row>
        <row r="142">
          <cell r="C142" t="str">
            <v>C205/206</v>
          </cell>
          <cell r="D142">
            <v>0.5</v>
          </cell>
          <cell r="E142">
            <v>227</v>
          </cell>
          <cell r="F142">
            <v>20</v>
          </cell>
          <cell r="G142">
            <v>4540</v>
          </cell>
          <cell r="H142">
            <v>1135</v>
          </cell>
          <cell r="I142" t="str">
            <v>刘楚旋</v>
          </cell>
          <cell r="L142" t="str">
            <v>25.1.20已收押13620,首月租表收</v>
          </cell>
          <cell r="M142" t="str">
            <v>C205/206</v>
          </cell>
          <cell r="N142" t="str">
            <v>仓储</v>
          </cell>
          <cell r="O142">
            <v>45962</v>
          </cell>
          <cell r="P142">
            <v>45962</v>
          </cell>
          <cell r="Q142">
            <v>47057</v>
          </cell>
          <cell r="R142">
            <v>46023</v>
          </cell>
        </row>
        <row r="143">
          <cell r="C143" t="str">
            <v>C207</v>
          </cell>
          <cell r="D143">
            <v>0.5</v>
          </cell>
          <cell r="E143">
            <v>107</v>
          </cell>
          <cell r="F143">
            <v>20</v>
          </cell>
          <cell r="G143">
            <v>2140</v>
          </cell>
          <cell r="H143">
            <v>535</v>
          </cell>
          <cell r="J143" t="str">
            <v>空档</v>
          </cell>
          <cell r="N143" t="str">
            <v>仓储</v>
          </cell>
        </row>
        <row r="144">
          <cell r="C144" t="str">
            <v>C208</v>
          </cell>
          <cell r="D144">
            <v>0.5</v>
          </cell>
          <cell r="E144">
            <v>107</v>
          </cell>
          <cell r="F144">
            <v>20</v>
          </cell>
          <cell r="G144">
            <v>2140</v>
          </cell>
          <cell r="H144">
            <v>535</v>
          </cell>
          <cell r="J144" t="str">
            <v>空档</v>
          </cell>
          <cell r="N144" t="str">
            <v>仓储</v>
          </cell>
        </row>
        <row r="145">
          <cell r="C145" t="str">
            <v>C209</v>
          </cell>
          <cell r="D145">
            <v>0.5</v>
          </cell>
          <cell r="E145">
            <v>107</v>
          </cell>
          <cell r="F145">
            <v>20</v>
          </cell>
          <cell r="G145">
            <v>2140</v>
          </cell>
          <cell r="H145">
            <v>535</v>
          </cell>
          <cell r="J145" t="str">
            <v>空档</v>
          </cell>
          <cell r="K145" t="str">
            <v>25.10.19交定金15600</v>
          </cell>
          <cell r="N145" t="str">
            <v>仓储</v>
          </cell>
        </row>
        <row r="146">
          <cell r="C146" t="str">
            <v>C210</v>
          </cell>
          <cell r="D146">
            <v>0.5</v>
          </cell>
          <cell r="E146">
            <v>137</v>
          </cell>
          <cell r="F146">
            <v>20</v>
          </cell>
          <cell r="G146">
            <v>2740</v>
          </cell>
          <cell r="H146">
            <v>685</v>
          </cell>
          <cell r="J146" t="str">
            <v>空档</v>
          </cell>
          <cell r="N146" t="str">
            <v>仓储</v>
          </cell>
        </row>
        <row r="147">
          <cell r="C147" t="str">
            <v>C211</v>
          </cell>
          <cell r="D147">
            <v>0.5</v>
          </cell>
          <cell r="E147">
            <v>137</v>
          </cell>
          <cell r="F147">
            <v>20</v>
          </cell>
          <cell r="G147">
            <v>2740</v>
          </cell>
          <cell r="H147">
            <v>685</v>
          </cell>
          <cell r="J147" t="str">
            <v>空档</v>
          </cell>
        </row>
        <row r="148">
          <cell r="C148" t="str">
            <v>C212</v>
          </cell>
          <cell r="D148">
            <v>0.5</v>
          </cell>
          <cell r="E148">
            <v>71</v>
          </cell>
          <cell r="F148">
            <v>20</v>
          </cell>
          <cell r="G148">
            <v>1420</v>
          </cell>
          <cell r="H148">
            <v>355</v>
          </cell>
          <cell r="I148" t="str">
            <v>蔡吉林</v>
          </cell>
          <cell r="L148" t="str">
            <v>25.11.12已收押4260,12.16-1.15租1420管355</v>
          </cell>
          <cell r="M148" t="str">
            <v>C212</v>
          </cell>
          <cell r="N148" t="str">
            <v>仓储</v>
          </cell>
          <cell r="O148">
            <v>45973</v>
          </cell>
          <cell r="P148">
            <v>45977</v>
          </cell>
          <cell r="Q148">
            <v>47072</v>
          </cell>
          <cell r="R148">
            <v>46007</v>
          </cell>
        </row>
        <row r="149">
          <cell r="C149" t="str">
            <v>C213/213A/215/216</v>
          </cell>
          <cell r="D149">
            <v>0.5</v>
          </cell>
          <cell r="E149">
            <v>270</v>
          </cell>
          <cell r="F149">
            <v>20</v>
          </cell>
          <cell r="G149">
            <v>5400</v>
          </cell>
          <cell r="H149">
            <v>1350</v>
          </cell>
          <cell r="I149" t="str">
            <v>林心如</v>
          </cell>
          <cell r="K149" t="str">
            <v>欠报告免租2个月</v>
          </cell>
          <cell r="L149" t="str">
            <v>25.10.17已收押20250，12.20-1.19租5400管1350</v>
          </cell>
          <cell r="M149" t="str">
            <v>C213/213A/215/216</v>
          </cell>
          <cell r="N149" t="str">
            <v>仓储</v>
          </cell>
          <cell r="O149">
            <v>45947</v>
          </cell>
          <cell r="P149">
            <v>45950</v>
          </cell>
          <cell r="Q149">
            <v>47045</v>
          </cell>
          <cell r="R149">
            <v>46011</v>
          </cell>
        </row>
        <row r="150">
          <cell r="C150" t="str">
            <v>C217</v>
          </cell>
          <cell r="D150">
            <v>0.5</v>
          </cell>
          <cell r="E150">
            <v>71</v>
          </cell>
          <cell r="F150">
            <v>20</v>
          </cell>
          <cell r="G150">
            <v>1420</v>
          </cell>
          <cell r="H150">
            <v>355</v>
          </cell>
          <cell r="J150" t="str">
            <v>空档</v>
          </cell>
        </row>
        <row r="151">
          <cell r="C151" t="str">
            <v>C218</v>
          </cell>
          <cell r="D151">
            <v>0.5</v>
          </cell>
          <cell r="E151">
            <v>71</v>
          </cell>
          <cell r="F151">
            <v>20</v>
          </cell>
          <cell r="G151">
            <v>1420</v>
          </cell>
          <cell r="H151">
            <v>355</v>
          </cell>
          <cell r="J151" t="str">
            <v>空档</v>
          </cell>
        </row>
        <row r="152">
          <cell r="C152" t="str">
            <v>C219</v>
          </cell>
          <cell r="D152">
            <v>0.5</v>
          </cell>
          <cell r="E152">
            <v>71</v>
          </cell>
          <cell r="F152">
            <v>20</v>
          </cell>
          <cell r="G152">
            <v>1420</v>
          </cell>
          <cell r="H152">
            <v>355</v>
          </cell>
          <cell r="J152" t="str">
            <v>空档</v>
          </cell>
        </row>
        <row r="153">
          <cell r="C153" t="str">
            <v>C220</v>
          </cell>
          <cell r="D153">
            <v>0.5</v>
          </cell>
          <cell r="E153">
            <v>71</v>
          </cell>
          <cell r="F153">
            <v>20</v>
          </cell>
          <cell r="G153">
            <v>1420</v>
          </cell>
          <cell r="H153">
            <v>355</v>
          </cell>
          <cell r="J153" t="str">
            <v>空档</v>
          </cell>
        </row>
        <row r="154">
          <cell r="C154" t="str">
            <v>C221</v>
          </cell>
          <cell r="D154">
            <v>0.5</v>
          </cell>
          <cell r="E154">
            <v>105</v>
          </cell>
          <cell r="F154">
            <v>20</v>
          </cell>
          <cell r="G154">
            <v>2100</v>
          </cell>
          <cell r="H154">
            <v>525</v>
          </cell>
          <cell r="J154" t="str">
            <v>空档</v>
          </cell>
        </row>
        <row r="155">
          <cell r="C155" t="str">
            <v>C222</v>
          </cell>
          <cell r="D155">
            <v>0.5</v>
          </cell>
          <cell r="E155">
            <v>166</v>
          </cell>
          <cell r="F155">
            <v>20</v>
          </cell>
          <cell r="G155">
            <v>3320</v>
          </cell>
          <cell r="H155">
            <v>830</v>
          </cell>
          <cell r="J155" t="str">
            <v>空档</v>
          </cell>
        </row>
        <row r="156">
          <cell r="C156" t="str">
            <v>C301</v>
          </cell>
          <cell r="D156">
            <v>0.7</v>
          </cell>
          <cell r="E156">
            <v>205</v>
          </cell>
          <cell r="F156">
            <v>25</v>
          </cell>
          <cell r="G156">
            <v>5125</v>
          </cell>
          <cell r="H156">
            <v>1025</v>
          </cell>
          <cell r="I156" t="str">
            <v>唐晶</v>
          </cell>
          <cell r="K156" t="str">
            <v>未交齐，签补充协议</v>
          </cell>
          <cell r="M156" t="str">
            <v>C301</v>
          </cell>
          <cell r="O156">
            <v>45962</v>
          </cell>
          <cell r="P156">
            <v>45962</v>
          </cell>
          <cell r="Q156">
            <v>47057</v>
          </cell>
          <cell r="R156">
            <v>46023</v>
          </cell>
        </row>
        <row r="157">
          <cell r="C157" t="str">
            <v>C302</v>
          </cell>
          <cell r="D157">
            <v>0.7</v>
          </cell>
          <cell r="E157">
            <v>134</v>
          </cell>
          <cell r="F157">
            <v>25</v>
          </cell>
          <cell r="G157">
            <v>3350</v>
          </cell>
          <cell r="H157">
            <v>670</v>
          </cell>
          <cell r="I157" t="str">
            <v>李铭成</v>
          </cell>
          <cell r="L157" t="str">
            <v>25.11.17已收押12060，1月租3350管670</v>
          </cell>
          <cell r="M157" t="str">
            <v>C302</v>
          </cell>
          <cell r="N157" t="str">
            <v>仓储直播</v>
          </cell>
          <cell r="O157">
            <v>45958</v>
          </cell>
          <cell r="P157">
            <v>45962</v>
          </cell>
          <cell r="Q157">
            <v>47057</v>
          </cell>
          <cell r="R157">
            <v>46023</v>
          </cell>
        </row>
        <row r="158">
          <cell r="C158" t="str">
            <v>C303</v>
          </cell>
          <cell r="D158">
            <v>0.7</v>
          </cell>
          <cell r="E158">
            <v>274</v>
          </cell>
          <cell r="F158">
            <v>25</v>
          </cell>
          <cell r="G158">
            <v>6850</v>
          </cell>
          <cell r="H158">
            <v>1370</v>
          </cell>
          <cell r="I158" t="str">
            <v>李铭成</v>
          </cell>
          <cell r="L158" t="str">
            <v>25.11.17已收押24660，1月租6850管1370</v>
          </cell>
          <cell r="M158" t="str">
            <v>C303</v>
          </cell>
          <cell r="N158" t="str">
            <v>仓储直播</v>
          </cell>
          <cell r="O158">
            <v>45958</v>
          </cell>
          <cell r="P158">
            <v>45962</v>
          </cell>
          <cell r="Q158">
            <v>47057</v>
          </cell>
          <cell r="R158">
            <v>46023</v>
          </cell>
        </row>
        <row r="159">
          <cell r="C159" t="str">
            <v>C303A</v>
          </cell>
          <cell r="D159">
            <v>0.7</v>
          </cell>
          <cell r="E159">
            <v>136</v>
          </cell>
          <cell r="F159">
            <v>25</v>
          </cell>
          <cell r="G159">
            <v>3400</v>
          </cell>
          <cell r="H159">
            <v>680</v>
          </cell>
          <cell r="I159" t="str">
            <v>招国利</v>
          </cell>
          <cell r="K159" t="str">
            <v>未交齐</v>
          </cell>
          <cell r="M159" t="str">
            <v>C303A</v>
          </cell>
          <cell r="P159">
            <v>45962</v>
          </cell>
          <cell r="Q159">
            <v>46326</v>
          </cell>
          <cell r="R159">
            <v>46023</v>
          </cell>
        </row>
        <row r="160">
          <cell r="C160" t="str">
            <v>C305-1</v>
          </cell>
          <cell r="D160">
            <v>0.7</v>
          </cell>
          <cell r="E160">
            <v>134</v>
          </cell>
          <cell r="F160">
            <v>25</v>
          </cell>
          <cell r="G160">
            <v>3350</v>
          </cell>
          <cell r="H160">
            <v>670</v>
          </cell>
          <cell r="J160" t="str">
            <v>空档</v>
          </cell>
        </row>
        <row r="161">
          <cell r="C161" t="str">
            <v>C305</v>
          </cell>
          <cell r="D161">
            <v>0.7</v>
          </cell>
          <cell r="E161">
            <v>134</v>
          </cell>
          <cell r="F161">
            <v>25</v>
          </cell>
          <cell r="G161">
            <v>3350</v>
          </cell>
          <cell r="H161">
            <v>670</v>
          </cell>
          <cell r="I161" t="str">
            <v>欧玉莲</v>
          </cell>
          <cell r="L161" t="str">
            <v>25.12.11已收押8844，首月1月租2948管670</v>
          </cell>
          <cell r="M161" t="str">
            <v>C305</v>
          </cell>
          <cell r="N161" t="str">
            <v>仓储</v>
          </cell>
          <cell r="O161">
            <v>45962</v>
          </cell>
          <cell r="P161">
            <v>45962</v>
          </cell>
          <cell r="Q161">
            <v>46326</v>
          </cell>
          <cell r="R161">
            <v>46023</v>
          </cell>
        </row>
        <row r="162">
          <cell r="C162" t="str">
            <v>C306</v>
          </cell>
          <cell r="D162">
            <v>0.7</v>
          </cell>
          <cell r="E162">
            <v>265</v>
          </cell>
          <cell r="F162">
            <v>25</v>
          </cell>
          <cell r="G162">
            <v>6625</v>
          </cell>
          <cell r="H162">
            <v>1325</v>
          </cell>
          <cell r="J162" t="str">
            <v>空档</v>
          </cell>
        </row>
        <row r="163">
          <cell r="C163" t="str">
            <v>D101</v>
          </cell>
          <cell r="D163">
            <v>0.5</v>
          </cell>
          <cell r="E163">
            <v>203</v>
          </cell>
          <cell r="F163">
            <v>50</v>
          </cell>
          <cell r="G163">
            <v>10150</v>
          </cell>
          <cell r="H163">
            <v>2030</v>
          </cell>
          <cell r="I163" t="str">
            <v>王克锟</v>
          </cell>
          <cell r="M163" t="str">
            <v>D101</v>
          </cell>
          <cell r="N163" t="str">
            <v>女装</v>
          </cell>
          <cell r="O163">
            <v>45813</v>
          </cell>
          <cell r="P163">
            <v>45839</v>
          </cell>
          <cell r="Q163">
            <v>46934</v>
          </cell>
          <cell r="R163">
            <v>45931</v>
          </cell>
        </row>
        <row r="164">
          <cell r="C164" t="str">
            <v>D102</v>
          </cell>
          <cell r="D164">
            <v>0.5</v>
          </cell>
          <cell r="E164">
            <v>304</v>
          </cell>
          <cell r="F164">
            <v>50</v>
          </cell>
          <cell r="G164">
            <v>15200</v>
          </cell>
          <cell r="H164">
            <v>3040</v>
          </cell>
          <cell r="I164" t="str">
            <v>肖科武</v>
          </cell>
          <cell r="K164" t="str">
            <v>免租四个月（2025.6.1至2025.7.31免租金及管理费，需交公共能源费及自用水电费，2025.8.1至2025.9.30免收租金，其他按正常收取。签补充协议：每年5.15前交齐下一年租金8折优惠，不再享受市场任何优惠折扣</v>
          </cell>
          <cell r="L164" t="str">
            <v>25.5.26已收押4万，2025.10-2026.5租97280</v>
          </cell>
          <cell r="M164" t="str">
            <v>D102</v>
          </cell>
          <cell r="N164" t="str">
            <v>女装</v>
          </cell>
          <cell r="O164">
            <v>45803</v>
          </cell>
          <cell r="P164">
            <v>45809</v>
          </cell>
          <cell r="Q164">
            <v>47999</v>
          </cell>
          <cell r="R164">
            <v>45931</v>
          </cell>
        </row>
        <row r="165">
          <cell r="C165" t="str">
            <v>D103/D103A</v>
          </cell>
          <cell r="D165">
            <v>0.5</v>
          </cell>
          <cell r="E165">
            <v>203</v>
          </cell>
          <cell r="F165">
            <v>50</v>
          </cell>
          <cell r="G165">
            <v>10150</v>
          </cell>
          <cell r="H165">
            <v>2030</v>
          </cell>
          <cell r="I165" t="str">
            <v>张静</v>
          </cell>
          <cell r="K165" t="str">
            <v>免租四个月（2025.6.1至2025.7.31免租金及管理费，需交公共能源费及自用水电费，2025.8.1至2025.9.30免收租金，其他按正常收取。签补充协议：每年5.15前交齐下一年租金8折优惠，不再享受市场任何优惠折扣</v>
          </cell>
          <cell r="L165" t="str">
            <v>25.5.26已收押4万，2025.10-2026.5租114240</v>
          </cell>
          <cell r="M165" t="str">
            <v>D103/103A</v>
          </cell>
          <cell r="N165" t="str">
            <v>女装</v>
          </cell>
          <cell r="O165">
            <v>45803</v>
          </cell>
          <cell r="P165">
            <v>45809</v>
          </cell>
          <cell r="Q165">
            <v>47999</v>
          </cell>
          <cell r="R165">
            <v>45931</v>
          </cell>
        </row>
        <row r="166">
          <cell r="C166" t="str">
            <v>D103A</v>
          </cell>
          <cell r="D166">
            <v>0.5</v>
          </cell>
          <cell r="E166">
            <v>154</v>
          </cell>
          <cell r="F166">
            <v>50</v>
          </cell>
          <cell r="G166">
            <v>7700</v>
          </cell>
          <cell r="H166">
            <v>1540</v>
          </cell>
          <cell r="I166" t="str">
            <v>张静</v>
          </cell>
          <cell r="M166" t="str">
            <v>D103/103A</v>
          </cell>
          <cell r="N166" t="str">
            <v>女装</v>
          </cell>
          <cell r="O166">
            <v>45803</v>
          </cell>
          <cell r="P166">
            <v>45809</v>
          </cell>
          <cell r="Q166">
            <v>47999</v>
          </cell>
          <cell r="R166">
            <v>45931</v>
          </cell>
        </row>
        <row r="167">
          <cell r="C167" t="str">
            <v>D105</v>
          </cell>
          <cell r="D167">
            <v>0.5</v>
          </cell>
          <cell r="E167">
            <v>133</v>
          </cell>
          <cell r="F167">
            <v>50</v>
          </cell>
          <cell r="G167">
            <v>6650</v>
          </cell>
          <cell r="H167">
            <v>1330</v>
          </cell>
          <cell r="I167" t="str">
            <v>黄珏琼</v>
          </cell>
          <cell r="K167" t="str">
            <v>到期日错</v>
          </cell>
          <cell r="L167" t="str">
            <v>26.2.3已收押36180，首月6月租10050管2010</v>
          </cell>
          <cell r="M167" t="str">
            <v>D105/E105</v>
          </cell>
          <cell r="N167" t="str">
            <v>女装</v>
          </cell>
          <cell r="O167">
            <v>46058</v>
          </cell>
          <cell r="P167">
            <v>46082</v>
          </cell>
          <cell r="Q167">
            <v>47177</v>
          </cell>
          <cell r="R167">
            <v>46174</v>
          </cell>
        </row>
        <row r="168">
          <cell r="C168" t="str">
            <v>D106</v>
          </cell>
          <cell r="D168">
            <v>0.5</v>
          </cell>
          <cell r="E168">
            <v>93</v>
          </cell>
          <cell r="F168">
            <v>50</v>
          </cell>
          <cell r="G168">
            <v>4650</v>
          </cell>
          <cell r="H168">
            <v>930</v>
          </cell>
          <cell r="I168" t="str">
            <v>黄凤</v>
          </cell>
          <cell r="J168" t="str">
            <v>空档</v>
          </cell>
          <cell r="K168" t="str">
            <v>未交付未出单收费</v>
          </cell>
          <cell r="L168" t="str">
            <v>25.11.21已收押13950,10月首月租4650管930</v>
          </cell>
          <cell r="M168" t="str">
            <v>D106</v>
          </cell>
          <cell r="N168" t="str">
            <v>童装</v>
          </cell>
          <cell r="O168">
            <v>45983</v>
          </cell>
          <cell r="P168">
            <v>45992</v>
          </cell>
          <cell r="Q168">
            <v>47087</v>
          </cell>
          <cell r="R168">
            <v>46296</v>
          </cell>
        </row>
        <row r="169">
          <cell r="C169" t="str">
            <v>D201</v>
          </cell>
          <cell r="D169">
            <v>1</v>
          </cell>
          <cell r="E169">
            <v>117</v>
          </cell>
          <cell r="F169">
            <v>30</v>
          </cell>
          <cell r="G169">
            <v>3510</v>
          </cell>
          <cell r="H169">
            <v>585</v>
          </cell>
          <cell r="I169" t="str">
            <v>广州市富时信林国际商贸有限公司</v>
          </cell>
          <cell r="M169" t="str">
            <v>D201</v>
          </cell>
          <cell r="P169">
            <v>45622</v>
          </cell>
          <cell r="Q169">
            <v>46716</v>
          </cell>
          <cell r="R169">
            <v>45622</v>
          </cell>
        </row>
        <row r="170">
          <cell r="C170" t="str">
            <v>D202</v>
          </cell>
          <cell r="D170">
            <v>0.7</v>
          </cell>
          <cell r="E170">
            <v>213</v>
          </cell>
          <cell r="F170">
            <v>25</v>
          </cell>
          <cell r="G170">
            <v>5325</v>
          </cell>
          <cell r="H170">
            <v>1065</v>
          </cell>
          <cell r="I170" t="str">
            <v>詹志权</v>
          </cell>
          <cell r="L170" t="str">
            <v>25.9.10已收押19170，首月租金管理费6390</v>
          </cell>
          <cell r="M170" t="str">
            <v>D202</v>
          </cell>
          <cell r="N170" t="str">
            <v>仓库</v>
          </cell>
          <cell r="O170">
            <v>45894</v>
          </cell>
          <cell r="P170">
            <v>45908</v>
          </cell>
          <cell r="Q170">
            <v>47003</v>
          </cell>
          <cell r="R170">
            <v>45953</v>
          </cell>
        </row>
        <row r="171">
          <cell r="C171" t="str">
            <v>D301/302</v>
          </cell>
          <cell r="D171">
            <v>0.7</v>
          </cell>
          <cell r="E171">
            <v>406</v>
          </cell>
          <cell r="F171">
            <v>28</v>
          </cell>
          <cell r="G171">
            <v>11368</v>
          </cell>
          <cell r="H171">
            <v>2030</v>
          </cell>
          <cell r="I171" t="str">
            <v>李玉婷</v>
          </cell>
          <cell r="J171" t="str">
            <v>新签</v>
          </cell>
          <cell r="L171" t="str">
            <v>25.3.20已收押40194,5月租11368,4月管2030水50</v>
          </cell>
          <cell r="M171" t="str">
            <v>D301/302</v>
          </cell>
          <cell r="N171" t="str">
            <v>写字楼</v>
          </cell>
          <cell r="O171">
            <v>45736</v>
          </cell>
          <cell r="P171">
            <v>45748</v>
          </cell>
          <cell r="Q171">
            <v>46477</v>
          </cell>
          <cell r="R171">
            <v>45778</v>
          </cell>
        </row>
        <row r="172">
          <cell r="C172" t="str">
            <v>D401/402</v>
          </cell>
          <cell r="D172">
            <v>0.7</v>
          </cell>
          <cell r="E172">
            <v>404</v>
          </cell>
          <cell r="F172">
            <v>28</v>
          </cell>
          <cell r="G172">
            <v>11312</v>
          </cell>
          <cell r="H172">
            <v>2020</v>
          </cell>
          <cell r="I172" t="str">
            <v>杨凯</v>
          </cell>
          <cell r="J172" t="str">
            <v>新签</v>
          </cell>
          <cell r="K172" t="str">
            <v>首月已收公共能源</v>
          </cell>
          <cell r="L172" t="str">
            <v>25.5.14已收押36000，首月租9980管2020</v>
          </cell>
          <cell r="M172" t="str">
            <v>D401/402</v>
          </cell>
          <cell r="N172" t="str">
            <v>写字楼</v>
          </cell>
          <cell r="O172">
            <v>45791</v>
          </cell>
          <cell r="P172">
            <v>45794</v>
          </cell>
          <cell r="Q172">
            <v>46889</v>
          </cell>
          <cell r="R172">
            <v>45809</v>
          </cell>
        </row>
        <row r="173">
          <cell r="C173" t="str">
            <v>H4栋501/502</v>
          </cell>
          <cell r="D173">
            <v>0.7</v>
          </cell>
          <cell r="E173">
            <v>404</v>
          </cell>
          <cell r="F173">
            <v>28</v>
          </cell>
          <cell r="G173">
            <v>11312</v>
          </cell>
          <cell r="H173">
            <v>2020</v>
          </cell>
          <cell r="I173" t="str">
            <v>广州正鑫网络科技有限公司</v>
          </cell>
          <cell r="J173" t="str">
            <v>新签</v>
          </cell>
          <cell r="L173" t="str">
            <v>24.9.14已收首月租11312管2020水100</v>
          </cell>
          <cell r="M173" t="str">
            <v>H4栋501/502</v>
          </cell>
          <cell r="N173" t="str">
            <v>直播</v>
          </cell>
          <cell r="O173">
            <v>45542</v>
          </cell>
          <cell r="P173">
            <v>45566</v>
          </cell>
          <cell r="Q173">
            <v>46660</v>
          </cell>
          <cell r="R173">
            <v>45566</v>
          </cell>
        </row>
        <row r="174">
          <cell r="C174" t="str">
            <v>E101</v>
          </cell>
          <cell r="D174">
            <v>0.5</v>
          </cell>
          <cell r="E174">
            <v>223</v>
          </cell>
          <cell r="F174">
            <v>50</v>
          </cell>
          <cell r="G174">
            <v>11150</v>
          </cell>
          <cell r="H174">
            <v>2230</v>
          </cell>
          <cell r="I174" t="str">
            <v>孙小丽</v>
          </cell>
          <cell r="K174" t="str">
            <v>未交齐</v>
          </cell>
          <cell r="M174" t="str">
            <v>E101</v>
          </cell>
          <cell r="N174" t="str">
            <v>童装</v>
          </cell>
          <cell r="O174">
            <v>45931</v>
          </cell>
          <cell r="P174">
            <v>45870</v>
          </cell>
          <cell r="Q174">
            <v>46965</v>
          </cell>
          <cell r="R174">
            <v>46235</v>
          </cell>
        </row>
        <row r="175">
          <cell r="C175" t="str">
            <v>E102</v>
          </cell>
          <cell r="D175">
            <v>0.5</v>
          </cell>
          <cell r="E175">
            <v>223</v>
          </cell>
          <cell r="F175">
            <v>50</v>
          </cell>
          <cell r="G175">
            <v>11150</v>
          </cell>
          <cell r="H175">
            <v>2230</v>
          </cell>
          <cell r="I175" t="str">
            <v>郁绵泽</v>
          </cell>
          <cell r="K175" t="str">
            <v>Lucy说延期交付免租期顺延</v>
          </cell>
          <cell r="L175" t="str">
            <v>25.10.30已收押33450，首月10月租11150管2230</v>
          </cell>
          <cell r="M175" t="str">
            <v>E102</v>
          </cell>
          <cell r="N175" t="str">
            <v>童装</v>
          </cell>
          <cell r="O175">
            <v>46016</v>
          </cell>
          <cell r="P175">
            <v>45962</v>
          </cell>
          <cell r="Q175">
            <v>47057</v>
          </cell>
          <cell r="R175">
            <v>46296</v>
          </cell>
        </row>
        <row r="176">
          <cell r="C176" t="str">
            <v>E102A</v>
          </cell>
          <cell r="D176">
            <v>0.5</v>
          </cell>
          <cell r="E176">
            <v>111</v>
          </cell>
          <cell r="F176">
            <v>50</v>
          </cell>
          <cell r="G176">
            <v>5550</v>
          </cell>
          <cell r="H176">
            <v>1110</v>
          </cell>
          <cell r="I176" t="str">
            <v>高玳宣</v>
          </cell>
          <cell r="L176" t="str">
            <v>25.12.6已收押16650,10月首月租5550管1110</v>
          </cell>
          <cell r="M176" t="str">
            <v>E102A</v>
          </cell>
          <cell r="N176" t="str">
            <v>童装</v>
          </cell>
          <cell r="O176">
            <v>45997</v>
          </cell>
          <cell r="P176">
            <v>46007</v>
          </cell>
          <cell r="Q176">
            <v>47102</v>
          </cell>
          <cell r="R176">
            <v>46296</v>
          </cell>
        </row>
        <row r="177">
          <cell r="C177" t="str">
            <v>E103</v>
          </cell>
          <cell r="D177">
            <v>0.5</v>
          </cell>
          <cell r="E177">
            <v>223</v>
          </cell>
          <cell r="F177">
            <v>50</v>
          </cell>
          <cell r="G177">
            <v>11150</v>
          </cell>
          <cell r="H177">
            <v>2230</v>
          </cell>
          <cell r="I177" t="str">
            <v>林锦燕</v>
          </cell>
          <cell r="L177" t="str">
            <v>26.1.5已收押33450,10月首月租11150管2230</v>
          </cell>
          <cell r="M177" t="str">
            <v>E103</v>
          </cell>
          <cell r="N177" t="str">
            <v>童装</v>
          </cell>
          <cell r="O177">
            <v>46011</v>
          </cell>
          <cell r="P177">
            <v>46011</v>
          </cell>
          <cell r="Q177">
            <v>47076</v>
          </cell>
          <cell r="R177">
            <v>46296</v>
          </cell>
        </row>
        <row r="178">
          <cell r="C178" t="str">
            <v>E103A</v>
          </cell>
          <cell r="D178">
            <v>0.5</v>
          </cell>
          <cell r="E178">
            <v>136</v>
          </cell>
          <cell r="F178">
            <v>60</v>
          </cell>
          <cell r="G178">
            <v>8160</v>
          </cell>
          <cell r="H178">
            <v>1360</v>
          </cell>
          <cell r="I178" t="str">
            <v>马以奴四</v>
          </cell>
          <cell r="K178" t="str">
            <v>免租期2025.9.10至2025.11.09，2026.1月，2025年12月需要交租金</v>
          </cell>
          <cell r="L178" t="str">
            <v>25.9.5已收押24480,11.10-12.9租8160管1360</v>
          </cell>
          <cell r="M178" t="str">
            <v>E103A</v>
          </cell>
          <cell r="N178" t="str">
            <v>餐饮</v>
          </cell>
          <cell r="O178">
            <v>45905</v>
          </cell>
          <cell r="P178">
            <v>45910</v>
          </cell>
          <cell r="Q178">
            <v>47005</v>
          </cell>
          <cell r="R178">
            <v>45971</v>
          </cell>
        </row>
        <row r="179">
          <cell r="C179" t="str">
            <v>E105</v>
          </cell>
          <cell r="D179">
            <v>0.5</v>
          </cell>
          <cell r="E179">
            <v>68</v>
          </cell>
          <cell r="F179">
            <v>60</v>
          </cell>
          <cell r="G179">
            <v>4080</v>
          </cell>
          <cell r="H179">
            <v>680</v>
          </cell>
          <cell r="I179" t="str">
            <v>黄珏琼</v>
          </cell>
          <cell r="M179" t="str">
            <v>D105/E105</v>
          </cell>
          <cell r="O179">
            <v>46058</v>
          </cell>
          <cell r="P179">
            <v>46082</v>
          </cell>
          <cell r="Q179">
            <v>47177</v>
          </cell>
          <cell r="R179">
            <v>46174</v>
          </cell>
        </row>
        <row r="180">
          <cell r="C180" t="str">
            <v>E106/E108</v>
          </cell>
          <cell r="D180">
            <v>0.5</v>
          </cell>
          <cell r="E180">
            <v>98</v>
          </cell>
          <cell r="F180">
            <v>50</v>
          </cell>
          <cell r="G180">
            <v>4900</v>
          </cell>
          <cell r="H180">
            <v>980</v>
          </cell>
          <cell r="I180" t="str">
            <v>吕伟</v>
          </cell>
          <cell r="K180" t="str">
            <v>合同已给</v>
          </cell>
          <cell r="M180" t="str">
            <v>E106/108</v>
          </cell>
          <cell r="N180" t="str">
            <v>童装</v>
          </cell>
          <cell r="O180">
            <v>45848</v>
          </cell>
          <cell r="P180">
            <v>45870</v>
          </cell>
          <cell r="Q180">
            <v>46965</v>
          </cell>
          <cell r="R180">
            <v>46235</v>
          </cell>
        </row>
        <row r="181">
          <cell r="C181" t="str">
            <v>E108</v>
          </cell>
          <cell r="D181">
            <v>0.5</v>
          </cell>
          <cell r="E181">
            <v>119</v>
          </cell>
          <cell r="F181">
            <v>50</v>
          </cell>
          <cell r="G181">
            <v>5950</v>
          </cell>
          <cell r="H181">
            <v>1190</v>
          </cell>
          <cell r="I181" t="str">
            <v>吕伟</v>
          </cell>
          <cell r="M181" t="str">
            <v>E106/108</v>
          </cell>
          <cell r="N181" t="str">
            <v>童装</v>
          </cell>
          <cell r="O181">
            <v>45848</v>
          </cell>
          <cell r="P181">
            <v>45870</v>
          </cell>
          <cell r="Q181">
            <v>46965</v>
          </cell>
          <cell r="R181">
            <v>46235</v>
          </cell>
        </row>
        <row r="182">
          <cell r="C182" t="str">
            <v>E201-203</v>
          </cell>
          <cell r="D182">
            <v>0.7</v>
          </cell>
          <cell r="E182">
            <v>200</v>
          </cell>
          <cell r="F182">
            <v>25</v>
          </cell>
          <cell r="G182">
            <v>5000</v>
          </cell>
          <cell r="H182">
            <v>1000</v>
          </cell>
          <cell r="J182" t="str">
            <v>空档</v>
          </cell>
        </row>
        <row r="183">
          <cell r="C183" t="str">
            <v>E205</v>
          </cell>
          <cell r="D183">
            <v>0.7</v>
          </cell>
          <cell r="E183">
            <v>62</v>
          </cell>
          <cell r="F183">
            <v>25</v>
          </cell>
          <cell r="G183">
            <v>1550</v>
          </cell>
          <cell r="H183">
            <v>310</v>
          </cell>
          <cell r="I183" t="str">
            <v>曾文贵</v>
          </cell>
          <cell r="J183" t="str">
            <v>空档</v>
          </cell>
          <cell r="K183" t="str">
            <v>弃档</v>
          </cell>
          <cell r="L183" t="str">
            <v>25.10.9已收押3000,10.11-11.10租1290</v>
          </cell>
          <cell r="M183" t="str">
            <v>E205</v>
          </cell>
          <cell r="N183" t="str">
            <v>仓库</v>
          </cell>
          <cell r="O183">
            <v>45940</v>
          </cell>
          <cell r="P183">
            <v>45941</v>
          </cell>
          <cell r="Q183">
            <v>46122</v>
          </cell>
          <cell r="R183">
            <v>45931</v>
          </cell>
        </row>
        <row r="184">
          <cell r="C184" t="str">
            <v>E206/208</v>
          </cell>
          <cell r="D184">
            <v>0.5</v>
          </cell>
          <cell r="E184">
            <v>183</v>
          </cell>
          <cell r="F184">
            <v>20</v>
          </cell>
          <cell r="G184">
            <v>3660</v>
          </cell>
          <cell r="H184">
            <v>915</v>
          </cell>
          <cell r="I184" t="str">
            <v>张芬芬</v>
          </cell>
          <cell r="L184" t="str">
            <v>25.11.3已收押10980,1月首月租3660管915</v>
          </cell>
          <cell r="M184" t="str">
            <v>E206/208</v>
          </cell>
          <cell r="N184" t="str">
            <v>仓储</v>
          </cell>
          <cell r="O184">
            <v>45931</v>
          </cell>
          <cell r="P184">
            <v>45931</v>
          </cell>
          <cell r="Q184">
            <v>47026</v>
          </cell>
          <cell r="R184">
            <v>46023</v>
          </cell>
        </row>
        <row r="185">
          <cell r="C185" t="str">
            <v>E403/403A</v>
          </cell>
          <cell r="D185">
            <v>0.7</v>
          </cell>
          <cell r="E185">
            <v>165</v>
          </cell>
          <cell r="F185">
            <v>20</v>
          </cell>
          <cell r="G185">
            <v>3300</v>
          </cell>
          <cell r="H185">
            <v>825</v>
          </cell>
          <cell r="I185" t="str">
            <v>陈傅和</v>
          </cell>
          <cell r="L185" t="str">
            <v>26.1.16已收押11385,2.15-3.14租2970管825</v>
          </cell>
          <cell r="M185" t="str">
            <v>E403/403A</v>
          </cell>
          <cell r="N185" t="str">
            <v>仓储</v>
          </cell>
          <cell r="O185">
            <v>46023</v>
          </cell>
          <cell r="P185">
            <v>46023</v>
          </cell>
          <cell r="Q185">
            <v>47118</v>
          </cell>
          <cell r="R185">
            <v>46068</v>
          </cell>
        </row>
        <row r="186">
          <cell r="C186" t="str">
            <v>E501</v>
          </cell>
          <cell r="D186">
            <v>0.5</v>
          </cell>
          <cell r="E186">
            <v>173</v>
          </cell>
          <cell r="F186">
            <v>25</v>
          </cell>
          <cell r="G186">
            <v>4325</v>
          </cell>
          <cell r="H186">
            <v>865</v>
          </cell>
          <cell r="I186" t="str">
            <v>苏晓江</v>
          </cell>
          <cell r="K186" t="str">
            <v>首月已收公共能源</v>
          </cell>
          <cell r="L186" t="str">
            <v>25.5.11已收押15570,5.15-6.14租4325管865</v>
          </cell>
          <cell r="M186" t="str">
            <v>E501</v>
          </cell>
          <cell r="N186" t="str">
            <v>仓库</v>
          </cell>
          <cell r="O186">
            <v>45792</v>
          </cell>
          <cell r="P186">
            <v>45792</v>
          </cell>
          <cell r="Q186">
            <v>46521</v>
          </cell>
          <cell r="R186">
            <v>45792</v>
          </cell>
        </row>
        <row r="187">
          <cell r="C187" t="str">
            <v>F101/F102</v>
          </cell>
          <cell r="D187">
            <v>0.5</v>
          </cell>
          <cell r="E187">
            <v>301</v>
          </cell>
          <cell r="F187">
            <v>50</v>
          </cell>
          <cell r="G187">
            <v>15050</v>
          </cell>
          <cell r="H187">
            <v>3010</v>
          </cell>
          <cell r="I187" t="str">
            <v>靳涛</v>
          </cell>
          <cell r="K187" t="str">
            <v>已报招商奖励</v>
          </cell>
          <cell r="L187" t="str">
            <v>25.10.23已收押45150,4.25-5.24租12040管3010</v>
          </cell>
          <cell r="M187" t="str">
            <v>F101/102</v>
          </cell>
          <cell r="N187" t="str">
            <v>服装</v>
          </cell>
          <cell r="O187">
            <v>45953</v>
          </cell>
          <cell r="P187">
            <v>45955</v>
          </cell>
          <cell r="Q187">
            <v>47050</v>
          </cell>
          <cell r="R187">
            <v>46137</v>
          </cell>
        </row>
        <row r="188">
          <cell r="C188" t="str">
            <v>F103/F103A/F105</v>
          </cell>
          <cell r="D188">
            <v>0.5</v>
          </cell>
          <cell r="E188">
            <v>510</v>
          </cell>
          <cell r="F188">
            <v>50</v>
          </cell>
          <cell r="G188">
            <v>25500</v>
          </cell>
          <cell r="H188">
            <v>5100</v>
          </cell>
          <cell r="I188" t="str">
            <v>范志森</v>
          </cell>
          <cell r="J188" t="str">
            <v>新签</v>
          </cell>
          <cell r="K188" t="str">
            <v>首月租金未交 第三年管理费错</v>
          </cell>
          <cell r="L188" t="str">
            <v>25.12.1已收押68850,首月管5100</v>
          </cell>
          <cell r="M188" t="str">
            <v>F103/103A/105</v>
          </cell>
          <cell r="N188" t="str">
            <v>女装</v>
          </cell>
          <cell r="O188">
            <v>45986</v>
          </cell>
          <cell r="P188">
            <v>45992</v>
          </cell>
          <cell r="Q188">
            <v>47087</v>
          </cell>
          <cell r="R188">
            <v>46174</v>
          </cell>
        </row>
        <row r="189">
          <cell r="C189" t="str">
            <v>F106</v>
          </cell>
          <cell r="D189">
            <v>0.5</v>
          </cell>
          <cell r="E189">
            <v>186</v>
          </cell>
          <cell r="F189">
            <v>50</v>
          </cell>
          <cell r="G189">
            <v>9300</v>
          </cell>
          <cell r="H189">
            <v>1860</v>
          </cell>
          <cell r="I189" t="str">
            <v>周引</v>
          </cell>
          <cell r="L189" t="str">
            <v>25.11.11已收押33480,4月首月租9300管1860</v>
          </cell>
          <cell r="M189" t="str">
            <v>F106</v>
          </cell>
          <cell r="N189" t="str">
            <v>女装</v>
          </cell>
          <cell r="O189">
            <v>45971</v>
          </cell>
          <cell r="P189">
            <v>45981</v>
          </cell>
          <cell r="Q189">
            <v>47076</v>
          </cell>
          <cell r="R189">
            <v>46113</v>
          </cell>
        </row>
        <row r="190">
          <cell r="C190" t="str">
            <v>F107/F108</v>
          </cell>
          <cell r="D190">
            <v>0.5</v>
          </cell>
          <cell r="E190">
            <v>234</v>
          </cell>
          <cell r="F190">
            <v>50</v>
          </cell>
          <cell r="G190">
            <v>11700</v>
          </cell>
          <cell r="H190">
            <v>2340</v>
          </cell>
          <cell r="I190" t="str">
            <v>李沂彬</v>
          </cell>
          <cell r="M190" t="str">
            <v>F107/108</v>
          </cell>
          <cell r="N190" t="str">
            <v>女装</v>
          </cell>
          <cell r="O190">
            <v>45810</v>
          </cell>
          <cell r="P190">
            <v>45813</v>
          </cell>
          <cell r="Q190">
            <v>46908</v>
          </cell>
          <cell r="R190">
            <v>45905</v>
          </cell>
        </row>
        <row r="191">
          <cell r="C191" t="str">
            <v>F201</v>
          </cell>
          <cell r="D191">
            <v>0.7</v>
          </cell>
          <cell r="E191">
            <v>145</v>
          </cell>
          <cell r="J191" t="str">
            <v>空档</v>
          </cell>
        </row>
        <row r="192">
          <cell r="C192" t="str">
            <v>F203A</v>
          </cell>
          <cell r="D192">
            <v>0.7</v>
          </cell>
          <cell r="E192">
            <v>257</v>
          </cell>
          <cell r="J192" t="str">
            <v>空档</v>
          </cell>
        </row>
        <row r="193">
          <cell r="C193" t="str">
            <v>F205/F206</v>
          </cell>
          <cell r="D193">
            <v>0.7</v>
          </cell>
          <cell r="E193">
            <v>364</v>
          </cell>
          <cell r="F193">
            <v>20</v>
          </cell>
          <cell r="G193">
            <v>7280</v>
          </cell>
          <cell r="H193">
            <v>3640</v>
          </cell>
          <cell r="J193" t="str">
            <v>空档</v>
          </cell>
        </row>
        <row r="194">
          <cell r="C194" t="str">
            <v>F207/F208</v>
          </cell>
          <cell r="D194">
            <v>0.5</v>
          </cell>
          <cell r="E194">
            <v>234</v>
          </cell>
          <cell r="F194">
            <v>20</v>
          </cell>
          <cell r="G194">
            <v>4680</v>
          </cell>
          <cell r="H194">
            <v>1170</v>
          </cell>
          <cell r="I194" t="str">
            <v>李沂彬</v>
          </cell>
          <cell r="M194" t="str">
            <v>F207/208</v>
          </cell>
          <cell r="N194" t="str">
            <v>女装</v>
          </cell>
          <cell r="O194">
            <v>45810</v>
          </cell>
          <cell r="P194">
            <v>45813</v>
          </cell>
          <cell r="Q194">
            <v>46908</v>
          </cell>
          <cell r="R194">
            <v>45905</v>
          </cell>
        </row>
        <row r="195">
          <cell r="C195" t="str">
            <v>G101/102/103/103A</v>
          </cell>
          <cell r="D195">
            <v>0.5</v>
          </cell>
          <cell r="E195">
            <v>66</v>
          </cell>
          <cell r="F195">
            <v>50</v>
          </cell>
          <cell r="G195">
            <v>3300</v>
          </cell>
          <cell r="H195">
            <v>660</v>
          </cell>
          <cell r="I195" t="str">
            <v>简辉跃</v>
          </cell>
          <cell r="L195" t="str">
            <v>25.8.21已收押45360首月租12600管2520</v>
          </cell>
          <cell r="M195" t="str">
            <v>G101/102/103/103A</v>
          </cell>
          <cell r="N195" t="str">
            <v>童装</v>
          </cell>
          <cell r="O195">
            <v>45890</v>
          </cell>
          <cell r="P195">
            <v>45901</v>
          </cell>
          <cell r="Q195">
            <v>46996</v>
          </cell>
          <cell r="R195">
            <v>45992</v>
          </cell>
        </row>
        <row r="196">
          <cell r="C196" t="str">
            <v>G102</v>
          </cell>
          <cell r="D196">
            <v>0.5</v>
          </cell>
          <cell r="E196">
            <v>66</v>
          </cell>
          <cell r="F196">
            <v>50</v>
          </cell>
          <cell r="G196">
            <v>3300</v>
          </cell>
          <cell r="H196">
            <v>660</v>
          </cell>
          <cell r="I196" t="str">
            <v>简辉跃</v>
          </cell>
          <cell r="M196" t="str">
            <v>G101/102/103/103A</v>
          </cell>
          <cell r="N196" t="str">
            <v>童装</v>
          </cell>
          <cell r="O196">
            <v>45890</v>
          </cell>
          <cell r="P196">
            <v>45901</v>
          </cell>
          <cell r="Q196">
            <v>46996</v>
          </cell>
          <cell r="R196">
            <v>45992</v>
          </cell>
        </row>
        <row r="197">
          <cell r="C197" t="str">
            <v>G103</v>
          </cell>
          <cell r="D197">
            <v>0.5</v>
          </cell>
          <cell r="E197">
            <v>60</v>
          </cell>
          <cell r="F197">
            <v>50</v>
          </cell>
          <cell r="G197">
            <v>3000</v>
          </cell>
          <cell r="H197">
            <v>600</v>
          </cell>
          <cell r="I197" t="str">
            <v>简辉跃</v>
          </cell>
          <cell r="M197" t="str">
            <v>G101/102/103/103A</v>
          </cell>
          <cell r="N197" t="str">
            <v>童装</v>
          </cell>
          <cell r="O197">
            <v>45890</v>
          </cell>
          <cell r="P197">
            <v>45901</v>
          </cell>
          <cell r="Q197">
            <v>46996</v>
          </cell>
          <cell r="R197">
            <v>45992</v>
          </cell>
        </row>
        <row r="198">
          <cell r="C198" t="str">
            <v>G103A</v>
          </cell>
          <cell r="D198">
            <v>0.5</v>
          </cell>
          <cell r="E198">
            <v>60</v>
          </cell>
          <cell r="F198">
            <v>50</v>
          </cell>
          <cell r="G198">
            <v>3000</v>
          </cell>
          <cell r="H198">
            <v>600</v>
          </cell>
          <cell r="I198" t="str">
            <v>简辉跃</v>
          </cell>
          <cell r="M198" t="str">
            <v>G101/102/103/103A</v>
          </cell>
          <cell r="N198" t="str">
            <v>童装</v>
          </cell>
          <cell r="O198">
            <v>45890</v>
          </cell>
          <cell r="P198">
            <v>45901</v>
          </cell>
          <cell r="Q198">
            <v>46996</v>
          </cell>
          <cell r="R198">
            <v>45992</v>
          </cell>
        </row>
        <row r="199">
          <cell r="C199" t="str">
            <v>G105/106</v>
          </cell>
          <cell r="D199">
            <v>0.5</v>
          </cell>
          <cell r="E199">
            <v>60</v>
          </cell>
          <cell r="F199">
            <v>50</v>
          </cell>
          <cell r="G199">
            <v>3000</v>
          </cell>
          <cell r="H199">
            <v>600</v>
          </cell>
          <cell r="I199" t="str">
            <v>吴婵娇</v>
          </cell>
          <cell r="J199" t="str">
            <v>新签</v>
          </cell>
          <cell r="K199" t="str">
            <v>免1个月管理费（2025年12月）</v>
          </cell>
          <cell r="L199" t="str">
            <v>25.12.1已收押21600，首月4月租6000,1月管1200</v>
          </cell>
          <cell r="M199" t="str">
            <v>G105/106</v>
          </cell>
          <cell r="N199" t="str">
            <v>女装</v>
          </cell>
          <cell r="O199">
            <v>45992</v>
          </cell>
          <cell r="P199">
            <v>45992</v>
          </cell>
          <cell r="Q199">
            <v>47087</v>
          </cell>
          <cell r="R199">
            <v>46113</v>
          </cell>
        </row>
        <row r="200">
          <cell r="C200" t="str">
            <v>G106</v>
          </cell>
          <cell r="D200">
            <v>0.5</v>
          </cell>
          <cell r="E200">
            <v>60</v>
          </cell>
          <cell r="F200">
            <v>50</v>
          </cell>
          <cell r="G200">
            <v>3000</v>
          </cell>
          <cell r="H200">
            <v>600</v>
          </cell>
          <cell r="I200" t="str">
            <v>吴婵娇</v>
          </cell>
          <cell r="J200" t="str">
            <v>新签</v>
          </cell>
          <cell r="M200" t="str">
            <v>G105/106</v>
          </cell>
          <cell r="N200" t="str">
            <v>女装</v>
          </cell>
          <cell r="O200">
            <v>45992</v>
          </cell>
          <cell r="P200">
            <v>45992</v>
          </cell>
          <cell r="Q200">
            <v>47087</v>
          </cell>
          <cell r="R200">
            <v>46113</v>
          </cell>
        </row>
        <row r="201">
          <cell r="C201" t="str">
            <v>G107</v>
          </cell>
          <cell r="D201">
            <v>0.5</v>
          </cell>
          <cell r="E201">
            <v>47</v>
          </cell>
          <cell r="F201">
            <v>50</v>
          </cell>
          <cell r="G201">
            <v>2350</v>
          </cell>
          <cell r="H201">
            <v>470</v>
          </cell>
          <cell r="J201" t="str">
            <v>空档</v>
          </cell>
        </row>
        <row r="202">
          <cell r="C202" t="str">
            <v>G108</v>
          </cell>
          <cell r="D202">
            <v>0.5</v>
          </cell>
          <cell r="E202">
            <v>47</v>
          </cell>
          <cell r="F202">
            <v>50</v>
          </cell>
          <cell r="G202">
            <v>2350</v>
          </cell>
          <cell r="H202">
            <v>470</v>
          </cell>
          <cell r="J202" t="str">
            <v>空档</v>
          </cell>
        </row>
        <row r="203">
          <cell r="C203" t="str">
            <v>G109</v>
          </cell>
          <cell r="D203">
            <v>0.5</v>
          </cell>
          <cell r="E203">
            <v>139</v>
          </cell>
          <cell r="F203">
            <v>50</v>
          </cell>
          <cell r="G203">
            <v>6950</v>
          </cell>
          <cell r="H203">
            <v>1390</v>
          </cell>
          <cell r="J203" t="str">
            <v>空档</v>
          </cell>
        </row>
        <row r="204">
          <cell r="C204" t="str">
            <v>G110</v>
          </cell>
          <cell r="D204">
            <v>0.5</v>
          </cell>
          <cell r="E204">
            <v>144</v>
          </cell>
          <cell r="F204">
            <v>50</v>
          </cell>
          <cell r="G204">
            <v>7200</v>
          </cell>
          <cell r="H204">
            <v>1440</v>
          </cell>
          <cell r="J204" t="str">
            <v>空档</v>
          </cell>
        </row>
        <row r="205">
          <cell r="C205" t="str">
            <v>G111</v>
          </cell>
          <cell r="D205">
            <v>0.5</v>
          </cell>
          <cell r="E205">
            <v>66</v>
          </cell>
          <cell r="F205">
            <v>50</v>
          </cell>
          <cell r="G205">
            <v>3300</v>
          </cell>
          <cell r="H205">
            <v>660</v>
          </cell>
          <cell r="I205" t="str">
            <v>陈培生</v>
          </cell>
          <cell r="L205" t="str">
            <v>25.7.18已收押11880,26.1月租3300管660</v>
          </cell>
          <cell r="M205" t="str">
            <v>G111</v>
          </cell>
          <cell r="N205" t="str">
            <v>女装</v>
          </cell>
          <cell r="O205">
            <v>45856</v>
          </cell>
          <cell r="P205">
            <v>45870</v>
          </cell>
          <cell r="Q205">
            <v>46965</v>
          </cell>
          <cell r="R205">
            <v>46023</v>
          </cell>
        </row>
        <row r="206">
          <cell r="C206" t="str">
            <v>G112</v>
          </cell>
          <cell r="D206">
            <v>0.5</v>
          </cell>
          <cell r="E206">
            <v>93</v>
          </cell>
          <cell r="F206">
            <v>50</v>
          </cell>
          <cell r="G206">
            <v>4650</v>
          </cell>
          <cell r="H206">
            <v>930</v>
          </cell>
          <cell r="I206" t="str">
            <v>林遂玲</v>
          </cell>
          <cell r="L206" t="str">
            <v>25.7.18已收押16740,26.1月租4650管930</v>
          </cell>
          <cell r="M206" t="str">
            <v>G112</v>
          </cell>
          <cell r="N206" t="str">
            <v>女装</v>
          </cell>
          <cell r="O206">
            <v>45856</v>
          </cell>
          <cell r="P206">
            <v>45870</v>
          </cell>
          <cell r="Q206">
            <v>46965</v>
          </cell>
          <cell r="R206">
            <v>46023</v>
          </cell>
        </row>
        <row r="207">
          <cell r="C207" t="str">
            <v>G113/113A</v>
          </cell>
          <cell r="D207">
            <v>0.5</v>
          </cell>
          <cell r="E207">
            <v>60</v>
          </cell>
          <cell r="F207">
            <v>50</v>
          </cell>
          <cell r="G207">
            <v>3000</v>
          </cell>
          <cell r="H207">
            <v>600</v>
          </cell>
          <cell r="I207" t="str">
            <v>林家荣</v>
          </cell>
          <cell r="L207" t="str">
            <v>25.9.17已收押21600，首月租6000管1200</v>
          </cell>
          <cell r="M207" t="str">
            <v>G113/113A</v>
          </cell>
          <cell r="N207" t="str">
            <v>女装</v>
          </cell>
          <cell r="O207">
            <v>45917</v>
          </cell>
          <cell r="P207">
            <v>45931</v>
          </cell>
          <cell r="Q207">
            <v>47026</v>
          </cell>
          <cell r="R207">
            <v>46023</v>
          </cell>
        </row>
        <row r="208">
          <cell r="C208" t="str">
            <v>G113A</v>
          </cell>
          <cell r="D208">
            <v>0.5</v>
          </cell>
          <cell r="E208">
            <v>60</v>
          </cell>
          <cell r="F208">
            <v>50</v>
          </cell>
          <cell r="G208">
            <v>3000</v>
          </cell>
          <cell r="H208">
            <v>600</v>
          </cell>
          <cell r="I208" t="str">
            <v>林家荣</v>
          </cell>
          <cell r="M208" t="str">
            <v>G113/113A</v>
          </cell>
          <cell r="N208" t="str">
            <v>女装</v>
          </cell>
          <cell r="O208">
            <v>45917</v>
          </cell>
          <cell r="P208">
            <v>45931</v>
          </cell>
          <cell r="Q208">
            <v>47026</v>
          </cell>
          <cell r="R208">
            <v>46023</v>
          </cell>
        </row>
        <row r="209">
          <cell r="C209" t="str">
            <v>G115/116/117/118</v>
          </cell>
          <cell r="D209">
            <v>0.5</v>
          </cell>
          <cell r="E209">
            <v>47</v>
          </cell>
          <cell r="F209">
            <v>50</v>
          </cell>
          <cell r="G209">
            <v>2350</v>
          </cell>
          <cell r="H209">
            <v>470</v>
          </cell>
          <cell r="I209" t="str">
            <v>唐秋萍</v>
          </cell>
          <cell r="K209" t="str">
            <v>李庆明拿提成</v>
          </cell>
          <cell r="L209" t="str">
            <v>25.9.8已收押39240,12.20-1.19租10900管2180</v>
          </cell>
          <cell r="M209" t="str">
            <v>G115/116/117/118</v>
          </cell>
          <cell r="N209" t="str">
            <v>女装</v>
          </cell>
          <cell r="O209">
            <v>45908</v>
          </cell>
          <cell r="P209">
            <v>45920</v>
          </cell>
          <cell r="Q209">
            <v>47015</v>
          </cell>
          <cell r="R209">
            <v>46011</v>
          </cell>
        </row>
        <row r="210">
          <cell r="C210" t="str">
            <v>G116</v>
          </cell>
          <cell r="D210">
            <v>0.5</v>
          </cell>
          <cell r="E210">
            <v>47</v>
          </cell>
          <cell r="F210">
            <v>50</v>
          </cell>
          <cell r="G210">
            <v>2350</v>
          </cell>
          <cell r="H210">
            <v>470</v>
          </cell>
          <cell r="I210" t="str">
            <v>唐秋萍</v>
          </cell>
          <cell r="M210" t="str">
            <v>G115/116/117/118</v>
          </cell>
          <cell r="N210" t="str">
            <v>女装</v>
          </cell>
          <cell r="O210">
            <v>45908</v>
          </cell>
          <cell r="P210">
            <v>45920</v>
          </cell>
          <cell r="Q210">
            <v>47015</v>
          </cell>
          <cell r="R210">
            <v>46011</v>
          </cell>
        </row>
        <row r="211">
          <cell r="C211" t="str">
            <v>G117</v>
          </cell>
          <cell r="D211">
            <v>0.5</v>
          </cell>
          <cell r="E211">
            <v>62</v>
          </cell>
          <cell r="F211">
            <v>50</v>
          </cell>
          <cell r="G211">
            <v>3100</v>
          </cell>
          <cell r="H211">
            <v>620</v>
          </cell>
          <cell r="I211" t="str">
            <v>唐秋萍</v>
          </cell>
          <cell r="M211" t="str">
            <v>G115/116/117/118</v>
          </cell>
          <cell r="N211" t="str">
            <v>女装</v>
          </cell>
          <cell r="O211">
            <v>45908</v>
          </cell>
          <cell r="P211">
            <v>45920</v>
          </cell>
          <cell r="Q211">
            <v>47015</v>
          </cell>
          <cell r="R211">
            <v>46011</v>
          </cell>
        </row>
        <row r="212">
          <cell r="C212" t="str">
            <v>G118</v>
          </cell>
          <cell r="D212">
            <v>0.5</v>
          </cell>
          <cell r="E212">
            <v>62</v>
          </cell>
          <cell r="F212">
            <v>50</v>
          </cell>
          <cell r="G212">
            <v>3100</v>
          </cell>
          <cell r="H212">
            <v>620</v>
          </cell>
          <cell r="I212" t="str">
            <v>唐秋萍</v>
          </cell>
          <cell r="M212" t="str">
            <v>G115/116/117/118</v>
          </cell>
          <cell r="N212" t="str">
            <v>女装</v>
          </cell>
          <cell r="O212">
            <v>45908</v>
          </cell>
          <cell r="P212">
            <v>45920</v>
          </cell>
          <cell r="Q212">
            <v>47015</v>
          </cell>
          <cell r="R212">
            <v>46011</v>
          </cell>
        </row>
        <row r="213">
          <cell r="C213" t="str">
            <v>G119</v>
          </cell>
          <cell r="D213">
            <v>0.5</v>
          </cell>
          <cell r="E213">
            <v>180.88</v>
          </cell>
          <cell r="F213">
            <v>50</v>
          </cell>
          <cell r="G213">
            <v>9044</v>
          </cell>
          <cell r="H213">
            <v>1809</v>
          </cell>
          <cell r="I213" t="str">
            <v>简辉鹏</v>
          </cell>
          <cell r="L213" t="str">
            <v>25.11.4已收押32559,2.15-3.14租9044管1809</v>
          </cell>
          <cell r="M213" t="str">
            <v>G119</v>
          </cell>
          <cell r="N213" t="str">
            <v>服装</v>
          </cell>
          <cell r="O213">
            <v>45965</v>
          </cell>
          <cell r="P213">
            <v>45976</v>
          </cell>
          <cell r="Q213">
            <v>47071</v>
          </cell>
          <cell r="R213">
            <v>46068</v>
          </cell>
        </row>
        <row r="214">
          <cell r="C214" t="str">
            <v>G120</v>
          </cell>
          <cell r="D214">
            <v>0.5</v>
          </cell>
          <cell r="E214">
            <v>160.69999999999999</v>
          </cell>
          <cell r="F214">
            <v>50</v>
          </cell>
          <cell r="G214">
            <v>8035</v>
          </cell>
          <cell r="H214">
            <v>1607</v>
          </cell>
          <cell r="I214" t="str">
            <v>廖永涛</v>
          </cell>
          <cell r="L214" t="str">
            <v>25.11.7已收押28926,4月首月租8035管1607</v>
          </cell>
          <cell r="M214" t="str">
            <v>G120</v>
          </cell>
          <cell r="N214" t="str">
            <v>女装</v>
          </cell>
          <cell r="O214">
            <v>45968</v>
          </cell>
          <cell r="P214">
            <v>45981</v>
          </cell>
          <cell r="Q214">
            <v>47076</v>
          </cell>
          <cell r="R214">
            <v>46113</v>
          </cell>
        </row>
        <row r="215">
          <cell r="C215" t="str">
            <v>G121</v>
          </cell>
          <cell r="D215">
            <v>0.5</v>
          </cell>
          <cell r="E215">
            <v>109</v>
          </cell>
          <cell r="F215">
            <v>50</v>
          </cell>
          <cell r="G215">
            <v>5450</v>
          </cell>
          <cell r="H215">
            <v>1090</v>
          </cell>
          <cell r="J215" t="str">
            <v>空档</v>
          </cell>
        </row>
        <row r="216">
          <cell r="C216" t="str">
            <v>G201</v>
          </cell>
          <cell r="D216">
            <v>0.5</v>
          </cell>
          <cell r="E216">
            <v>143</v>
          </cell>
          <cell r="F216">
            <v>20</v>
          </cell>
          <cell r="G216">
            <v>2860</v>
          </cell>
          <cell r="H216">
            <v>715</v>
          </cell>
          <cell r="J216" t="str">
            <v>空档</v>
          </cell>
        </row>
        <row r="217">
          <cell r="C217" t="str">
            <v>G202</v>
          </cell>
          <cell r="D217">
            <v>0.5</v>
          </cell>
          <cell r="E217">
            <v>193</v>
          </cell>
          <cell r="F217">
            <v>20</v>
          </cell>
          <cell r="G217">
            <v>3860</v>
          </cell>
          <cell r="H217">
            <v>965</v>
          </cell>
          <cell r="J217" t="str">
            <v>空档</v>
          </cell>
        </row>
        <row r="218">
          <cell r="C218" t="str">
            <v>G203/G205</v>
          </cell>
          <cell r="D218">
            <v>0.5</v>
          </cell>
          <cell r="E218">
            <v>403</v>
          </cell>
          <cell r="F218">
            <v>20</v>
          </cell>
          <cell r="G218">
            <v>8060</v>
          </cell>
          <cell r="H218">
            <v>2015</v>
          </cell>
          <cell r="I218" t="str">
            <v>周锦成</v>
          </cell>
          <cell r="J218" t="str">
            <v>新签</v>
          </cell>
          <cell r="L218" t="str">
            <v>25.12.4已收押24180，2月首月租8060管2015</v>
          </cell>
          <cell r="M218" t="str">
            <v>G203/205</v>
          </cell>
          <cell r="N218" t="str">
            <v>仓库</v>
          </cell>
          <cell r="O218">
            <v>45997</v>
          </cell>
          <cell r="P218">
            <v>45992</v>
          </cell>
          <cell r="Q218">
            <v>46721</v>
          </cell>
          <cell r="R218">
            <v>46054</v>
          </cell>
        </row>
        <row r="219">
          <cell r="C219" t="str">
            <v>G203A/206</v>
          </cell>
          <cell r="D219">
            <v>0.5</v>
          </cell>
          <cell r="E219">
            <v>170</v>
          </cell>
          <cell r="F219">
            <v>20</v>
          </cell>
          <cell r="G219">
            <v>3400</v>
          </cell>
          <cell r="H219">
            <v>850</v>
          </cell>
          <cell r="J219" t="str">
            <v>空档</v>
          </cell>
        </row>
        <row r="220">
          <cell r="C220" t="str">
            <v>G207</v>
          </cell>
          <cell r="D220">
            <v>0.5</v>
          </cell>
          <cell r="E220">
            <v>173</v>
          </cell>
          <cell r="F220">
            <v>20</v>
          </cell>
          <cell r="G220">
            <v>3460</v>
          </cell>
          <cell r="H220">
            <v>865</v>
          </cell>
          <cell r="J220" t="str">
            <v>空档</v>
          </cell>
          <cell r="K220" t="str">
            <v>地摊管理处借用</v>
          </cell>
        </row>
        <row r="221">
          <cell r="C221" t="str">
            <v>G208</v>
          </cell>
          <cell r="D221">
            <v>0.5</v>
          </cell>
          <cell r="E221">
            <v>101.3</v>
          </cell>
          <cell r="F221">
            <v>20</v>
          </cell>
          <cell r="G221">
            <v>2026</v>
          </cell>
          <cell r="H221">
            <v>507</v>
          </cell>
          <cell r="I221" t="str">
            <v>刘宝琳</v>
          </cell>
          <cell r="L221" t="str">
            <v>25.12.30已收押7599，1月首月租2026管507</v>
          </cell>
          <cell r="M221" t="str">
            <v>G208</v>
          </cell>
          <cell r="N221" t="str">
            <v>仓库</v>
          </cell>
          <cell r="O221">
            <v>46021</v>
          </cell>
          <cell r="P221">
            <v>46023</v>
          </cell>
          <cell r="Q221">
            <v>46387</v>
          </cell>
          <cell r="R221">
            <v>46023</v>
          </cell>
        </row>
        <row r="222">
          <cell r="C222" t="str">
            <v>G209</v>
          </cell>
          <cell r="D222">
            <v>0.5</v>
          </cell>
          <cell r="E222">
            <v>166</v>
          </cell>
          <cell r="F222">
            <v>20</v>
          </cell>
          <cell r="G222">
            <v>3320</v>
          </cell>
          <cell r="H222">
            <v>830</v>
          </cell>
          <cell r="I222" t="str">
            <v>简辉跃</v>
          </cell>
          <cell r="L222" t="str">
            <v>25.10.19已收押12450,1月租3320管830</v>
          </cell>
          <cell r="M222" t="str">
            <v>G209</v>
          </cell>
          <cell r="N222" t="str">
            <v>仓库</v>
          </cell>
          <cell r="O222">
            <v>45962</v>
          </cell>
          <cell r="P222">
            <v>45962</v>
          </cell>
          <cell r="Q222">
            <v>47057</v>
          </cell>
          <cell r="R222">
            <v>46023</v>
          </cell>
        </row>
        <row r="223">
          <cell r="C223" t="str">
            <v>G210</v>
          </cell>
          <cell r="D223">
            <v>0.5</v>
          </cell>
          <cell r="E223">
            <v>116</v>
          </cell>
          <cell r="F223">
            <v>20</v>
          </cell>
          <cell r="G223">
            <v>2320</v>
          </cell>
          <cell r="H223">
            <v>580</v>
          </cell>
          <cell r="I223" t="str">
            <v>李静</v>
          </cell>
          <cell r="L223" t="str">
            <v>25.12.30已收押6960,1月租2320管580</v>
          </cell>
          <cell r="M223" t="str">
            <v>G210</v>
          </cell>
          <cell r="N223" t="str">
            <v>仓库</v>
          </cell>
          <cell r="O223">
            <v>46001</v>
          </cell>
          <cell r="P223">
            <v>45962</v>
          </cell>
          <cell r="Q223">
            <v>47057</v>
          </cell>
          <cell r="R223">
            <v>46023</v>
          </cell>
        </row>
        <row r="224">
          <cell r="C224" t="str">
            <v>G211/212/213</v>
          </cell>
          <cell r="D224">
            <v>0.5</v>
          </cell>
          <cell r="E224">
            <v>318</v>
          </cell>
          <cell r="F224">
            <v>20</v>
          </cell>
          <cell r="G224">
            <v>6360</v>
          </cell>
          <cell r="H224">
            <v>1590</v>
          </cell>
          <cell r="I224" t="str">
            <v>陈曲毛</v>
          </cell>
          <cell r="L224" t="str">
            <v>25.7.18已收押23850,26.1月租6360管1590</v>
          </cell>
          <cell r="M224" t="str">
            <v>G211/212/213</v>
          </cell>
          <cell r="N224" t="str">
            <v>女装</v>
          </cell>
          <cell r="O224">
            <v>45856</v>
          </cell>
          <cell r="P224">
            <v>45870</v>
          </cell>
          <cell r="Q224">
            <v>46965</v>
          </cell>
          <cell r="R224">
            <v>46023</v>
          </cell>
        </row>
        <row r="225">
          <cell r="C225" t="str">
            <v>G213A/215/216</v>
          </cell>
          <cell r="D225">
            <v>0.5</v>
          </cell>
          <cell r="E225">
            <v>593.91999999999996</v>
          </cell>
          <cell r="F225">
            <v>20</v>
          </cell>
          <cell r="G225">
            <v>11878</v>
          </cell>
          <cell r="H225">
            <v>2970</v>
          </cell>
          <cell r="J225" t="str">
            <v>空档</v>
          </cell>
        </row>
        <row r="226">
          <cell r="C226" t="str">
            <v>G217</v>
          </cell>
          <cell r="D226">
            <v>0.5</v>
          </cell>
          <cell r="E226">
            <v>150</v>
          </cell>
          <cell r="F226">
            <v>20</v>
          </cell>
          <cell r="G226">
            <v>3000</v>
          </cell>
          <cell r="H226">
            <v>750</v>
          </cell>
          <cell r="J226" t="str">
            <v>空档</v>
          </cell>
        </row>
        <row r="227">
          <cell r="C227" t="str">
            <v>G218</v>
          </cell>
          <cell r="D227">
            <v>0.5</v>
          </cell>
          <cell r="E227">
            <v>227</v>
          </cell>
          <cell r="F227">
            <v>20</v>
          </cell>
          <cell r="G227">
            <v>4540</v>
          </cell>
          <cell r="H227">
            <v>1135</v>
          </cell>
          <cell r="J227" t="str">
            <v>空档</v>
          </cell>
        </row>
        <row r="228">
          <cell r="C228" t="str">
            <v>H101/J101</v>
          </cell>
          <cell r="D228">
            <v>0.5</v>
          </cell>
          <cell r="E228">
            <v>240</v>
          </cell>
          <cell r="F228">
            <v>50</v>
          </cell>
          <cell r="G228">
            <v>12000</v>
          </cell>
          <cell r="H228">
            <v>2400</v>
          </cell>
          <cell r="I228" t="str">
            <v>陈李卿</v>
          </cell>
          <cell r="L228" t="str">
            <v>26.1.16已收押3.6万，8月首月租1.2万管2400</v>
          </cell>
          <cell r="M228" t="str">
            <v>H101/J101</v>
          </cell>
          <cell r="N228" t="str">
            <v>童装</v>
          </cell>
          <cell r="O228">
            <v>45860</v>
          </cell>
          <cell r="P228">
            <v>45870</v>
          </cell>
          <cell r="Q228">
            <v>46965</v>
          </cell>
          <cell r="R228">
            <v>46235</v>
          </cell>
        </row>
        <row r="229">
          <cell r="C229" t="str">
            <v>H102</v>
          </cell>
          <cell r="D229">
            <v>0.5</v>
          </cell>
          <cell r="E229">
            <v>146</v>
          </cell>
          <cell r="F229">
            <v>50</v>
          </cell>
          <cell r="G229">
            <v>7300</v>
          </cell>
          <cell r="H229">
            <v>1460</v>
          </cell>
          <cell r="I229" t="str">
            <v>余祖强</v>
          </cell>
          <cell r="K229" t="str">
            <v>未交</v>
          </cell>
          <cell r="M229" t="str">
            <v>H102</v>
          </cell>
          <cell r="N229" t="str">
            <v>童装</v>
          </cell>
          <cell r="O229">
            <v>45854</v>
          </cell>
          <cell r="P229">
            <v>45870</v>
          </cell>
          <cell r="Q229">
            <v>46965</v>
          </cell>
          <cell r="R229">
            <v>46235</v>
          </cell>
        </row>
        <row r="230">
          <cell r="C230" t="str">
            <v>H103</v>
          </cell>
          <cell r="D230">
            <v>0.5</v>
          </cell>
          <cell r="E230">
            <v>229</v>
          </cell>
          <cell r="F230">
            <v>50</v>
          </cell>
          <cell r="G230">
            <v>11450</v>
          </cell>
          <cell r="H230">
            <v>2290</v>
          </cell>
          <cell r="I230" t="str">
            <v>李静</v>
          </cell>
          <cell r="K230" t="str">
            <v>合同已给</v>
          </cell>
          <cell r="M230" t="str">
            <v>H103</v>
          </cell>
          <cell r="N230" t="str">
            <v>童装</v>
          </cell>
          <cell r="O230">
            <v>45849</v>
          </cell>
          <cell r="P230">
            <v>45870</v>
          </cell>
          <cell r="Q230">
            <v>46965</v>
          </cell>
          <cell r="R230">
            <v>46235</v>
          </cell>
        </row>
        <row r="231">
          <cell r="C231" t="str">
            <v>H106/107</v>
          </cell>
          <cell r="D231">
            <v>0.5</v>
          </cell>
          <cell r="E231">
            <v>116</v>
          </cell>
          <cell r="F231">
            <v>50</v>
          </cell>
          <cell r="G231">
            <v>5800</v>
          </cell>
          <cell r="H231">
            <v>1160</v>
          </cell>
          <cell r="I231" t="str">
            <v>李静</v>
          </cell>
          <cell r="K231" t="str">
            <v>合同已给</v>
          </cell>
          <cell r="M231" t="str">
            <v>H106/107</v>
          </cell>
          <cell r="N231" t="str">
            <v>童装</v>
          </cell>
          <cell r="O231">
            <v>45849</v>
          </cell>
          <cell r="P231">
            <v>45870</v>
          </cell>
          <cell r="Q231">
            <v>46965</v>
          </cell>
          <cell r="R231">
            <v>46235</v>
          </cell>
        </row>
        <row r="232">
          <cell r="C232" t="str">
            <v>H108</v>
          </cell>
          <cell r="D232">
            <v>0.5</v>
          </cell>
          <cell r="E232">
            <v>61.68</v>
          </cell>
          <cell r="F232">
            <v>50</v>
          </cell>
          <cell r="G232">
            <v>3084</v>
          </cell>
          <cell r="H232">
            <v>617</v>
          </cell>
          <cell r="J232" t="str">
            <v>空档</v>
          </cell>
        </row>
        <row r="233">
          <cell r="C233" t="str">
            <v>H109/110</v>
          </cell>
          <cell r="D233">
            <v>0.5</v>
          </cell>
          <cell r="E233">
            <v>153.86000000000001</v>
          </cell>
          <cell r="F233">
            <v>50</v>
          </cell>
          <cell r="G233">
            <v>7693</v>
          </cell>
          <cell r="H233">
            <v>1539</v>
          </cell>
          <cell r="J233" t="str">
            <v>空档</v>
          </cell>
        </row>
        <row r="234">
          <cell r="C234" t="str">
            <v>H111/112</v>
          </cell>
          <cell r="D234">
            <v>0.5</v>
          </cell>
          <cell r="E234">
            <v>88.68</v>
          </cell>
          <cell r="F234">
            <v>50</v>
          </cell>
          <cell r="G234">
            <v>4434</v>
          </cell>
          <cell r="H234">
            <v>887</v>
          </cell>
          <cell r="J234" t="str">
            <v>空档</v>
          </cell>
        </row>
        <row r="235">
          <cell r="C235" t="str">
            <v>H113/113A</v>
          </cell>
          <cell r="D235">
            <v>0.5</v>
          </cell>
          <cell r="E235">
            <v>88</v>
          </cell>
          <cell r="F235">
            <v>50</v>
          </cell>
          <cell r="G235">
            <v>4400</v>
          </cell>
          <cell r="H235">
            <v>880</v>
          </cell>
          <cell r="J235" t="str">
            <v>空档</v>
          </cell>
        </row>
        <row r="236">
          <cell r="C236" t="str">
            <v>H115</v>
          </cell>
          <cell r="D236">
            <v>0.5</v>
          </cell>
          <cell r="E236">
            <v>43</v>
          </cell>
          <cell r="F236">
            <v>50</v>
          </cell>
          <cell r="G236">
            <v>2150</v>
          </cell>
          <cell r="H236">
            <v>430</v>
          </cell>
          <cell r="I236" t="str">
            <v>卢碧珠</v>
          </cell>
          <cell r="K236" t="str">
            <v>合同已给</v>
          </cell>
          <cell r="M236" t="str">
            <v>H115</v>
          </cell>
          <cell r="N236" t="str">
            <v>童装</v>
          </cell>
          <cell r="O236">
            <v>45855</v>
          </cell>
          <cell r="P236">
            <v>45870</v>
          </cell>
          <cell r="Q236">
            <v>46965</v>
          </cell>
          <cell r="R236">
            <v>46235</v>
          </cell>
        </row>
        <row r="237">
          <cell r="C237" t="str">
            <v>H116/J103A</v>
          </cell>
          <cell r="D237">
            <v>0.5</v>
          </cell>
          <cell r="E237">
            <v>128</v>
          </cell>
          <cell r="F237">
            <v>50</v>
          </cell>
          <cell r="G237">
            <v>6400</v>
          </cell>
          <cell r="H237">
            <v>1280</v>
          </cell>
          <cell r="I237" t="str">
            <v>陈德兴</v>
          </cell>
          <cell r="K237" t="str">
            <v>合同已给</v>
          </cell>
          <cell r="M237" t="str">
            <v>H116/J103A</v>
          </cell>
          <cell r="N237" t="str">
            <v>童装</v>
          </cell>
          <cell r="O237">
            <v>45855</v>
          </cell>
          <cell r="P237">
            <v>45870</v>
          </cell>
          <cell r="Q237">
            <v>46965</v>
          </cell>
          <cell r="R237">
            <v>46235</v>
          </cell>
        </row>
        <row r="238">
          <cell r="C238" t="str">
            <v>H117</v>
          </cell>
          <cell r="D238">
            <v>0.5</v>
          </cell>
          <cell r="E238">
            <v>85</v>
          </cell>
          <cell r="F238">
            <v>50</v>
          </cell>
          <cell r="G238">
            <v>4250</v>
          </cell>
          <cell r="H238">
            <v>850</v>
          </cell>
          <cell r="J238" t="str">
            <v>空档</v>
          </cell>
          <cell r="M238" t="str">
            <v>H117/118/119/120/121</v>
          </cell>
        </row>
        <row r="239">
          <cell r="C239" t="str">
            <v>H118</v>
          </cell>
          <cell r="D239">
            <v>0.5</v>
          </cell>
          <cell r="E239">
            <v>49</v>
          </cell>
          <cell r="F239">
            <v>50</v>
          </cell>
          <cell r="G239">
            <v>2450</v>
          </cell>
          <cell r="H239">
            <v>490</v>
          </cell>
          <cell r="J239" t="str">
            <v>空档</v>
          </cell>
          <cell r="M239" t="str">
            <v>H117/118/119/120/121</v>
          </cell>
        </row>
        <row r="240">
          <cell r="C240" t="str">
            <v>H119</v>
          </cell>
          <cell r="D240">
            <v>0.5</v>
          </cell>
          <cell r="E240">
            <v>49</v>
          </cell>
          <cell r="F240">
            <v>50</v>
          </cell>
          <cell r="G240">
            <v>2450</v>
          </cell>
          <cell r="H240">
            <v>490</v>
          </cell>
          <cell r="J240" t="str">
            <v>空档</v>
          </cell>
          <cell r="M240" t="str">
            <v>H117/118/119/120/121</v>
          </cell>
        </row>
        <row r="241">
          <cell r="C241" t="str">
            <v>H201/202</v>
          </cell>
          <cell r="D241">
            <v>0.5</v>
          </cell>
          <cell r="E241">
            <v>199</v>
          </cell>
          <cell r="F241">
            <v>20</v>
          </cell>
          <cell r="G241">
            <v>3980</v>
          </cell>
          <cell r="H241">
            <v>995</v>
          </cell>
          <cell r="I241" t="str">
            <v>卢碧珠</v>
          </cell>
          <cell r="L241" t="str">
            <v>2026.1.28已收押11940</v>
          </cell>
          <cell r="M241" t="str">
            <v>H201/202</v>
          </cell>
          <cell r="N241" t="str">
            <v>仓储</v>
          </cell>
          <cell r="O241">
            <v>45962</v>
          </cell>
          <cell r="P241">
            <v>45962</v>
          </cell>
          <cell r="Q241">
            <v>47057</v>
          </cell>
          <cell r="R241">
            <v>46023</v>
          </cell>
        </row>
        <row r="242">
          <cell r="C242" t="str">
            <v>H203</v>
          </cell>
          <cell r="D242">
            <v>0.5</v>
          </cell>
          <cell r="E242">
            <v>123</v>
          </cell>
          <cell r="F242">
            <v>20</v>
          </cell>
          <cell r="G242">
            <v>2460</v>
          </cell>
          <cell r="H242">
            <v>615</v>
          </cell>
          <cell r="I242" t="str">
            <v>简辉鹏</v>
          </cell>
          <cell r="L242" t="str">
            <v>25.12.29已收押5655,2月首月租1885管615</v>
          </cell>
          <cell r="M242" t="str">
            <v>H203</v>
          </cell>
          <cell r="P242">
            <v>46023</v>
          </cell>
          <cell r="Q242">
            <v>46752</v>
          </cell>
          <cell r="R242">
            <v>46054</v>
          </cell>
        </row>
        <row r="243">
          <cell r="C243" t="str">
            <v>H203A</v>
          </cell>
          <cell r="D243">
            <v>0.5</v>
          </cell>
          <cell r="E243">
            <v>104</v>
          </cell>
          <cell r="F243">
            <v>20</v>
          </cell>
          <cell r="G243">
            <v>2080</v>
          </cell>
          <cell r="H243">
            <v>520</v>
          </cell>
          <cell r="I243" t="str">
            <v>高满</v>
          </cell>
          <cell r="K243" t="str">
            <v>签补充协议</v>
          </cell>
          <cell r="L243" t="str">
            <v>25.12.11已收押6864,1月首月租1768管520</v>
          </cell>
          <cell r="M243" t="str">
            <v>H203A</v>
          </cell>
          <cell r="N243" t="str">
            <v>仓库</v>
          </cell>
          <cell r="O243">
            <v>46008</v>
          </cell>
          <cell r="P243">
            <v>46008</v>
          </cell>
          <cell r="Q243">
            <v>46372</v>
          </cell>
          <cell r="R243">
            <v>46023</v>
          </cell>
        </row>
        <row r="244">
          <cell r="C244" t="str">
            <v>H205</v>
          </cell>
          <cell r="D244">
            <v>0.5</v>
          </cell>
          <cell r="E244">
            <v>218</v>
          </cell>
          <cell r="F244">
            <v>20</v>
          </cell>
          <cell r="G244">
            <v>4360</v>
          </cell>
          <cell r="H244">
            <v>1090</v>
          </cell>
          <cell r="J244" t="str">
            <v>空档</v>
          </cell>
        </row>
        <row r="245">
          <cell r="C245" t="str">
            <v>H206</v>
          </cell>
          <cell r="D245">
            <v>0.5</v>
          </cell>
          <cell r="E245">
            <v>87</v>
          </cell>
          <cell r="F245">
            <v>20</v>
          </cell>
          <cell r="G245">
            <v>1740</v>
          </cell>
          <cell r="H245">
            <v>435</v>
          </cell>
          <cell r="J245" t="str">
            <v>空档</v>
          </cell>
        </row>
        <row r="246">
          <cell r="C246" t="str">
            <v>H207</v>
          </cell>
          <cell r="D246">
            <v>0.5</v>
          </cell>
          <cell r="E246">
            <v>201</v>
          </cell>
          <cell r="F246">
            <v>20</v>
          </cell>
          <cell r="G246">
            <v>4020</v>
          </cell>
          <cell r="H246">
            <v>1005</v>
          </cell>
          <cell r="I246" t="str">
            <v>周清东</v>
          </cell>
          <cell r="L246" t="str">
            <v>2026.1.28已收押12060</v>
          </cell>
          <cell r="M246" t="str">
            <v>H207</v>
          </cell>
          <cell r="O246">
            <v>46001</v>
          </cell>
          <cell r="P246">
            <v>45962</v>
          </cell>
          <cell r="Q246">
            <v>47057</v>
          </cell>
          <cell r="R246">
            <v>46023</v>
          </cell>
        </row>
        <row r="247">
          <cell r="C247" t="str">
            <v>H208</v>
          </cell>
          <cell r="D247">
            <v>0.5</v>
          </cell>
          <cell r="E247">
            <v>132</v>
          </cell>
          <cell r="F247">
            <v>20</v>
          </cell>
          <cell r="G247">
            <v>2640</v>
          </cell>
          <cell r="H247">
            <v>660</v>
          </cell>
          <cell r="J247" t="str">
            <v>空档</v>
          </cell>
        </row>
        <row r="248">
          <cell r="C248" t="str">
            <v>H209</v>
          </cell>
          <cell r="D248">
            <v>0.5</v>
          </cell>
          <cell r="E248">
            <v>76</v>
          </cell>
          <cell r="F248">
            <v>20</v>
          </cell>
          <cell r="G248">
            <v>1520</v>
          </cell>
          <cell r="H248">
            <v>380</v>
          </cell>
          <cell r="J248" t="str">
            <v>空档</v>
          </cell>
        </row>
        <row r="249">
          <cell r="C249" t="str">
            <v>H301</v>
          </cell>
          <cell r="D249">
            <v>0.5</v>
          </cell>
          <cell r="E249">
            <v>760</v>
          </cell>
          <cell r="J249" t="str">
            <v>空档</v>
          </cell>
        </row>
        <row r="250">
          <cell r="C250" t="str">
            <v>J102</v>
          </cell>
          <cell r="D250">
            <v>0.5</v>
          </cell>
          <cell r="E250">
            <v>102</v>
          </cell>
          <cell r="F250">
            <v>50</v>
          </cell>
          <cell r="G250">
            <v>5100</v>
          </cell>
          <cell r="H250">
            <v>1020</v>
          </cell>
          <cell r="I250" t="str">
            <v>周清东</v>
          </cell>
          <cell r="K250" t="str">
            <v>合同已给</v>
          </cell>
          <cell r="M250" t="str">
            <v>J102</v>
          </cell>
          <cell r="N250" t="str">
            <v>童装</v>
          </cell>
          <cell r="O250">
            <v>45848</v>
          </cell>
          <cell r="P250">
            <v>45870</v>
          </cell>
          <cell r="Q250">
            <v>46965</v>
          </cell>
          <cell r="R250">
            <v>46235</v>
          </cell>
        </row>
        <row r="251">
          <cell r="C251" t="str">
            <v>J103</v>
          </cell>
          <cell r="D251">
            <v>0.5</v>
          </cell>
          <cell r="E251">
            <v>102</v>
          </cell>
          <cell r="F251">
            <v>50</v>
          </cell>
          <cell r="G251">
            <v>5100</v>
          </cell>
          <cell r="H251">
            <v>1020</v>
          </cell>
          <cell r="I251" t="str">
            <v>陈晓珊</v>
          </cell>
          <cell r="K251" t="str">
            <v>合同已给</v>
          </cell>
          <cell r="M251" t="str">
            <v>J103</v>
          </cell>
          <cell r="N251" t="str">
            <v>童装</v>
          </cell>
          <cell r="O251">
            <v>45848</v>
          </cell>
          <cell r="P251">
            <v>45870</v>
          </cell>
          <cell r="Q251">
            <v>46965</v>
          </cell>
          <cell r="R251">
            <v>46235</v>
          </cell>
        </row>
        <row r="252">
          <cell r="C252" t="str">
            <v>J105</v>
          </cell>
          <cell r="D252">
            <v>0.5</v>
          </cell>
          <cell r="E252">
            <v>208</v>
          </cell>
          <cell r="F252">
            <v>50</v>
          </cell>
          <cell r="G252">
            <v>10400</v>
          </cell>
          <cell r="H252">
            <v>2080</v>
          </cell>
          <cell r="I252" t="str">
            <v>陈梦先</v>
          </cell>
          <cell r="K252" t="str">
            <v>首月租管未交</v>
          </cell>
          <cell r="L252" t="str">
            <v>25.11.27已收押31200</v>
          </cell>
          <cell r="M252" t="str">
            <v>J105</v>
          </cell>
          <cell r="N252" t="str">
            <v>童装</v>
          </cell>
          <cell r="O252">
            <v>45940</v>
          </cell>
          <cell r="P252">
            <v>45931</v>
          </cell>
          <cell r="Q252">
            <v>47026</v>
          </cell>
          <cell r="R252">
            <v>46296</v>
          </cell>
        </row>
        <row r="253">
          <cell r="C253" t="str">
            <v>L101</v>
          </cell>
          <cell r="D253">
            <v>0.5</v>
          </cell>
          <cell r="E253">
            <v>115</v>
          </cell>
          <cell r="F253">
            <v>50</v>
          </cell>
          <cell r="G253">
            <v>5750</v>
          </cell>
          <cell r="H253">
            <v>1150</v>
          </cell>
          <cell r="J253" t="str">
            <v>空档</v>
          </cell>
        </row>
        <row r="254">
          <cell r="C254" t="str">
            <v>L102</v>
          </cell>
          <cell r="D254">
            <v>0.5</v>
          </cell>
          <cell r="E254">
            <v>114</v>
          </cell>
          <cell r="F254">
            <v>50</v>
          </cell>
          <cell r="G254">
            <v>5700</v>
          </cell>
          <cell r="H254">
            <v>1140</v>
          </cell>
          <cell r="I254" t="str">
            <v>欧怡玲</v>
          </cell>
          <cell r="K254" t="str">
            <v>合同未给</v>
          </cell>
          <cell r="L254" t="str">
            <v>25.11.17已收押20520,6月首月租5700管1140</v>
          </cell>
          <cell r="M254" t="str">
            <v>L102</v>
          </cell>
          <cell r="N254" t="str">
            <v>女装</v>
          </cell>
          <cell r="O254">
            <v>45978</v>
          </cell>
          <cell r="P254">
            <v>45992</v>
          </cell>
          <cell r="Q254">
            <v>47087</v>
          </cell>
          <cell r="R254">
            <v>46174</v>
          </cell>
        </row>
        <row r="255">
          <cell r="C255" t="str">
            <v>L103</v>
          </cell>
          <cell r="D255">
            <v>0.5</v>
          </cell>
          <cell r="E255">
            <v>47</v>
          </cell>
          <cell r="F255">
            <v>50</v>
          </cell>
          <cell r="G255">
            <v>2350</v>
          </cell>
          <cell r="H255">
            <v>470</v>
          </cell>
          <cell r="J255" t="str">
            <v>空档</v>
          </cell>
        </row>
        <row r="256">
          <cell r="C256" t="str">
            <v>L103A</v>
          </cell>
          <cell r="D256">
            <v>0.5</v>
          </cell>
          <cell r="E256">
            <v>45</v>
          </cell>
          <cell r="F256">
            <v>50</v>
          </cell>
          <cell r="G256">
            <v>2250</v>
          </cell>
          <cell r="H256">
            <v>450</v>
          </cell>
          <cell r="J256" t="str">
            <v>空档</v>
          </cell>
        </row>
        <row r="257">
          <cell r="C257" t="str">
            <v>L105</v>
          </cell>
          <cell r="D257">
            <v>0.5</v>
          </cell>
          <cell r="E257">
            <v>46</v>
          </cell>
          <cell r="F257">
            <v>50</v>
          </cell>
          <cell r="G257">
            <v>2300</v>
          </cell>
          <cell r="H257">
            <v>460</v>
          </cell>
          <cell r="J257" t="str">
            <v>空档</v>
          </cell>
        </row>
        <row r="258">
          <cell r="C258" t="str">
            <v>L106</v>
          </cell>
          <cell r="D258">
            <v>0.5</v>
          </cell>
          <cell r="E258">
            <v>46</v>
          </cell>
          <cell r="F258">
            <v>50</v>
          </cell>
          <cell r="G258">
            <v>2300</v>
          </cell>
          <cell r="H258">
            <v>460</v>
          </cell>
          <cell r="J258" t="str">
            <v>空档</v>
          </cell>
        </row>
        <row r="259">
          <cell r="C259" t="str">
            <v>L107</v>
          </cell>
          <cell r="D259">
            <v>0.5</v>
          </cell>
          <cell r="E259">
            <v>46</v>
          </cell>
          <cell r="F259">
            <v>50</v>
          </cell>
          <cell r="G259">
            <v>2300</v>
          </cell>
          <cell r="H259">
            <v>460</v>
          </cell>
          <cell r="J259" t="str">
            <v>空档</v>
          </cell>
        </row>
        <row r="260">
          <cell r="C260" t="str">
            <v>L108</v>
          </cell>
          <cell r="D260">
            <v>0.5</v>
          </cell>
          <cell r="E260">
            <v>46</v>
          </cell>
          <cell r="F260">
            <v>50</v>
          </cell>
          <cell r="G260">
            <v>2300</v>
          </cell>
          <cell r="H260">
            <v>460</v>
          </cell>
          <cell r="J260" t="str">
            <v>空档</v>
          </cell>
        </row>
        <row r="261">
          <cell r="C261" t="str">
            <v>L109</v>
          </cell>
          <cell r="D261">
            <v>0.5</v>
          </cell>
          <cell r="E261">
            <v>46</v>
          </cell>
          <cell r="F261">
            <v>50</v>
          </cell>
          <cell r="G261">
            <v>2300</v>
          </cell>
          <cell r="H261">
            <v>460</v>
          </cell>
          <cell r="I261" t="str">
            <v>余焕焕</v>
          </cell>
          <cell r="L261" t="str">
            <v>25.12.29已收押20700,10月首月租6900管1380</v>
          </cell>
          <cell r="M261" t="str">
            <v>L109/110/111</v>
          </cell>
          <cell r="N261" t="str">
            <v>童装</v>
          </cell>
          <cell r="O261">
            <v>46016</v>
          </cell>
          <cell r="P261">
            <v>45931</v>
          </cell>
          <cell r="Q261">
            <v>47026</v>
          </cell>
          <cell r="R261">
            <v>46296</v>
          </cell>
        </row>
        <row r="262">
          <cell r="C262" t="str">
            <v>L110</v>
          </cell>
          <cell r="D262">
            <v>0.5</v>
          </cell>
          <cell r="E262">
            <v>46</v>
          </cell>
          <cell r="F262">
            <v>50</v>
          </cell>
          <cell r="G262">
            <v>2300</v>
          </cell>
          <cell r="H262">
            <v>460</v>
          </cell>
          <cell r="I262" t="str">
            <v>余焕焕</v>
          </cell>
          <cell r="M262" t="str">
            <v>L109/110/111</v>
          </cell>
          <cell r="N262" t="str">
            <v>童装</v>
          </cell>
          <cell r="O262">
            <v>46016</v>
          </cell>
          <cell r="P262">
            <v>45931</v>
          </cell>
          <cell r="Q262">
            <v>47026</v>
          </cell>
          <cell r="R262">
            <v>46296</v>
          </cell>
        </row>
        <row r="263">
          <cell r="C263" t="str">
            <v>L111</v>
          </cell>
          <cell r="D263">
            <v>0.5</v>
          </cell>
          <cell r="E263">
            <v>46</v>
          </cell>
          <cell r="F263">
            <v>50</v>
          </cell>
          <cell r="G263">
            <v>2300</v>
          </cell>
          <cell r="H263">
            <v>460</v>
          </cell>
          <cell r="I263" t="str">
            <v>余焕焕</v>
          </cell>
          <cell r="M263" t="str">
            <v>L109/110/111</v>
          </cell>
          <cell r="N263" t="str">
            <v>童装</v>
          </cell>
          <cell r="O263">
            <v>46016</v>
          </cell>
          <cell r="P263">
            <v>45931</v>
          </cell>
          <cell r="Q263">
            <v>47026</v>
          </cell>
          <cell r="R263">
            <v>46296</v>
          </cell>
        </row>
        <row r="264">
          <cell r="C264" t="str">
            <v>L112</v>
          </cell>
          <cell r="D264">
            <v>0.5</v>
          </cell>
          <cell r="E264">
            <v>46</v>
          </cell>
          <cell r="F264">
            <v>50</v>
          </cell>
          <cell r="G264">
            <v>2300</v>
          </cell>
          <cell r="H264">
            <v>460</v>
          </cell>
          <cell r="I264" t="str">
            <v>付嘉诚</v>
          </cell>
          <cell r="K264" t="str">
            <v>未交</v>
          </cell>
          <cell r="M264" t="str">
            <v>L112/113/113A</v>
          </cell>
          <cell r="N264" t="str">
            <v>童装</v>
          </cell>
          <cell r="O264">
            <v>45945</v>
          </cell>
          <cell r="P264">
            <v>45931</v>
          </cell>
          <cell r="Q264">
            <v>47026</v>
          </cell>
          <cell r="R264">
            <v>46296</v>
          </cell>
        </row>
        <row r="265">
          <cell r="C265" t="str">
            <v>L113</v>
          </cell>
          <cell r="D265">
            <v>0.5</v>
          </cell>
          <cell r="E265">
            <v>56</v>
          </cell>
          <cell r="F265">
            <v>50</v>
          </cell>
          <cell r="G265">
            <v>2800</v>
          </cell>
          <cell r="H265">
            <v>560</v>
          </cell>
          <cell r="I265" t="str">
            <v>付嘉诚</v>
          </cell>
          <cell r="M265" t="str">
            <v>L112/113/113A</v>
          </cell>
          <cell r="N265" t="str">
            <v>童装</v>
          </cell>
          <cell r="O265">
            <v>45945</v>
          </cell>
          <cell r="P265">
            <v>45931</v>
          </cell>
          <cell r="Q265">
            <v>47026</v>
          </cell>
          <cell r="R265">
            <v>46296</v>
          </cell>
        </row>
        <row r="266">
          <cell r="C266" t="str">
            <v>L113A</v>
          </cell>
          <cell r="D266">
            <v>0.5</v>
          </cell>
          <cell r="E266">
            <v>56</v>
          </cell>
          <cell r="F266">
            <v>50</v>
          </cell>
          <cell r="G266">
            <v>2800</v>
          </cell>
          <cell r="H266">
            <v>560</v>
          </cell>
          <cell r="I266" t="str">
            <v>付嘉诚</v>
          </cell>
          <cell r="M266" t="str">
            <v>L112/113/113A</v>
          </cell>
          <cell r="N266" t="str">
            <v>童装</v>
          </cell>
          <cell r="O266">
            <v>45945</v>
          </cell>
          <cell r="P266">
            <v>45931</v>
          </cell>
          <cell r="Q266">
            <v>47026</v>
          </cell>
          <cell r="R266">
            <v>46296</v>
          </cell>
        </row>
        <row r="267">
          <cell r="C267" t="str">
            <v>L115</v>
          </cell>
          <cell r="D267">
            <v>0.5</v>
          </cell>
          <cell r="E267">
            <v>47</v>
          </cell>
          <cell r="F267">
            <v>50</v>
          </cell>
          <cell r="G267">
            <v>2350</v>
          </cell>
          <cell r="H267">
            <v>470</v>
          </cell>
          <cell r="J267" t="str">
            <v>空档</v>
          </cell>
        </row>
        <row r="268">
          <cell r="C268" t="str">
            <v>L116</v>
          </cell>
          <cell r="D268">
            <v>0.5</v>
          </cell>
          <cell r="E268">
            <v>45</v>
          </cell>
          <cell r="F268">
            <v>50</v>
          </cell>
          <cell r="G268">
            <v>2250</v>
          </cell>
          <cell r="H268">
            <v>450</v>
          </cell>
          <cell r="J268" t="str">
            <v>空档</v>
          </cell>
        </row>
        <row r="269">
          <cell r="C269" t="str">
            <v>L117</v>
          </cell>
          <cell r="D269">
            <v>0.5</v>
          </cell>
          <cell r="E269">
            <v>45</v>
          </cell>
          <cell r="F269">
            <v>50</v>
          </cell>
          <cell r="G269">
            <v>2250</v>
          </cell>
          <cell r="H269">
            <v>450</v>
          </cell>
          <cell r="J269" t="str">
            <v>空档</v>
          </cell>
        </row>
        <row r="270">
          <cell r="C270" t="str">
            <v>L118</v>
          </cell>
          <cell r="D270">
            <v>0.5</v>
          </cell>
          <cell r="E270">
            <v>46</v>
          </cell>
          <cell r="F270">
            <v>50</v>
          </cell>
          <cell r="G270">
            <v>2300</v>
          </cell>
          <cell r="H270">
            <v>460</v>
          </cell>
          <cell r="J270" t="str">
            <v>空档</v>
          </cell>
          <cell r="M270" t="str">
            <v>L118/119</v>
          </cell>
          <cell r="N270" t="str">
            <v>童装</v>
          </cell>
        </row>
        <row r="271">
          <cell r="C271" t="str">
            <v>L119</v>
          </cell>
          <cell r="D271">
            <v>0.5</v>
          </cell>
          <cell r="E271">
            <v>46</v>
          </cell>
          <cell r="F271">
            <v>50</v>
          </cell>
          <cell r="G271">
            <v>2300</v>
          </cell>
          <cell r="H271">
            <v>460</v>
          </cell>
          <cell r="J271" t="str">
            <v>空档</v>
          </cell>
          <cell r="M271" t="str">
            <v>L118/119</v>
          </cell>
          <cell r="N271" t="str">
            <v>童装</v>
          </cell>
        </row>
        <row r="272">
          <cell r="C272" t="str">
            <v>L120</v>
          </cell>
          <cell r="D272">
            <v>0.5</v>
          </cell>
          <cell r="E272">
            <v>46</v>
          </cell>
          <cell r="F272">
            <v>50</v>
          </cell>
          <cell r="G272">
            <v>2300</v>
          </cell>
          <cell r="H272">
            <v>460</v>
          </cell>
          <cell r="J272" t="str">
            <v>空档</v>
          </cell>
        </row>
        <row r="273">
          <cell r="C273" t="str">
            <v>L121</v>
          </cell>
          <cell r="D273">
            <v>0.5</v>
          </cell>
          <cell r="E273">
            <v>46</v>
          </cell>
          <cell r="F273">
            <v>50</v>
          </cell>
          <cell r="G273">
            <v>2300</v>
          </cell>
          <cell r="H273">
            <v>460</v>
          </cell>
          <cell r="J273" t="str">
            <v>空档</v>
          </cell>
        </row>
        <row r="274">
          <cell r="C274" t="str">
            <v>L122</v>
          </cell>
          <cell r="D274">
            <v>0.5</v>
          </cell>
          <cell r="E274">
            <v>46</v>
          </cell>
          <cell r="F274">
            <v>50</v>
          </cell>
          <cell r="G274">
            <v>2300</v>
          </cell>
          <cell r="H274">
            <v>460</v>
          </cell>
          <cell r="J274" t="str">
            <v>空档</v>
          </cell>
        </row>
        <row r="275">
          <cell r="C275" t="str">
            <v>L123</v>
          </cell>
          <cell r="D275">
            <v>0.5</v>
          </cell>
          <cell r="E275">
            <v>46</v>
          </cell>
          <cell r="F275">
            <v>50</v>
          </cell>
          <cell r="G275">
            <v>2300</v>
          </cell>
          <cell r="H275">
            <v>460</v>
          </cell>
          <cell r="I275" t="str">
            <v>陈梦先</v>
          </cell>
          <cell r="K275" t="str">
            <v>首月租管未交</v>
          </cell>
          <cell r="L275" t="str">
            <v>25.11.6已收押30600</v>
          </cell>
          <cell r="M275" t="str">
            <v>L123/123A/125/126</v>
          </cell>
          <cell r="N275" t="str">
            <v>童装</v>
          </cell>
          <cell r="O275">
            <v>45940</v>
          </cell>
          <cell r="P275">
            <v>45931</v>
          </cell>
          <cell r="Q275">
            <v>47026</v>
          </cell>
          <cell r="R275">
            <v>46296</v>
          </cell>
        </row>
        <row r="276">
          <cell r="C276" t="str">
            <v>L123A</v>
          </cell>
          <cell r="D276">
            <v>0.5</v>
          </cell>
          <cell r="E276">
            <v>46</v>
          </cell>
          <cell r="F276">
            <v>50</v>
          </cell>
          <cell r="G276">
            <v>2300</v>
          </cell>
          <cell r="H276">
            <v>460</v>
          </cell>
          <cell r="I276" t="str">
            <v>陈梦先</v>
          </cell>
          <cell r="M276" t="str">
            <v>L123/123A/125/126</v>
          </cell>
          <cell r="N276" t="str">
            <v>童装</v>
          </cell>
          <cell r="O276">
            <v>45940</v>
          </cell>
          <cell r="P276">
            <v>45931</v>
          </cell>
          <cell r="Q276">
            <v>47026</v>
          </cell>
          <cell r="R276">
            <v>46296</v>
          </cell>
        </row>
        <row r="277">
          <cell r="C277" t="str">
            <v>L125</v>
          </cell>
          <cell r="D277">
            <v>0.5</v>
          </cell>
          <cell r="E277">
            <v>56</v>
          </cell>
          <cell r="F277">
            <v>50</v>
          </cell>
          <cell r="G277">
            <v>2800</v>
          </cell>
          <cell r="H277">
            <v>560</v>
          </cell>
          <cell r="I277" t="str">
            <v>陈梦先</v>
          </cell>
          <cell r="M277" t="str">
            <v>L123/123A/125/126</v>
          </cell>
          <cell r="N277" t="str">
            <v>童装</v>
          </cell>
          <cell r="O277">
            <v>45940</v>
          </cell>
          <cell r="P277">
            <v>45931</v>
          </cell>
          <cell r="Q277">
            <v>47026</v>
          </cell>
          <cell r="R277">
            <v>46296</v>
          </cell>
        </row>
        <row r="278">
          <cell r="C278" t="str">
            <v>L126</v>
          </cell>
          <cell r="D278">
            <v>0.5</v>
          </cell>
          <cell r="E278">
            <v>56</v>
          </cell>
          <cell r="F278">
            <v>50</v>
          </cell>
          <cell r="G278">
            <v>2800</v>
          </cell>
          <cell r="H278">
            <v>560</v>
          </cell>
          <cell r="I278" t="str">
            <v>陈梦先</v>
          </cell>
          <cell r="M278" t="str">
            <v>L123/123A/125/126</v>
          </cell>
          <cell r="N278" t="str">
            <v>童装</v>
          </cell>
          <cell r="O278">
            <v>45940</v>
          </cell>
          <cell r="P278">
            <v>45931</v>
          </cell>
          <cell r="Q278">
            <v>47026</v>
          </cell>
          <cell r="R278">
            <v>46296</v>
          </cell>
        </row>
        <row r="279">
          <cell r="C279" t="str">
            <v>L201</v>
          </cell>
          <cell r="D279">
            <v>0.5</v>
          </cell>
          <cell r="E279">
            <v>171</v>
          </cell>
          <cell r="F279">
            <v>20</v>
          </cell>
          <cell r="G279">
            <v>3420</v>
          </cell>
          <cell r="H279">
            <v>855</v>
          </cell>
          <cell r="I279" t="str">
            <v>广州克里斯娜国际服饰有限公司</v>
          </cell>
          <cell r="L279" t="str">
            <v>26.1.4已收押41940,2月首月租13980管2796</v>
          </cell>
          <cell r="M279" t="str">
            <v>L201/202/203/203A</v>
          </cell>
          <cell r="N279" t="str">
            <v>仓储</v>
          </cell>
          <cell r="O279">
            <v>46023</v>
          </cell>
          <cell r="P279">
            <v>46023</v>
          </cell>
          <cell r="Q279">
            <v>46387</v>
          </cell>
          <cell r="R279">
            <v>46054</v>
          </cell>
        </row>
        <row r="280">
          <cell r="C280" t="str">
            <v>L202</v>
          </cell>
          <cell r="D280">
            <v>0.5</v>
          </cell>
          <cell r="E280">
            <v>322</v>
          </cell>
          <cell r="F280">
            <v>20</v>
          </cell>
          <cell r="G280">
            <v>6440</v>
          </cell>
          <cell r="H280">
            <v>1610</v>
          </cell>
          <cell r="I280" t="str">
            <v>广州克里斯娜国际服饰有限公司</v>
          </cell>
          <cell r="M280" t="str">
            <v>L201/202/203/203A</v>
          </cell>
          <cell r="N280" t="str">
            <v>仓储</v>
          </cell>
          <cell r="O280">
            <v>46023</v>
          </cell>
          <cell r="P280">
            <v>46023</v>
          </cell>
          <cell r="Q280">
            <v>46387</v>
          </cell>
          <cell r="R280">
            <v>46054</v>
          </cell>
        </row>
        <row r="281">
          <cell r="C281" t="str">
            <v>L203</v>
          </cell>
          <cell r="D281">
            <v>0.5</v>
          </cell>
          <cell r="E281">
            <v>190</v>
          </cell>
          <cell r="F281">
            <v>20</v>
          </cell>
          <cell r="G281">
            <v>3800</v>
          </cell>
          <cell r="H281">
            <v>950</v>
          </cell>
          <cell r="I281" t="str">
            <v>广州克里斯娜国际服饰有限公司</v>
          </cell>
          <cell r="M281" t="str">
            <v>L201/202/203/203A</v>
          </cell>
          <cell r="N281" t="str">
            <v>仓储</v>
          </cell>
          <cell r="O281">
            <v>46023</v>
          </cell>
          <cell r="P281">
            <v>46023</v>
          </cell>
          <cell r="Q281">
            <v>46387</v>
          </cell>
          <cell r="R281">
            <v>46054</v>
          </cell>
        </row>
        <row r="282">
          <cell r="C282" t="str">
            <v>L203A</v>
          </cell>
          <cell r="D282">
            <v>0.5</v>
          </cell>
          <cell r="E282">
            <v>249</v>
          </cell>
          <cell r="F282">
            <v>20</v>
          </cell>
          <cell r="G282">
            <v>4980</v>
          </cell>
          <cell r="H282">
            <v>1245</v>
          </cell>
          <cell r="I282" t="str">
            <v>广州克里斯娜国际服饰有限公司</v>
          </cell>
          <cell r="M282" t="str">
            <v>L201/202/203/203A</v>
          </cell>
          <cell r="N282" t="str">
            <v>仓储</v>
          </cell>
          <cell r="O282">
            <v>46023</v>
          </cell>
          <cell r="P282">
            <v>46023</v>
          </cell>
          <cell r="Q282">
            <v>46387</v>
          </cell>
          <cell r="R282">
            <v>46054</v>
          </cell>
        </row>
        <row r="283">
          <cell r="C283" t="str">
            <v>L205</v>
          </cell>
          <cell r="D283">
            <v>0.5</v>
          </cell>
          <cell r="E283">
            <v>274</v>
          </cell>
          <cell r="F283">
            <v>20</v>
          </cell>
          <cell r="G283">
            <v>5480</v>
          </cell>
          <cell r="H283">
            <v>1370</v>
          </cell>
          <cell r="J283" t="str">
            <v>空档</v>
          </cell>
        </row>
        <row r="284">
          <cell r="C284" t="str">
            <v>L206</v>
          </cell>
          <cell r="D284">
            <v>0.5</v>
          </cell>
          <cell r="E284">
            <v>182</v>
          </cell>
          <cell r="F284">
            <v>20</v>
          </cell>
          <cell r="G284">
            <v>3640</v>
          </cell>
          <cell r="H284">
            <v>910</v>
          </cell>
          <cell r="J284" t="str">
            <v>空档</v>
          </cell>
        </row>
        <row r="285">
          <cell r="C285" t="str">
            <v>L207</v>
          </cell>
          <cell r="D285">
            <v>0.5</v>
          </cell>
          <cell r="E285">
            <v>182</v>
          </cell>
          <cell r="F285">
            <v>20</v>
          </cell>
          <cell r="G285">
            <v>3640</v>
          </cell>
          <cell r="H285">
            <v>910</v>
          </cell>
          <cell r="J285" t="str">
            <v>空档</v>
          </cell>
        </row>
        <row r="286">
          <cell r="C286" t="str">
            <v>L208/209</v>
          </cell>
          <cell r="D286">
            <v>0.5</v>
          </cell>
          <cell r="E286">
            <v>221</v>
          </cell>
          <cell r="F286">
            <v>20</v>
          </cell>
          <cell r="G286">
            <v>4420</v>
          </cell>
          <cell r="H286">
            <v>1105</v>
          </cell>
          <cell r="J286" t="str">
            <v>空档</v>
          </cell>
        </row>
        <row r="287">
          <cell r="C287" t="str">
            <v>L210</v>
          </cell>
          <cell r="D287">
            <v>0.5</v>
          </cell>
          <cell r="E287">
            <v>164</v>
          </cell>
          <cell r="F287">
            <v>20</v>
          </cell>
          <cell r="G287">
            <v>3280</v>
          </cell>
          <cell r="H287">
            <v>820</v>
          </cell>
          <cell r="I287" t="str">
            <v>林锦燕</v>
          </cell>
          <cell r="J287" t="str">
            <v>空档</v>
          </cell>
          <cell r="M287" t="str">
            <v>L210/211</v>
          </cell>
          <cell r="P287">
            <v>46048</v>
          </cell>
          <cell r="Q287">
            <v>46413</v>
          </cell>
          <cell r="R287">
            <v>46079</v>
          </cell>
        </row>
        <row r="288">
          <cell r="C288" t="str">
            <v>L211</v>
          </cell>
          <cell r="D288">
            <v>0.5</v>
          </cell>
          <cell r="E288">
            <v>232.42</v>
          </cell>
          <cell r="F288">
            <v>20</v>
          </cell>
          <cell r="G288">
            <v>4648</v>
          </cell>
          <cell r="H288">
            <v>1162</v>
          </cell>
          <cell r="I288" t="str">
            <v>林锦燕</v>
          </cell>
          <cell r="J288" t="str">
            <v>空档</v>
          </cell>
          <cell r="M288" t="str">
            <v>L210/211</v>
          </cell>
          <cell r="P288">
            <v>46048</v>
          </cell>
          <cell r="Q288">
            <v>46413</v>
          </cell>
          <cell r="R288">
            <v>46079</v>
          </cell>
        </row>
        <row r="289">
          <cell r="C289" t="str">
            <v>L212</v>
          </cell>
          <cell r="D289">
            <v>0.5</v>
          </cell>
          <cell r="E289">
            <v>267.62</v>
          </cell>
          <cell r="F289">
            <v>20</v>
          </cell>
          <cell r="G289">
            <v>5352</v>
          </cell>
          <cell r="H289">
            <v>1338</v>
          </cell>
          <cell r="J289" t="str">
            <v>空档</v>
          </cell>
        </row>
        <row r="290">
          <cell r="C290" t="str">
            <v>L213</v>
          </cell>
          <cell r="D290">
            <v>0.5</v>
          </cell>
          <cell r="E290">
            <v>162</v>
          </cell>
          <cell r="F290">
            <v>20</v>
          </cell>
          <cell r="G290">
            <v>3240</v>
          </cell>
          <cell r="H290">
            <v>810</v>
          </cell>
          <cell r="J290" t="str">
            <v>空档</v>
          </cell>
        </row>
        <row r="291">
          <cell r="C291" t="str">
            <v>L213A</v>
          </cell>
          <cell r="D291">
            <v>0.5</v>
          </cell>
          <cell r="E291">
            <v>138</v>
          </cell>
          <cell r="F291">
            <v>20</v>
          </cell>
          <cell r="G291">
            <v>2760</v>
          </cell>
          <cell r="H291">
            <v>690</v>
          </cell>
          <cell r="I291" t="str">
            <v>柯少玲</v>
          </cell>
          <cell r="K291" t="str">
            <v>签补充协议</v>
          </cell>
          <cell r="L291" t="str">
            <v>25.12.16已收押6210，2月首月租2070管690</v>
          </cell>
          <cell r="M291" t="str">
            <v>L213A</v>
          </cell>
          <cell r="N291" t="str">
            <v>仓储</v>
          </cell>
          <cell r="O291">
            <v>46022</v>
          </cell>
          <cell r="P291">
            <v>46023</v>
          </cell>
          <cell r="Q291">
            <v>47118</v>
          </cell>
          <cell r="R291">
            <v>46054</v>
          </cell>
        </row>
        <row r="292">
          <cell r="C292" t="str">
            <v>L215</v>
          </cell>
          <cell r="D292">
            <v>0.5</v>
          </cell>
          <cell r="E292">
            <v>155</v>
          </cell>
          <cell r="F292">
            <v>20</v>
          </cell>
          <cell r="G292">
            <v>3100</v>
          </cell>
          <cell r="H292">
            <v>775</v>
          </cell>
          <cell r="J292" t="str">
            <v>空档</v>
          </cell>
        </row>
        <row r="293">
          <cell r="C293" t="str">
            <v>L216</v>
          </cell>
          <cell r="D293">
            <v>0.5</v>
          </cell>
          <cell r="E293">
            <v>340</v>
          </cell>
          <cell r="F293">
            <v>20</v>
          </cell>
          <cell r="G293">
            <v>6800</v>
          </cell>
          <cell r="H293">
            <v>1700</v>
          </cell>
          <cell r="I293" t="str">
            <v>蔡龙豹</v>
          </cell>
          <cell r="J293" t="str">
            <v>空档</v>
          </cell>
          <cell r="K293" t="str">
            <v>公摊0.65/度，消防保证金未收</v>
          </cell>
          <cell r="L293" t="str">
            <v>25.1.16已收押22440,2.20-3.19租5780管1700</v>
          </cell>
          <cell r="M293" t="str">
            <v>L216</v>
          </cell>
          <cell r="P293">
            <v>46042</v>
          </cell>
          <cell r="Q293">
            <v>46771</v>
          </cell>
          <cell r="R293">
            <v>46073</v>
          </cell>
        </row>
        <row r="294">
          <cell r="C294" t="str">
            <v>M101</v>
          </cell>
          <cell r="D294">
            <v>0.5</v>
          </cell>
          <cell r="E294">
            <v>65</v>
          </cell>
          <cell r="F294">
            <v>50</v>
          </cell>
          <cell r="G294">
            <v>3250</v>
          </cell>
          <cell r="H294">
            <v>650</v>
          </cell>
          <cell r="J294" t="str">
            <v>空档</v>
          </cell>
        </row>
        <row r="295">
          <cell r="C295" t="str">
            <v>M102</v>
          </cell>
          <cell r="D295">
            <v>0.5</v>
          </cell>
          <cell r="E295">
            <v>114</v>
          </cell>
          <cell r="F295">
            <v>50</v>
          </cell>
          <cell r="G295">
            <v>5700</v>
          </cell>
          <cell r="H295">
            <v>1140</v>
          </cell>
          <cell r="J295" t="str">
            <v>空档</v>
          </cell>
          <cell r="L295" t="str">
            <v>25.9.16交定金5千</v>
          </cell>
        </row>
        <row r="296">
          <cell r="C296" t="str">
            <v>M103</v>
          </cell>
          <cell r="D296">
            <v>0.5</v>
          </cell>
          <cell r="E296">
            <v>46</v>
          </cell>
          <cell r="F296">
            <v>50</v>
          </cell>
          <cell r="G296">
            <v>2300</v>
          </cell>
          <cell r="H296">
            <v>460</v>
          </cell>
          <cell r="I296" t="str">
            <v>翁燕莎</v>
          </cell>
          <cell r="K296" t="str">
            <v>报告首月租金打6折</v>
          </cell>
          <cell r="L296" t="str">
            <v>25.10.23已收押33120,首月2月租9200管1840</v>
          </cell>
          <cell r="M296" t="str">
            <v>M103/103A/105/106</v>
          </cell>
          <cell r="N296" t="str">
            <v>服装</v>
          </cell>
          <cell r="O296">
            <v>45952</v>
          </cell>
          <cell r="P296">
            <v>45962</v>
          </cell>
          <cell r="Q296">
            <v>47057</v>
          </cell>
          <cell r="R296">
            <v>46054</v>
          </cell>
        </row>
        <row r="297">
          <cell r="C297" t="str">
            <v>M103A</v>
          </cell>
          <cell r="D297">
            <v>0.5</v>
          </cell>
          <cell r="E297">
            <v>46</v>
          </cell>
          <cell r="F297">
            <v>50</v>
          </cell>
          <cell r="G297">
            <v>2300</v>
          </cell>
          <cell r="H297">
            <v>460</v>
          </cell>
          <cell r="I297" t="str">
            <v>翁燕莎</v>
          </cell>
          <cell r="M297" t="str">
            <v>M103/103A/105/106</v>
          </cell>
          <cell r="N297" t="str">
            <v>服装</v>
          </cell>
          <cell r="O297">
            <v>45952</v>
          </cell>
          <cell r="P297">
            <v>45962</v>
          </cell>
          <cell r="Q297">
            <v>47057</v>
          </cell>
          <cell r="R297">
            <v>46054</v>
          </cell>
        </row>
        <row r="298">
          <cell r="C298" t="str">
            <v>M105</v>
          </cell>
          <cell r="D298">
            <v>0.5</v>
          </cell>
          <cell r="E298">
            <v>46</v>
          </cell>
          <cell r="F298">
            <v>50</v>
          </cell>
          <cell r="G298">
            <v>2300</v>
          </cell>
          <cell r="H298">
            <v>460</v>
          </cell>
          <cell r="I298" t="str">
            <v>翁燕莎</v>
          </cell>
          <cell r="M298" t="str">
            <v>M103/103A/105/106</v>
          </cell>
          <cell r="N298" t="str">
            <v>服装</v>
          </cell>
          <cell r="O298">
            <v>45952</v>
          </cell>
          <cell r="P298">
            <v>45962</v>
          </cell>
          <cell r="Q298">
            <v>47057</v>
          </cell>
          <cell r="R298">
            <v>46054</v>
          </cell>
        </row>
        <row r="299">
          <cell r="C299" t="str">
            <v>M106</v>
          </cell>
          <cell r="D299">
            <v>0.5</v>
          </cell>
          <cell r="E299">
            <v>46</v>
          </cell>
          <cell r="F299">
            <v>50</v>
          </cell>
          <cell r="G299">
            <v>2300</v>
          </cell>
          <cell r="H299">
            <v>460</v>
          </cell>
          <cell r="I299" t="str">
            <v>翁燕莎</v>
          </cell>
          <cell r="M299" t="str">
            <v>M103/103A/105/106</v>
          </cell>
          <cell r="N299" t="str">
            <v>服装</v>
          </cell>
          <cell r="O299">
            <v>45952</v>
          </cell>
          <cell r="P299">
            <v>45962</v>
          </cell>
          <cell r="Q299">
            <v>47057</v>
          </cell>
          <cell r="R299">
            <v>46054</v>
          </cell>
        </row>
        <row r="300">
          <cell r="C300" t="str">
            <v>M107</v>
          </cell>
          <cell r="D300">
            <v>0.5</v>
          </cell>
          <cell r="E300">
            <v>46</v>
          </cell>
          <cell r="F300">
            <v>50</v>
          </cell>
          <cell r="G300">
            <v>2300</v>
          </cell>
          <cell r="H300">
            <v>460</v>
          </cell>
          <cell r="J300" t="str">
            <v>空档</v>
          </cell>
          <cell r="M300" t="str">
            <v>M106/107</v>
          </cell>
          <cell r="N300" t="str">
            <v>童装</v>
          </cell>
        </row>
        <row r="301">
          <cell r="C301" t="str">
            <v>M108</v>
          </cell>
          <cell r="D301">
            <v>0.5</v>
          </cell>
          <cell r="E301">
            <v>46</v>
          </cell>
          <cell r="F301">
            <v>50</v>
          </cell>
          <cell r="G301">
            <v>2300</v>
          </cell>
          <cell r="H301">
            <v>460</v>
          </cell>
          <cell r="J301" t="str">
            <v>空档</v>
          </cell>
        </row>
        <row r="302">
          <cell r="C302" t="str">
            <v>M109</v>
          </cell>
          <cell r="D302">
            <v>0.5</v>
          </cell>
          <cell r="E302">
            <v>46</v>
          </cell>
          <cell r="F302">
            <v>50</v>
          </cell>
          <cell r="G302">
            <v>2300</v>
          </cell>
          <cell r="H302">
            <v>460</v>
          </cell>
          <cell r="J302" t="str">
            <v>空档</v>
          </cell>
        </row>
        <row r="303">
          <cell r="C303" t="str">
            <v>M110</v>
          </cell>
          <cell r="D303">
            <v>0.5</v>
          </cell>
          <cell r="E303">
            <v>46</v>
          </cell>
          <cell r="F303">
            <v>50</v>
          </cell>
          <cell r="G303">
            <v>2300</v>
          </cell>
          <cell r="H303">
            <v>460</v>
          </cell>
          <cell r="J303" t="str">
            <v>空档</v>
          </cell>
        </row>
        <row r="304">
          <cell r="C304" t="str">
            <v>M111</v>
          </cell>
          <cell r="D304">
            <v>0.5</v>
          </cell>
          <cell r="E304">
            <v>46</v>
          </cell>
          <cell r="F304">
            <v>50</v>
          </cell>
          <cell r="G304">
            <v>2300</v>
          </cell>
          <cell r="H304">
            <v>460</v>
          </cell>
          <cell r="J304" t="str">
            <v>空档</v>
          </cell>
        </row>
        <row r="305">
          <cell r="C305" t="str">
            <v>M112/113/113A</v>
          </cell>
          <cell r="D305">
            <v>0.5</v>
          </cell>
          <cell r="E305">
            <v>150</v>
          </cell>
          <cell r="F305">
            <v>50</v>
          </cell>
          <cell r="G305">
            <v>7500</v>
          </cell>
          <cell r="H305">
            <v>1500</v>
          </cell>
          <cell r="I305" t="str">
            <v>张爱莲</v>
          </cell>
          <cell r="K305" t="str">
            <v>未交齐</v>
          </cell>
          <cell r="M305" t="str">
            <v>M112/113/113A</v>
          </cell>
          <cell r="N305" t="str">
            <v>童装</v>
          </cell>
          <cell r="O305">
            <v>45931</v>
          </cell>
          <cell r="P305">
            <v>45931</v>
          </cell>
          <cell r="Q305">
            <v>47026</v>
          </cell>
          <cell r="R305">
            <v>46296</v>
          </cell>
        </row>
        <row r="306">
          <cell r="C306" t="str">
            <v>M115</v>
          </cell>
          <cell r="D306">
            <v>0.5</v>
          </cell>
          <cell r="E306">
            <v>46</v>
          </cell>
          <cell r="F306">
            <v>50</v>
          </cell>
          <cell r="G306">
            <v>2300</v>
          </cell>
          <cell r="H306">
            <v>460</v>
          </cell>
          <cell r="J306" t="str">
            <v>空档</v>
          </cell>
        </row>
        <row r="307">
          <cell r="C307" t="str">
            <v>M116</v>
          </cell>
          <cell r="D307">
            <v>0.5</v>
          </cell>
          <cell r="E307">
            <v>46</v>
          </cell>
          <cell r="F307">
            <v>50</v>
          </cell>
          <cell r="G307">
            <v>2300</v>
          </cell>
          <cell r="H307">
            <v>460</v>
          </cell>
          <cell r="J307" t="str">
            <v>空档</v>
          </cell>
        </row>
        <row r="308">
          <cell r="C308" t="str">
            <v>M117</v>
          </cell>
          <cell r="D308">
            <v>0.5</v>
          </cell>
          <cell r="E308">
            <v>46</v>
          </cell>
          <cell r="F308">
            <v>50</v>
          </cell>
          <cell r="G308">
            <v>2300</v>
          </cell>
          <cell r="H308">
            <v>460</v>
          </cell>
          <cell r="J308" t="str">
            <v>空档</v>
          </cell>
        </row>
        <row r="309">
          <cell r="C309" t="str">
            <v>M118</v>
          </cell>
          <cell r="D309">
            <v>0.5</v>
          </cell>
          <cell r="E309">
            <v>46</v>
          </cell>
          <cell r="F309">
            <v>50</v>
          </cell>
          <cell r="G309">
            <v>2300</v>
          </cell>
          <cell r="H309">
            <v>460</v>
          </cell>
          <cell r="J309" t="str">
            <v>空档</v>
          </cell>
        </row>
        <row r="310">
          <cell r="C310" t="str">
            <v>M119</v>
          </cell>
          <cell r="D310">
            <v>0.5</v>
          </cell>
          <cell r="E310">
            <v>46</v>
          </cell>
          <cell r="F310">
            <v>50</v>
          </cell>
          <cell r="G310">
            <v>2300</v>
          </cell>
          <cell r="H310">
            <v>460</v>
          </cell>
          <cell r="J310" t="str">
            <v>空档</v>
          </cell>
        </row>
        <row r="311">
          <cell r="C311" t="str">
            <v>M120/121</v>
          </cell>
          <cell r="D311">
            <v>0.5</v>
          </cell>
          <cell r="E311">
            <v>92</v>
          </cell>
          <cell r="F311">
            <v>50</v>
          </cell>
          <cell r="G311">
            <v>4600</v>
          </cell>
          <cell r="H311">
            <v>920</v>
          </cell>
          <cell r="J311" t="str">
            <v>空档</v>
          </cell>
        </row>
        <row r="312">
          <cell r="C312" t="str">
            <v>M122</v>
          </cell>
          <cell r="D312">
            <v>0.5</v>
          </cell>
          <cell r="E312">
            <v>46</v>
          </cell>
          <cell r="F312">
            <v>50</v>
          </cell>
          <cell r="G312">
            <v>2300</v>
          </cell>
          <cell r="H312">
            <v>460</v>
          </cell>
          <cell r="I312" t="str">
            <v>任泽兴</v>
          </cell>
          <cell r="L312" t="str">
            <v>25.10.23已收押6900，8月首月租2300管460</v>
          </cell>
          <cell r="M312" t="str">
            <v>M122</v>
          </cell>
          <cell r="N312" t="str">
            <v>童装</v>
          </cell>
          <cell r="O312">
            <v>45954</v>
          </cell>
          <cell r="P312">
            <v>45870</v>
          </cell>
          <cell r="Q312">
            <v>46965</v>
          </cell>
          <cell r="R312">
            <v>46235</v>
          </cell>
        </row>
        <row r="313">
          <cell r="C313" t="str">
            <v>M123/123A/125</v>
          </cell>
          <cell r="D313">
            <v>0.5</v>
          </cell>
          <cell r="E313">
            <v>158</v>
          </cell>
          <cell r="F313">
            <v>50</v>
          </cell>
          <cell r="G313">
            <v>7900</v>
          </cell>
          <cell r="H313">
            <v>1580</v>
          </cell>
          <cell r="I313" t="str">
            <v>邵怡欣</v>
          </cell>
          <cell r="L313" t="str">
            <v>26.2.4已收押23700,10月租7900管1580</v>
          </cell>
          <cell r="M313" t="str">
            <v>M123/123A/125</v>
          </cell>
          <cell r="N313" t="str">
            <v>童装</v>
          </cell>
          <cell r="O313">
            <v>45931</v>
          </cell>
          <cell r="P313">
            <v>45931</v>
          </cell>
          <cell r="Q313">
            <v>47026</v>
          </cell>
          <cell r="R313">
            <v>46296</v>
          </cell>
        </row>
        <row r="314">
          <cell r="C314" t="str">
            <v>N101/102/103</v>
          </cell>
          <cell r="D314">
            <v>0.5</v>
          </cell>
          <cell r="E314">
            <v>138</v>
          </cell>
          <cell r="F314">
            <v>50</v>
          </cell>
          <cell r="G314">
            <v>6900</v>
          </cell>
          <cell r="H314">
            <v>1380</v>
          </cell>
          <cell r="I314" t="str">
            <v>陈明忠</v>
          </cell>
          <cell r="J314" t="str">
            <v>空档</v>
          </cell>
          <cell r="K314" t="str">
            <v>欠免租6个月报告，第二页收款账户错</v>
          </cell>
          <cell r="L314" t="str">
            <v>26.1.22已收押24840,8月首月租6900管1380</v>
          </cell>
          <cell r="M314" t="str">
            <v>N101/102/103</v>
          </cell>
          <cell r="N314" t="str">
            <v>女装</v>
          </cell>
          <cell r="O314">
            <v>46044</v>
          </cell>
          <cell r="P314">
            <v>46054</v>
          </cell>
          <cell r="Q314">
            <v>47149</v>
          </cell>
          <cell r="R314">
            <v>46235</v>
          </cell>
        </row>
        <row r="315">
          <cell r="C315" t="str">
            <v>N103A</v>
          </cell>
          <cell r="D315">
            <v>0.5</v>
          </cell>
          <cell r="E315">
            <v>44</v>
          </cell>
          <cell r="F315">
            <v>50</v>
          </cell>
          <cell r="G315">
            <v>2200</v>
          </cell>
          <cell r="H315">
            <v>440</v>
          </cell>
          <cell r="J315" t="str">
            <v>空档</v>
          </cell>
        </row>
        <row r="316">
          <cell r="C316" t="str">
            <v>N105</v>
          </cell>
          <cell r="D316">
            <v>0.5</v>
          </cell>
          <cell r="E316">
            <v>44</v>
          </cell>
          <cell r="F316">
            <v>50</v>
          </cell>
          <cell r="G316">
            <v>2200</v>
          </cell>
          <cell r="H316">
            <v>440</v>
          </cell>
          <cell r="J316" t="str">
            <v>空档</v>
          </cell>
        </row>
        <row r="317">
          <cell r="C317" t="str">
            <v>N106</v>
          </cell>
          <cell r="D317">
            <v>0.5</v>
          </cell>
          <cell r="E317">
            <v>44</v>
          </cell>
          <cell r="F317">
            <v>50</v>
          </cell>
          <cell r="G317">
            <v>2200</v>
          </cell>
          <cell r="H317">
            <v>440</v>
          </cell>
          <cell r="J317" t="str">
            <v>空档</v>
          </cell>
        </row>
        <row r="318">
          <cell r="C318" t="str">
            <v>N107</v>
          </cell>
          <cell r="D318">
            <v>0.5</v>
          </cell>
          <cell r="E318">
            <v>44</v>
          </cell>
          <cell r="F318">
            <v>50</v>
          </cell>
          <cell r="G318">
            <v>2200</v>
          </cell>
          <cell r="H318">
            <v>440</v>
          </cell>
          <cell r="J318" t="str">
            <v>空档</v>
          </cell>
        </row>
        <row r="319">
          <cell r="C319" t="str">
            <v>N108</v>
          </cell>
          <cell r="D319">
            <v>0.5</v>
          </cell>
          <cell r="E319">
            <v>44</v>
          </cell>
          <cell r="F319">
            <v>50</v>
          </cell>
          <cell r="G319">
            <v>2200</v>
          </cell>
          <cell r="H319">
            <v>440</v>
          </cell>
          <cell r="J319" t="str">
            <v>空档</v>
          </cell>
        </row>
        <row r="320">
          <cell r="C320" t="str">
            <v>N109/110</v>
          </cell>
          <cell r="D320">
            <v>0.5</v>
          </cell>
          <cell r="E320">
            <v>88</v>
          </cell>
          <cell r="F320">
            <v>50</v>
          </cell>
          <cell r="G320">
            <v>4400</v>
          </cell>
          <cell r="H320">
            <v>880</v>
          </cell>
          <cell r="I320" t="str">
            <v>张海媚</v>
          </cell>
          <cell r="L320" t="str">
            <v>25.11.19已收押13200,10月首月租4400管880</v>
          </cell>
          <cell r="M320" t="str">
            <v>N109/110</v>
          </cell>
          <cell r="N320" t="str">
            <v>童装</v>
          </cell>
          <cell r="O320">
            <v>45848</v>
          </cell>
          <cell r="P320">
            <v>45931</v>
          </cell>
          <cell r="Q320">
            <v>47026</v>
          </cell>
          <cell r="R320">
            <v>46296</v>
          </cell>
        </row>
        <row r="321">
          <cell r="C321" t="str">
            <v>N111/112</v>
          </cell>
          <cell r="D321">
            <v>0.5</v>
          </cell>
          <cell r="E321">
            <v>107</v>
          </cell>
          <cell r="F321">
            <v>50</v>
          </cell>
          <cell r="G321">
            <v>5350</v>
          </cell>
          <cell r="H321">
            <v>1070</v>
          </cell>
          <cell r="I321" t="str">
            <v>招国利</v>
          </cell>
          <cell r="L321" t="str">
            <v>26.1.27已收押16050,10月首月租5350管1070</v>
          </cell>
          <cell r="M321" t="str">
            <v>N111/112</v>
          </cell>
          <cell r="N321" t="str">
            <v>童装</v>
          </cell>
          <cell r="O321">
            <v>45848</v>
          </cell>
          <cell r="P321">
            <v>45931</v>
          </cell>
          <cell r="Q321">
            <v>47026</v>
          </cell>
          <cell r="R321">
            <v>46296</v>
          </cell>
        </row>
        <row r="322">
          <cell r="C322" t="str">
            <v>N113/113A/114/115</v>
          </cell>
          <cell r="D322">
            <v>0.5</v>
          </cell>
          <cell r="E322">
            <v>177</v>
          </cell>
          <cell r="F322">
            <v>50</v>
          </cell>
          <cell r="G322">
            <v>8850</v>
          </cell>
          <cell r="H322">
            <v>1770</v>
          </cell>
          <cell r="J322" t="str">
            <v>空档</v>
          </cell>
        </row>
        <row r="323">
          <cell r="C323" t="str">
            <v>N116</v>
          </cell>
          <cell r="D323">
            <v>0.5</v>
          </cell>
          <cell r="E323">
            <v>44</v>
          </cell>
          <cell r="F323">
            <v>50</v>
          </cell>
          <cell r="G323">
            <v>2200</v>
          </cell>
          <cell r="H323">
            <v>440</v>
          </cell>
          <cell r="J323" t="str">
            <v>空档</v>
          </cell>
        </row>
        <row r="324">
          <cell r="C324" t="str">
            <v>N117</v>
          </cell>
          <cell r="D324">
            <v>0.5</v>
          </cell>
          <cell r="E324">
            <v>44</v>
          </cell>
          <cell r="F324">
            <v>50</v>
          </cell>
          <cell r="G324">
            <v>2200</v>
          </cell>
          <cell r="H324">
            <v>440</v>
          </cell>
          <cell r="J324" t="str">
            <v>空档</v>
          </cell>
          <cell r="M324" t="str">
            <v>N117/118</v>
          </cell>
        </row>
        <row r="325">
          <cell r="C325" t="str">
            <v>N118/119</v>
          </cell>
          <cell r="D325">
            <v>0.5</v>
          </cell>
          <cell r="E325">
            <v>88</v>
          </cell>
          <cell r="F325">
            <v>50</v>
          </cell>
          <cell r="G325">
            <v>4400</v>
          </cell>
          <cell r="H325">
            <v>880</v>
          </cell>
          <cell r="J325" t="str">
            <v>空档</v>
          </cell>
          <cell r="M325" t="str">
            <v>N117/118</v>
          </cell>
        </row>
        <row r="326">
          <cell r="C326" t="str">
            <v>N120/121</v>
          </cell>
          <cell r="D326">
            <v>0.5</v>
          </cell>
          <cell r="E326">
            <v>88</v>
          </cell>
          <cell r="F326">
            <v>50</v>
          </cell>
          <cell r="G326">
            <v>4400</v>
          </cell>
          <cell r="H326">
            <v>880</v>
          </cell>
          <cell r="I326" t="str">
            <v>王彦峰</v>
          </cell>
          <cell r="K326" t="str">
            <v>未交齐</v>
          </cell>
          <cell r="M326" t="str">
            <v>N120/121</v>
          </cell>
          <cell r="N326" t="str">
            <v>童装</v>
          </cell>
          <cell r="O326">
            <v>45848</v>
          </cell>
          <cell r="P326">
            <v>45931</v>
          </cell>
          <cell r="Q326">
            <v>47026</v>
          </cell>
          <cell r="R326">
            <v>46296</v>
          </cell>
        </row>
        <row r="327">
          <cell r="C327" t="str">
            <v>N122/123</v>
          </cell>
          <cell r="D327">
            <v>0.5</v>
          </cell>
          <cell r="E327">
            <v>105</v>
          </cell>
          <cell r="F327">
            <v>50</v>
          </cell>
          <cell r="G327">
            <v>5250</v>
          </cell>
          <cell r="H327">
            <v>1050</v>
          </cell>
          <cell r="I327" t="str">
            <v>欧玉莲</v>
          </cell>
          <cell r="L327" t="str">
            <v>25.10.29已收押15750，10月首月租7750管1550</v>
          </cell>
          <cell r="M327" t="str">
            <v>N122/123</v>
          </cell>
          <cell r="N327" t="str">
            <v>童装</v>
          </cell>
          <cell r="O327">
            <v>45848</v>
          </cell>
          <cell r="P327">
            <v>45931</v>
          </cell>
          <cell r="Q327">
            <v>47026</v>
          </cell>
          <cell r="R327">
            <v>46296</v>
          </cell>
        </row>
        <row r="328">
          <cell r="C328" t="str">
            <v>P101</v>
          </cell>
          <cell r="D328">
            <v>0.5</v>
          </cell>
          <cell r="E328">
            <v>52</v>
          </cell>
          <cell r="F328">
            <v>50</v>
          </cell>
          <cell r="G328">
            <v>2600</v>
          </cell>
          <cell r="H328">
            <v>520</v>
          </cell>
          <cell r="J328" t="str">
            <v>空档</v>
          </cell>
        </row>
        <row r="329">
          <cell r="C329" t="str">
            <v>P102</v>
          </cell>
          <cell r="D329">
            <v>0.5</v>
          </cell>
          <cell r="E329">
            <v>49</v>
          </cell>
          <cell r="F329">
            <v>50</v>
          </cell>
          <cell r="G329">
            <v>2450</v>
          </cell>
          <cell r="H329">
            <v>490</v>
          </cell>
          <cell r="J329" t="str">
            <v>空档</v>
          </cell>
        </row>
        <row r="330">
          <cell r="C330" t="str">
            <v>P103</v>
          </cell>
          <cell r="D330">
            <v>0.5</v>
          </cell>
          <cell r="E330">
            <v>47</v>
          </cell>
          <cell r="F330">
            <v>50</v>
          </cell>
          <cell r="G330">
            <v>2350</v>
          </cell>
          <cell r="H330">
            <v>470</v>
          </cell>
          <cell r="I330" t="str">
            <v>邓娟</v>
          </cell>
          <cell r="J330" t="str">
            <v>临租</v>
          </cell>
          <cell r="L330" t="str">
            <v>25.12.11已收押2800,12月租2800</v>
          </cell>
          <cell r="M330" t="str">
            <v>P103/103A/105</v>
          </cell>
          <cell r="N330" t="str">
            <v>仓库</v>
          </cell>
          <cell r="O330">
            <v>45935</v>
          </cell>
          <cell r="P330">
            <v>45992</v>
          </cell>
          <cell r="Q330">
            <v>46081</v>
          </cell>
          <cell r="R330">
            <v>45992</v>
          </cell>
        </row>
        <row r="331">
          <cell r="C331" t="str">
            <v>P103A</v>
          </cell>
          <cell r="D331">
            <v>0.5</v>
          </cell>
          <cell r="E331">
            <v>47</v>
          </cell>
          <cell r="F331">
            <v>50</v>
          </cell>
          <cell r="G331">
            <v>2350</v>
          </cell>
          <cell r="H331">
            <v>470</v>
          </cell>
          <cell r="I331" t="str">
            <v>邓娟</v>
          </cell>
          <cell r="J331" t="str">
            <v>临租</v>
          </cell>
          <cell r="M331" t="str">
            <v>P103/103A/105</v>
          </cell>
          <cell r="N331" t="str">
            <v>仓库</v>
          </cell>
          <cell r="O331">
            <v>45935</v>
          </cell>
          <cell r="P331">
            <v>45992</v>
          </cell>
          <cell r="Q331">
            <v>46081</v>
          </cell>
          <cell r="R331">
            <v>45992</v>
          </cell>
        </row>
        <row r="332">
          <cell r="C332" t="str">
            <v>P105</v>
          </cell>
          <cell r="D332">
            <v>0.5</v>
          </cell>
          <cell r="E332">
            <v>46</v>
          </cell>
          <cell r="F332">
            <v>50</v>
          </cell>
          <cell r="G332">
            <v>2300</v>
          </cell>
          <cell r="H332">
            <v>460</v>
          </cell>
          <cell r="I332" t="str">
            <v>邓娟</v>
          </cell>
          <cell r="J332" t="str">
            <v>临租</v>
          </cell>
          <cell r="M332" t="str">
            <v>P103/103A/105</v>
          </cell>
          <cell r="N332" t="str">
            <v>仓库</v>
          </cell>
          <cell r="O332">
            <v>45935</v>
          </cell>
          <cell r="P332">
            <v>45992</v>
          </cell>
          <cell r="Q332">
            <v>46081</v>
          </cell>
          <cell r="R332">
            <v>45992</v>
          </cell>
        </row>
        <row r="333">
          <cell r="C333" t="str">
            <v>P106/107/108/109</v>
          </cell>
          <cell r="D333">
            <v>0.5</v>
          </cell>
          <cell r="E333">
            <v>181</v>
          </cell>
          <cell r="F333">
            <v>50</v>
          </cell>
          <cell r="G333">
            <v>9050</v>
          </cell>
          <cell r="H333">
            <v>1810</v>
          </cell>
          <cell r="I333" t="str">
            <v>邓娟</v>
          </cell>
          <cell r="L333" t="str">
            <v>25.11.28已收押27150，10月首月租9050管1810</v>
          </cell>
          <cell r="M333" t="str">
            <v>P106/107/108/109</v>
          </cell>
          <cell r="N333" t="str">
            <v>童装</v>
          </cell>
          <cell r="O333">
            <v>45931</v>
          </cell>
          <cell r="P333">
            <v>45931</v>
          </cell>
          <cell r="Q333">
            <v>47026</v>
          </cell>
          <cell r="R333">
            <v>46296</v>
          </cell>
        </row>
        <row r="334">
          <cell r="C334" t="str">
            <v>P110/111</v>
          </cell>
          <cell r="D334">
            <v>0.5</v>
          </cell>
          <cell r="E334">
            <v>54</v>
          </cell>
          <cell r="F334">
            <v>50</v>
          </cell>
          <cell r="G334">
            <v>2700</v>
          </cell>
          <cell r="H334">
            <v>540</v>
          </cell>
          <cell r="I334" t="str">
            <v>刘丽霞</v>
          </cell>
          <cell r="L334" t="str">
            <v>25.11.20已收押14550,10月首月租4850管970</v>
          </cell>
          <cell r="M334" t="str">
            <v>P110/111</v>
          </cell>
          <cell r="N334" t="str">
            <v>童装</v>
          </cell>
          <cell r="O334">
            <v>45849</v>
          </cell>
          <cell r="P334">
            <v>45931</v>
          </cell>
          <cell r="Q334">
            <v>47026</v>
          </cell>
          <cell r="R334">
            <v>46296</v>
          </cell>
        </row>
        <row r="335">
          <cell r="C335" t="str">
            <v>P111</v>
          </cell>
          <cell r="D335">
            <v>0.5</v>
          </cell>
          <cell r="E335">
            <v>43</v>
          </cell>
          <cell r="F335">
            <v>50</v>
          </cell>
          <cell r="G335">
            <v>2150</v>
          </cell>
          <cell r="H335">
            <v>430</v>
          </cell>
          <cell r="I335" t="str">
            <v>刘丽霞</v>
          </cell>
          <cell r="M335" t="str">
            <v>P110/111</v>
          </cell>
          <cell r="N335" t="str">
            <v>童装</v>
          </cell>
          <cell r="O335">
            <v>45849</v>
          </cell>
          <cell r="P335">
            <v>45931</v>
          </cell>
          <cell r="Q335">
            <v>47026</v>
          </cell>
          <cell r="R335">
            <v>46296</v>
          </cell>
        </row>
        <row r="336">
          <cell r="C336" t="str">
            <v>P112/113</v>
          </cell>
          <cell r="D336">
            <v>0.5</v>
          </cell>
          <cell r="E336">
            <v>92</v>
          </cell>
          <cell r="F336">
            <v>50</v>
          </cell>
          <cell r="G336">
            <v>4600</v>
          </cell>
          <cell r="H336">
            <v>920</v>
          </cell>
          <cell r="I336" t="str">
            <v>余奇昂</v>
          </cell>
          <cell r="L336" t="str">
            <v>25.12.22已收押16560，5.22-6.21首月租4600管920</v>
          </cell>
          <cell r="M336" t="str">
            <v>P112/113</v>
          </cell>
          <cell r="N336" t="str">
            <v>女装</v>
          </cell>
          <cell r="O336">
            <v>46013</v>
          </cell>
          <cell r="P336">
            <v>46013</v>
          </cell>
          <cell r="Q336">
            <v>47108</v>
          </cell>
          <cell r="R336">
            <v>46164</v>
          </cell>
        </row>
        <row r="337">
          <cell r="C337" t="str">
            <v>P113A</v>
          </cell>
          <cell r="D337">
            <v>0.5</v>
          </cell>
          <cell r="E337">
            <v>44</v>
          </cell>
          <cell r="F337">
            <v>50</v>
          </cell>
          <cell r="G337">
            <v>2200</v>
          </cell>
          <cell r="H337">
            <v>440</v>
          </cell>
          <cell r="J337" t="str">
            <v>空档</v>
          </cell>
        </row>
        <row r="338">
          <cell r="C338" t="str">
            <v>P115</v>
          </cell>
          <cell r="D338">
            <v>0.5</v>
          </cell>
          <cell r="E338">
            <v>44</v>
          </cell>
          <cell r="F338">
            <v>50</v>
          </cell>
          <cell r="G338">
            <v>2200</v>
          </cell>
          <cell r="H338">
            <v>440</v>
          </cell>
          <cell r="J338" t="str">
            <v>空档</v>
          </cell>
        </row>
        <row r="339">
          <cell r="C339" t="str">
            <v>P116</v>
          </cell>
          <cell r="D339">
            <v>0.5</v>
          </cell>
          <cell r="E339">
            <v>44</v>
          </cell>
          <cell r="F339">
            <v>50</v>
          </cell>
          <cell r="G339">
            <v>2200</v>
          </cell>
          <cell r="H339">
            <v>440</v>
          </cell>
          <cell r="J339" t="str">
            <v>空档</v>
          </cell>
        </row>
        <row r="340">
          <cell r="C340" t="str">
            <v>P117</v>
          </cell>
          <cell r="D340">
            <v>0.5</v>
          </cell>
          <cell r="E340">
            <v>45</v>
          </cell>
          <cell r="F340">
            <v>50</v>
          </cell>
          <cell r="G340">
            <v>2250</v>
          </cell>
          <cell r="H340">
            <v>450</v>
          </cell>
          <cell r="J340" t="str">
            <v>空档</v>
          </cell>
        </row>
        <row r="341">
          <cell r="C341" t="str">
            <v>P118</v>
          </cell>
          <cell r="D341">
            <v>0.5</v>
          </cell>
          <cell r="E341">
            <v>44</v>
          </cell>
          <cell r="F341">
            <v>50</v>
          </cell>
          <cell r="G341">
            <v>2200</v>
          </cell>
          <cell r="H341">
            <v>440</v>
          </cell>
          <cell r="J341" t="str">
            <v>空档</v>
          </cell>
        </row>
        <row r="342">
          <cell r="C342" t="str">
            <v>P119</v>
          </cell>
          <cell r="D342">
            <v>0.5</v>
          </cell>
          <cell r="E342">
            <v>44</v>
          </cell>
          <cell r="F342">
            <v>50</v>
          </cell>
          <cell r="G342">
            <v>2200</v>
          </cell>
          <cell r="H342">
            <v>440</v>
          </cell>
          <cell r="J342" t="str">
            <v>空档</v>
          </cell>
        </row>
        <row r="343">
          <cell r="C343" t="str">
            <v>P120</v>
          </cell>
          <cell r="D343">
            <v>0.5</v>
          </cell>
          <cell r="E343">
            <v>44</v>
          </cell>
          <cell r="F343">
            <v>50</v>
          </cell>
          <cell r="G343">
            <v>2200</v>
          </cell>
          <cell r="H343">
            <v>440</v>
          </cell>
          <cell r="J343" t="str">
            <v>空档</v>
          </cell>
        </row>
        <row r="344">
          <cell r="C344" t="str">
            <v>P121/122/123</v>
          </cell>
          <cell r="D344">
            <v>0.5</v>
          </cell>
          <cell r="E344">
            <v>150</v>
          </cell>
          <cell r="F344">
            <v>50</v>
          </cell>
          <cell r="G344">
            <v>7500</v>
          </cell>
          <cell r="H344">
            <v>1500</v>
          </cell>
          <cell r="I344" t="str">
            <v>柯少玲</v>
          </cell>
          <cell r="L344" t="str">
            <v>25.11.4一收押22500，首月10月租7500管1500</v>
          </cell>
          <cell r="M344" t="str">
            <v>P121/122/123</v>
          </cell>
          <cell r="N344" t="str">
            <v>童装</v>
          </cell>
          <cell r="O344">
            <v>45848</v>
          </cell>
          <cell r="P344">
            <v>45931</v>
          </cell>
          <cell r="Q344">
            <v>47026</v>
          </cell>
          <cell r="R344">
            <v>46296</v>
          </cell>
        </row>
        <row r="345">
          <cell r="C345" t="str">
            <v>P123A</v>
          </cell>
          <cell r="D345">
            <v>0.5</v>
          </cell>
          <cell r="E345">
            <v>63</v>
          </cell>
          <cell r="F345">
            <v>50</v>
          </cell>
          <cell r="G345">
            <v>3150</v>
          </cell>
          <cell r="H345">
            <v>630</v>
          </cell>
          <cell r="I345" t="str">
            <v>邹海滨</v>
          </cell>
          <cell r="L345" t="str">
            <v>26.1.6已收押9450，8月首月租3150管630</v>
          </cell>
          <cell r="M345" t="str">
            <v>P123A</v>
          </cell>
          <cell r="N345" t="str">
            <v>童装</v>
          </cell>
          <cell r="O345">
            <v>46039</v>
          </cell>
          <cell r="P345">
            <v>46054</v>
          </cell>
          <cell r="Q345">
            <v>47149</v>
          </cell>
          <cell r="R345">
            <v>46235</v>
          </cell>
        </row>
        <row r="346">
          <cell r="C346" t="str">
            <v>P125</v>
          </cell>
          <cell r="D346">
            <v>0.5</v>
          </cell>
          <cell r="E346">
            <v>103</v>
          </cell>
          <cell r="F346">
            <v>50</v>
          </cell>
          <cell r="G346">
            <v>5150</v>
          </cell>
          <cell r="H346">
            <v>1030</v>
          </cell>
          <cell r="J346" t="str">
            <v>空档</v>
          </cell>
          <cell r="N346" t="str">
            <v>童装</v>
          </cell>
        </row>
        <row r="347">
          <cell r="C347" t="str">
            <v>P126</v>
          </cell>
          <cell r="D347">
            <v>0.5</v>
          </cell>
          <cell r="E347">
            <v>139</v>
          </cell>
          <cell r="F347">
            <v>50</v>
          </cell>
          <cell r="G347">
            <v>6950</v>
          </cell>
          <cell r="H347">
            <v>1390</v>
          </cell>
          <cell r="J347" t="str">
            <v>空档</v>
          </cell>
        </row>
        <row r="348">
          <cell r="C348" t="str">
            <v>P127</v>
          </cell>
          <cell r="D348">
            <v>0.5</v>
          </cell>
          <cell r="E348">
            <v>73</v>
          </cell>
          <cell r="F348">
            <v>50</v>
          </cell>
          <cell r="G348">
            <v>3650</v>
          </cell>
          <cell r="H348">
            <v>730</v>
          </cell>
          <cell r="J348" t="str">
            <v>空档</v>
          </cell>
        </row>
        <row r="349">
          <cell r="C349" t="str">
            <v>P128</v>
          </cell>
          <cell r="D349">
            <v>0.5</v>
          </cell>
          <cell r="E349">
            <v>120</v>
          </cell>
          <cell r="F349">
            <v>50</v>
          </cell>
          <cell r="G349">
            <v>6000</v>
          </cell>
          <cell r="H349">
            <v>1200</v>
          </cell>
          <cell r="J349" t="str">
            <v>空档</v>
          </cell>
        </row>
        <row r="350">
          <cell r="C350" t="str">
            <v>R101A</v>
          </cell>
          <cell r="D350">
            <v>0.5</v>
          </cell>
          <cell r="E350">
            <v>202</v>
          </cell>
          <cell r="F350">
            <v>50</v>
          </cell>
          <cell r="G350">
            <v>10100</v>
          </cell>
          <cell r="H350">
            <v>2020</v>
          </cell>
          <cell r="I350" t="str">
            <v>王峰</v>
          </cell>
          <cell r="L350" t="str">
            <v>26.1.18已收押28440,8月首月租9480管2020</v>
          </cell>
          <cell r="M350" t="str">
            <v>R101A</v>
          </cell>
          <cell r="O350">
            <v>46040</v>
          </cell>
          <cell r="P350">
            <v>46054</v>
          </cell>
          <cell r="Q350">
            <v>47149</v>
          </cell>
          <cell r="R350">
            <v>46235</v>
          </cell>
        </row>
        <row r="351">
          <cell r="C351" t="str">
            <v>R101</v>
          </cell>
          <cell r="D351">
            <v>0.5</v>
          </cell>
          <cell r="E351">
            <v>267</v>
          </cell>
          <cell r="F351">
            <v>50</v>
          </cell>
          <cell r="G351">
            <v>13350</v>
          </cell>
          <cell r="H351">
            <v>2670</v>
          </cell>
          <cell r="I351" t="str">
            <v>任宏亮</v>
          </cell>
          <cell r="K351" t="str">
            <v>外来童装商户，免租一年欠报告</v>
          </cell>
          <cell r="L351" t="str">
            <v>25.12.15已收押40050,首月10月租13350管2670</v>
          </cell>
          <cell r="M351" t="str">
            <v>R101</v>
          </cell>
          <cell r="N351" t="str">
            <v>童装</v>
          </cell>
          <cell r="O351">
            <v>45992</v>
          </cell>
          <cell r="P351">
            <v>45992</v>
          </cell>
          <cell r="Q351">
            <v>47087</v>
          </cell>
          <cell r="R351">
            <v>46296</v>
          </cell>
        </row>
        <row r="352">
          <cell r="C352" t="str">
            <v>R102/103</v>
          </cell>
          <cell r="D352">
            <v>0.5</v>
          </cell>
          <cell r="E352">
            <v>358</v>
          </cell>
          <cell r="F352">
            <v>50</v>
          </cell>
          <cell r="G352">
            <v>17900</v>
          </cell>
          <cell r="H352">
            <v>3580</v>
          </cell>
          <cell r="I352" t="str">
            <v>李华</v>
          </cell>
          <cell r="K352" t="str">
            <v>未交齐</v>
          </cell>
          <cell r="M352" t="str">
            <v>R102/103</v>
          </cell>
          <cell r="N352" t="str">
            <v>童装</v>
          </cell>
          <cell r="O352">
            <v>45992</v>
          </cell>
          <cell r="P352">
            <v>45992</v>
          </cell>
          <cell r="Q352">
            <v>47087</v>
          </cell>
          <cell r="R352">
            <v>46296</v>
          </cell>
        </row>
        <row r="353">
          <cell r="C353" t="str">
            <v>R103A</v>
          </cell>
          <cell r="D353">
            <v>0.5</v>
          </cell>
          <cell r="E353">
            <v>150</v>
          </cell>
          <cell r="F353">
            <v>50</v>
          </cell>
          <cell r="G353">
            <v>7500</v>
          </cell>
          <cell r="H353">
            <v>1500</v>
          </cell>
          <cell r="I353" t="str">
            <v>刘晓琼</v>
          </cell>
          <cell r="L353" t="str">
            <v>25.12.11已收押27000，首月6.15-7.14租7500管1500</v>
          </cell>
          <cell r="M353" t="str">
            <v>R103A</v>
          </cell>
          <cell r="N353" t="str">
            <v>童装</v>
          </cell>
          <cell r="O353">
            <v>46002</v>
          </cell>
          <cell r="P353">
            <v>46006</v>
          </cell>
          <cell r="Q353">
            <v>47101</v>
          </cell>
          <cell r="R353">
            <v>46188</v>
          </cell>
        </row>
        <row r="354">
          <cell r="C354" t="str">
            <v>R105</v>
          </cell>
          <cell r="D354">
            <v>0.5</v>
          </cell>
          <cell r="E354">
            <v>225</v>
          </cell>
          <cell r="F354">
            <v>50</v>
          </cell>
          <cell r="G354">
            <v>11250</v>
          </cell>
          <cell r="H354">
            <v>2250</v>
          </cell>
          <cell r="I354" t="str">
            <v>李文武</v>
          </cell>
          <cell r="K354" t="str">
            <v>=DISPIMG("ID_09855F97057343448A40C8A5C75466B0",1)</v>
          </cell>
          <cell r="L354" t="str">
            <v>25.12.22已收押33750,10月首月租11250管2250</v>
          </cell>
          <cell r="M354" t="str">
            <v>R105</v>
          </cell>
          <cell r="N354" t="str">
            <v>童装</v>
          </cell>
          <cell r="O354">
            <v>45941</v>
          </cell>
          <cell r="P354">
            <v>45962</v>
          </cell>
          <cell r="Q354">
            <v>47057</v>
          </cell>
          <cell r="R354">
            <v>46296</v>
          </cell>
        </row>
        <row r="355">
          <cell r="C355" t="str">
            <v>R106/107/108</v>
          </cell>
          <cell r="D355">
            <v>0.5</v>
          </cell>
          <cell r="E355">
            <v>626</v>
          </cell>
          <cell r="F355">
            <v>50</v>
          </cell>
          <cell r="G355">
            <v>31300</v>
          </cell>
          <cell r="H355">
            <v>6260</v>
          </cell>
          <cell r="I355" t="str">
            <v>石光清</v>
          </cell>
          <cell r="K355" t="str">
            <v>签补充协议转租优惠无效，免租期10个月（2025.12.10-2026.6.9、2027.2月、2028.2月、2029.2月、2030.2月）</v>
          </cell>
          <cell r="L355" t="str">
            <v>25.12.4已收押84510，6.10-7.9首月租21910管6260</v>
          </cell>
          <cell r="M355" t="str">
            <v>R106/107/108</v>
          </cell>
          <cell r="N355" t="str">
            <v>时装</v>
          </cell>
          <cell r="O355">
            <v>45995</v>
          </cell>
          <cell r="P355">
            <v>46001</v>
          </cell>
          <cell r="Q355">
            <v>48191</v>
          </cell>
          <cell r="R355">
            <v>46183</v>
          </cell>
        </row>
        <row r="356">
          <cell r="C356" t="str">
            <v>R109/110/111</v>
          </cell>
          <cell r="D356">
            <v>0.5</v>
          </cell>
          <cell r="E356">
            <v>305</v>
          </cell>
          <cell r="F356">
            <v>50</v>
          </cell>
          <cell r="G356">
            <v>15250</v>
          </cell>
          <cell r="H356">
            <v>3050</v>
          </cell>
          <cell r="I356" t="str">
            <v>陈长远</v>
          </cell>
          <cell r="L356" t="str">
            <v>25.11.27已收押45750，10月首月租15250管3050</v>
          </cell>
          <cell r="M356" t="str">
            <v>R109/110/111</v>
          </cell>
          <cell r="N356" t="str">
            <v>童装</v>
          </cell>
          <cell r="O356">
            <v>45940</v>
          </cell>
          <cell r="P356">
            <v>45931</v>
          </cell>
          <cell r="Q356">
            <v>47026</v>
          </cell>
          <cell r="R356">
            <v>46296</v>
          </cell>
        </row>
        <row r="357">
          <cell r="C357" t="str">
            <v>R109A</v>
          </cell>
          <cell r="D357">
            <v>0.5</v>
          </cell>
          <cell r="E357">
            <v>60</v>
          </cell>
          <cell r="F357">
            <v>50</v>
          </cell>
          <cell r="G357">
            <v>3000</v>
          </cell>
          <cell r="H357">
            <v>600</v>
          </cell>
          <cell r="I357" t="str">
            <v>赖云峰</v>
          </cell>
          <cell r="J357" t="str">
            <v>空档</v>
          </cell>
          <cell r="M357" t="str">
            <v>R109A</v>
          </cell>
          <cell r="P357">
            <v>46054</v>
          </cell>
          <cell r="Q357">
            <v>47149</v>
          </cell>
          <cell r="R357">
            <v>46113</v>
          </cell>
        </row>
        <row r="358">
          <cell r="C358" t="str">
            <v>R112/113</v>
          </cell>
          <cell r="D358">
            <v>0.5</v>
          </cell>
          <cell r="E358">
            <v>216</v>
          </cell>
          <cell r="F358">
            <v>50</v>
          </cell>
          <cell r="G358">
            <v>10800</v>
          </cell>
          <cell r="H358">
            <v>2160</v>
          </cell>
          <cell r="I358" t="str">
            <v>黄彪文</v>
          </cell>
          <cell r="K358" t="str">
            <v>未交齐</v>
          </cell>
          <cell r="L358" t="str">
            <v>25.11.30收黄彪文定金1万</v>
          </cell>
          <cell r="M358" t="str">
            <v>R112/113</v>
          </cell>
          <cell r="N358" t="str">
            <v>童装</v>
          </cell>
          <cell r="O358">
            <v>45992</v>
          </cell>
          <cell r="P358">
            <v>45931</v>
          </cell>
          <cell r="Q358">
            <v>47026</v>
          </cell>
          <cell r="R358">
            <v>46296</v>
          </cell>
        </row>
        <row r="359">
          <cell r="C359" t="str">
            <v>R113A</v>
          </cell>
          <cell r="D359">
            <v>0.5</v>
          </cell>
          <cell r="E359">
            <v>108</v>
          </cell>
          <cell r="F359">
            <v>50</v>
          </cell>
          <cell r="G359">
            <v>5400</v>
          </cell>
          <cell r="H359">
            <v>1080</v>
          </cell>
          <cell r="J359" t="str">
            <v>空档</v>
          </cell>
        </row>
        <row r="360">
          <cell r="C360" t="str">
            <v>R115</v>
          </cell>
          <cell r="D360">
            <v>0.5</v>
          </cell>
          <cell r="E360">
            <v>180.84</v>
          </cell>
          <cell r="F360">
            <v>50</v>
          </cell>
          <cell r="G360">
            <v>9042</v>
          </cell>
          <cell r="H360">
            <v>1808</v>
          </cell>
          <cell r="I360" t="str">
            <v>吕金凤</v>
          </cell>
          <cell r="K360" t="str">
            <v>申请免租及公摊6个月（2026/1/1-2026/6/30），免公摊期间电费按1.5元收取（2026/1/1-2026/6/30）</v>
          </cell>
          <cell r="L360" t="str">
            <v>26.1.14已收押32580，7月首月租9050管1810</v>
          </cell>
          <cell r="M360" t="str">
            <v>R115</v>
          </cell>
          <cell r="N360" t="str">
            <v>女装</v>
          </cell>
          <cell r="O360">
            <v>46037</v>
          </cell>
          <cell r="P360">
            <v>46023</v>
          </cell>
          <cell r="Q360">
            <v>47118</v>
          </cell>
          <cell r="R360">
            <v>46204</v>
          </cell>
        </row>
        <row r="361">
          <cell r="C361" t="str">
            <v>R201</v>
          </cell>
          <cell r="D361">
            <v>0.5</v>
          </cell>
          <cell r="E361">
            <v>119</v>
          </cell>
          <cell r="F361">
            <v>20</v>
          </cell>
          <cell r="G361">
            <v>2380</v>
          </cell>
          <cell r="H361">
            <v>595</v>
          </cell>
          <cell r="J361" t="str">
            <v>空档</v>
          </cell>
        </row>
        <row r="362">
          <cell r="C362" t="str">
            <v>R202</v>
          </cell>
          <cell r="D362">
            <v>0.5</v>
          </cell>
          <cell r="E362">
            <v>135</v>
          </cell>
          <cell r="F362">
            <v>20</v>
          </cell>
          <cell r="G362">
            <v>2700</v>
          </cell>
          <cell r="H362">
            <v>675</v>
          </cell>
          <cell r="J362" t="str">
            <v>空档</v>
          </cell>
        </row>
        <row r="363">
          <cell r="C363" t="str">
            <v>R203</v>
          </cell>
          <cell r="D363">
            <v>0.5</v>
          </cell>
          <cell r="E363">
            <v>100</v>
          </cell>
          <cell r="F363">
            <v>20</v>
          </cell>
          <cell r="G363">
            <v>2000</v>
          </cell>
          <cell r="H363">
            <v>500</v>
          </cell>
          <cell r="J363" t="str">
            <v>空档</v>
          </cell>
        </row>
        <row r="364">
          <cell r="C364" t="str">
            <v>R203A</v>
          </cell>
          <cell r="D364">
            <v>0.5</v>
          </cell>
          <cell r="E364">
            <v>131</v>
          </cell>
          <cell r="F364">
            <v>20</v>
          </cell>
          <cell r="G364">
            <v>2620</v>
          </cell>
          <cell r="H364">
            <v>655</v>
          </cell>
          <cell r="J364" t="str">
            <v>空档</v>
          </cell>
        </row>
        <row r="365">
          <cell r="C365" t="str">
            <v>R205</v>
          </cell>
          <cell r="D365">
            <v>0.5</v>
          </cell>
          <cell r="E365">
            <v>362</v>
          </cell>
          <cell r="F365">
            <v>20</v>
          </cell>
          <cell r="G365">
            <v>7240</v>
          </cell>
          <cell r="H365">
            <v>1810</v>
          </cell>
          <cell r="J365" t="str">
            <v>空档</v>
          </cell>
        </row>
        <row r="366">
          <cell r="C366" t="str">
            <v>R206/207</v>
          </cell>
          <cell r="D366">
            <v>0.5</v>
          </cell>
          <cell r="E366">
            <v>310</v>
          </cell>
          <cell r="F366">
            <v>20</v>
          </cell>
          <cell r="G366">
            <v>6200</v>
          </cell>
          <cell r="H366">
            <v>1550</v>
          </cell>
          <cell r="J366" t="str">
            <v>空档</v>
          </cell>
        </row>
        <row r="367">
          <cell r="C367" t="str">
            <v>R208</v>
          </cell>
          <cell r="D367">
            <v>0.5</v>
          </cell>
          <cell r="E367">
            <v>117</v>
          </cell>
          <cell r="F367">
            <v>20</v>
          </cell>
          <cell r="G367">
            <v>2340</v>
          </cell>
          <cell r="H367">
            <v>585</v>
          </cell>
          <cell r="J367" t="str">
            <v>空档</v>
          </cell>
        </row>
        <row r="368">
          <cell r="C368" t="str">
            <v>R209</v>
          </cell>
          <cell r="D368">
            <v>0.5</v>
          </cell>
          <cell r="E368">
            <v>114</v>
          </cell>
          <cell r="F368">
            <v>20</v>
          </cell>
          <cell r="G368">
            <v>2280</v>
          </cell>
          <cell r="H368">
            <v>570</v>
          </cell>
          <cell r="J368" t="str">
            <v>空档</v>
          </cell>
        </row>
        <row r="369">
          <cell r="C369" t="str">
            <v>R210</v>
          </cell>
          <cell r="D369">
            <v>0.5</v>
          </cell>
          <cell r="E369">
            <v>80</v>
          </cell>
          <cell r="F369">
            <v>20</v>
          </cell>
          <cell r="G369">
            <v>1600</v>
          </cell>
          <cell r="H369">
            <v>400</v>
          </cell>
          <cell r="J369" t="str">
            <v>空档</v>
          </cell>
        </row>
        <row r="370">
          <cell r="C370" t="str">
            <v>R211</v>
          </cell>
          <cell r="D370">
            <v>0.5</v>
          </cell>
          <cell r="E370">
            <v>112</v>
          </cell>
          <cell r="F370">
            <v>20</v>
          </cell>
          <cell r="G370">
            <v>2240</v>
          </cell>
          <cell r="H370">
            <v>560</v>
          </cell>
          <cell r="J370" t="str">
            <v>空档</v>
          </cell>
        </row>
        <row r="371">
          <cell r="C371" t="str">
            <v>R212</v>
          </cell>
          <cell r="D371">
            <v>0.5</v>
          </cell>
          <cell r="E371">
            <v>115</v>
          </cell>
          <cell r="F371">
            <v>20</v>
          </cell>
          <cell r="G371">
            <v>2300</v>
          </cell>
          <cell r="H371">
            <v>575</v>
          </cell>
          <cell r="J371" t="str">
            <v>空档</v>
          </cell>
        </row>
        <row r="372">
          <cell r="C372" t="str">
            <v>R213</v>
          </cell>
          <cell r="D372">
            <v>0.5</v>
          </cell>
          <cell r="E372">
            <v>185</v>
          </cell>
          <cell r="F372">
            <v>20</v>
          </cell>
          <cell r="G372">
            <v>3700</v>
          </cell>
          <cell r="H372">
            <v>925</v>
          </cell>
          <cell r="J372" t="str">
            <v>空档</v>
          </cell>
        </row>
        <row r="373">
          <cell r="C373" t="str">
            <v>R213A</v>
          </cell>
          <cell r="D373">
            <v>0.5</v>
          </cell>
          <cell r="E373">
            <v>133</v>
          </cell>
          <cell r="F373">
            <v>20</v>
          </cell>
          <cell r="G373">
            <v>2660</v>
          </cell>
          <cell r="H373">
            <v>665</v>
          </cell>
          <cell r="J373" t="str">
            <v>空档</v>
          </cell>
        </row>
        <row r="374">
          <cell r="C374" t="str">
            <v>R215</v>
          </cell>
          <cell r="D374">
            <v>0.5</v>
          </cell>
          <cell r="E374">
            <v>129</v>
          </cell>
          <cell r="F374">
            <v>20</v>
          </cell>
          <cell r="G374">
            <v>2580</v>
          </cell>
          <cell r="H374">
            <v>645</v>
          </cell>
          <cell r="J374" t="str">
            <v>空档</v>
          </cell>
        </row>
        <row r="375">
          <cell r="C375" t="str">
            <v>R216</v>
          </cell>
          <cell r="D375">
            <v>0.5</v>
          </cell>
          <cell r="E375">
            <v>129</v>
          </cell>
          <cell r="F375">
            <v>20</v>
          </cell>
          <cell r="G375">
            <v>2580</v>
          </cell>
          <cell r="H375">
            <v>645</v>
          </cell>
          <cell r="J375" t="str">
            <v>空档</v>
          </cell>
        </row>
        <row r="376">
          <cell r="C376" t="str">
            <v>R217</v>
          </cell>
          <cell r="D376">
            <v>0.5</v>
          </cell>
          <cell r="E376">
            <v>129</v>
          </cell>
          <cell r="F376">
            <v>20</v>
          </cell>
          <cell r="G376">
            <v>2580</v>
          </cell>
          <cell r="H376">
            <v>645</v>
          </cell>
          <cell r="J376" t="str">
            <v>空档</v>
          </cell>
        </row>
        <row r="377">
          <cell r="C377" t="str">
            <v>R218</v>
          </cell>
          <cell r="D377">
            <v>0.5</v>
          </cell>
          <cell r="E377">
            <v>129</v>
          </cell>
          <cell r="F377">
            <v>20</v>
          </cell>
          <cell r="G377">
            <v>2580</v>
          </cell>
          <cell r="H377">
            <v>645</v>
          </cell>
          <cell r="J377" t="str">
            <v>空档</v>
          </cell>
        </row>
        <row r="378">
          <cell r="C378" t="str">
            <v>R219</v>
          </cell>
          <cell r="D378">
            <v>0.5</v>
          </cell>
          <cell r="E378">
            <v>181</v>
          </cell>
          <cell r="F378">
            <v>20</v>
          </cell>
          <cell r="G378">
            <v>3620</v>
          </cell>
          <cell r="H378">
            <v>905</v>
          </cell>
          <cell r="I378" t="str">
            <v>吕金凤</v>
          </cell>
          <cell r="L378" t="str">
            <v>26.1.14已收押6420，7月首月租1235管905</v>
          </cell>
          <cell r="M378" t="str">
            <v>R219</v>
          </cell>
          <cell r="N378" t="str">
            <v>仓库</v>
          </cell>
          <cell r="P378">
            <v>46023</v>
          </cell>
          <cell r="Q378">
            <v>47118</v>
          </cell>
          <cell r="R378">
            <v>46204</v>
          </cell>
        </row>
        <row r="379">
          <cell r="I379" t="str">
            <v>广州博弘新能源有限公司</v>
          </cell>
          <cell r="M379" t="str">
            <v>广州博弘新能源有限公司</v>
          </cell>
          <cell r="O379">
            <v>45882</v>
          </cell>
          <cell r="P379">
            <v>45882</v>
          </cell>
          <cell r="Q379">
            <v>51360</v>
          </cell>
          <cell r="R379">
            <v>46004</v>
          </cell>
        </row>
        <row r="380">
          <cell r="E380">
            <v>59514.07</v>
          </cell>
        </row>
        <row r="381">
          <cell r="C381" t="str">
            <v>L217/218/219/220/221/222/223/223A/225/226/227/228/229/230/231/232/233/233A/235</v>
          </cell>
          <cell r="D381">
            <v>0.5</v>
          </cell>
          <cell r="E381">
            <v>2661.08</v>
          </cell>
          <cell r="I381" t="str">
            <v>奥莱</v>
          </cell>
          <cell r="P381">
            <v>46023</v>
          </cell>
          <cell r="Q381">
            <v>47118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025.4"/>
      <sheetName val="2025.5"/>
      <sheetName val="2025.6"/>
      <sheetName val="2025.7"/>
      <sheetName val="2025.8"/>
      <sheetName val="2025.9"/>
      <sheetName val="2025.10"/>
      <sheetName val="2025.11"/>
      <sheetName val="2025.12"/>
      <sheetName val="2026.1"/>
      <sheetName val="2026.2"/>
      <sheetName val="2026.3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4">
          <cell r="C4" t="str">
            <v>1A01</v>
          </cell>
          <cell r="D4">
            <v>40.770000000000003</v>
          </cell>
          <cell r="E4">
            <v>119</v>
          </cell>
          <cell r="F4">
            <v>105</v>
          </cell>
          <cell r="G4">
            <v>12495</v>
          </cell>
          <cell r="H4">
            <v>1190</v>
          </cell>
          <cell r="I4" t="str">
            <v>杨梅</v>
          </cell>
          <cell r="M4" t="str">
            <v>1A01</v>
          </cell>
          <cell r="N4" t="str">
            <v>月租</v>
          </cell>
          <cell r="O4">
            <v>45642</v>
          </cell>
          <cell r="P4">
            <v>45611</v>
          </cell>
          <cell r="Q4">
            <v>46705</v>
          </cell>
        </row>
        <row r="5">
          <cell r="C5" t="str">
            <v>1A02</v>
          </cell>
          <cell r="D5">
            <v>48</v>
          </cell>
          <cell r="E5">
            <v>97</v>
          </cell>
          <cell r="F5">
            <v>105</v>
          </cell>
          <cell r="G5">
            <v>10185</v>
          </cell>
          <cell r="H5">
            <v>970</v>
          </cell>
          <cell r="I5" t="str">
            <v>李亚楠</v>
          </cell>
          <cell r="M5" t="str">
            <v>1A02</v>
          </cell>
          <cell r="N5" t="str">
            <v>月租</v>
          </cell>
          <cell r="O5">
            <v>45617</v>
          </cell>
          <cell r="P5">
            <v>45611</v>
          </cell>
          <cell r="Q5">
            <v>46705</v>
          </cell>
        </row>
        <row r="6">
          <cell r="C6" t="str">
            <v>1A03</v>
          </cell>
          <cell r="D6">
            <v>45.44</v>
          </cell>
          <cell r="E6">
            <v>182</v>
          </cell>
          <cell r="F6">
            <v>105</v>
          </cell>
          <cell r="G6">
            <v>19110</v>
          </cell>
          <cell r="H6">
            <v>1820</v>
          </cell>
          <cell r="I6" t="str">
            <v>张国祥</v>
          </cell>
          <cell r="K6" t="str">
            <v>签补充协议，欠身份证</v>
          </cell>
          <cell r="L6" t="str">
            <v>25.4.25已收押62790，2025.6.1-2028.2.29预交款446640</v>
          </cell>
          <cell r="M6" t="str">
            <v>1A03/04</v>
          </cell>
          <cell r="N6" t="str">
            <v>月租</v>
          </cell>
          <cell r="O6">
            <v>45775</v>
          </cell>
          <cell r="P6">
            <v>45717</v>
          </cell>
          <cell r="Q6">
            <v>46812</v>
          </cell>
        </row>
        <row r="7">
          <cell r="C7" t="str">
            <v>1A04</v>
          </cell>
          <cell r="D7">
            <v>45.44</v>
          </cell>
          <cell r="F7">
            <v>105</v>
          </cell>
          <cell r="G7">
            <v>0</v>
          </cell>
          <cell r="H7">
            <v>0</v>
          </cell>
          <cell r="I7" t="str">
            <v>张国祥</v>
          </cell>
          <cell r="M7" t="str">
            <v>1A03/04</v>
          </cell>
          <cell r="N7" t="str">
            <v>月租</v>
          </cell>
          <cell r="O7">
            <v>45775</v>
          </cell>
          <cell r="P7">
            <v>45717</v>
          </cell>
          <cell r="Q7">
            <v>46812</v>
          </cell>
        </row>
        <row r="8">
          <cell r="C8" t="str">
            <v>1A05</v>
          </cell>
          <cell r="D8">
            <v>40.770000000000003</v>
          </cell>
          <cell r="E8">
            <v>76</v>
          </cell>
          <cell r="F8">
            <v>95</v>
          </cell>
          <cell r="G8">
            <v>7220</v>
          </cell>
          <cell r="H8">
            <v>760</v>
          </cell>
          <cell r="I8" t="str">
            <v>陈丹霞</v>
          </cell>
          <cell r="K8" t="str">
            <v>签补充协议</v>
          </cell>
          <cell r="L8" t="str">
            <v>25.4.28已收押13680，8月首月租3800管760</v>
          </cell>
          <cell r="M8" t="str">
            <v>1A05</v>
          </cell>
          <cell r="N8" t="str">
            <v>月租</v>
          </cell>
          <cell r="O8">
            <v>45778</v>
          </cell>
          <cell r="P8">
            <v>45778</v>
          </cell>
          <cell r="Q8">
            <v>46873</v>
          </cell>
        </row>
        <row r="9">
          <cell r="C9" t="str">
            <v>1A06</v>
          </cell>
          <cell r="D9">
            <v>40.74</v>
          </cell>
          <cell r="E9">
            <v>65</v>
          </cell>
          <cell r="F9">
            <v>90</v>
          </cell>
          <cell r="G9">
            <v>5580</v>
          </cell>
          <cell r="H9">
            <v>650</v>
          </cell>
          <cell r="I9" t="str">
            <v>潘坤尤</v>
          </cell>
          <cell r="L9" t="str">
            <v>26.1.15已收押12675,5月首月租3575管650</v>
          </cell>
          <cell r="M9" t="str">
            <v>1A06</v>
          </cell>
          <cell r="N9" t="str">
            <v>月租</v>
          </cell>
          <cell r="O9">
            <v>46037</v>
          </cell>
          <cell r="P9">
            <v>46054</v>
          </cell>
          <cell r="Q9">
            <v>47149</v>
          </cell>
        </row>
        <row r="10">
          <cell r="C10" t="str">
            <v>1A07</v>
          </cell>
          <cell r="D10">
            <v>30.3</v>
          </cell>
          <cell r="E10">
            <v>62</v>
          </cell>
          <cell r="F10">
            <v>90</v>
          </cell>
          <cell r="G10">
            <v>5580</v>
          </cell>
          <cell r="H10">
            <v>620</v>
          </cell>
          <cell r="I10" t="str">
            <v>王家明</v>
          </cell>
          <cell r="M10" t="str">
            <v>1A07</v>
          </cell>
          <cell r="N10" t="str">
            <v>月租</v>
          </cell>
          <cell r="O10">
            <v>45708</v>
          </cell>
          <cell r="P10">
            <v>45717</v>
          </cell>
          <cell r="Q10">
            <v>46811</v>
          </cell>
        </row>
        <row r="11">
          <cell r="C11" t="str">
            <v>1A08</v>
          </cell>
          <cell r="D11">
            <v>30.3</v>
          </cell>
          <cell r="E11">
            <v>62</v>
          </cell>
          <cell r="F11">
            <v>100</v>
          </cell>
          <cell r="G11">
            <v>6200</v>
          </cell>
          <cell r="H11">
            <v>620</v>
          </cell>
          <cell r="I11" t="str">
            <v>王家明</v>
          </cell>
          <cell r="M11" t="str">
            <v>1A08</v>
          </cell>
          <cell r="N11" t="str">
            <v>月租</v>
          </cell>
          <cell r="O11">
            <v>45708</v>
          </cell>
          <cell r="P11">
            <v>45717</v>
          </cell>
          <cell r="Q11">
            <v>46811</v>
          </cell>
        </row>
        <row r="12">
          <cell r="C12" t="str">
            <v>1A09</v>
          </cell>
          <cell r="D12">
            <v>41.77</v>
          </cell>
          <cell r="E12">
            <v>76</v>
          </cell>
          <cell r="F12">
            <v>95</v>
          </cell>
          <cell r="G12">
            <v>7220</v>
          </cell>
          <cell r="H12">
            <v>760</v>
          </cell>
          <cell r="I12" t="str">
            <v>杨凯</v>
          </cell>
          <cell r="K12" t="str">
            <v>签补充协议</v>
          </cell>
          <cell r="L12" t="str">
            <v>25.5.14已收押13680,9月首月租3800管760</v>
          </cell>
          <cell r="M12" t="str">
            <v>1A09</v>
          </cell>
          <cell r="N12" t="str">
            <v>月租</v>
          </cell>
          <cell r="O12">
            <v>45791</v>
          </cell>
          <cell r="P12">
            <v>45809</v>
          </cell>
          <cell r="Q12">
            <v>46904</v>
          </cell>
        </row>
        <row r="13">
          <cell r="C13" t="str">
            <v>1A10</v>
          </cell>
          <cell r="D13">
            <v>40.39</v>
          </cell>
          <cell r="E13">
            <v>80.78</v>
          </cell>
          <cell r="F13">
            <v>95</v>
          </cell>
          <cell r="G13">
            <v>7674</v>
          </cell>
          <cell r="H13">
            <v>808</v>
          </cell>
          <cell r="I13" t="str">
            <v>郎景</v>
          </cell>
          <cell r="M13" t="str">
            <v>1A10</v>
          </cell>
          <cell r="N13" t="str">
            <v>月租</v>
          </cell>
          <cell r="O13">
            <v>45613</v>
          </cell>
          <cell r="P13">
            <v>45611</v>
          </cell>
          <cell r="Q13">
            <v>46705</v>
          </cell>
        </row>
        <row r="14">
          <cell r="C14" t="str">
            <v>1A11</v>
          </cell>
          <cell r="D14">
            <v>27.2</v>
          </cell>
          <cell r="E14">
            <v>54</v>
          </cell>
          <cell r="F14">
            <v>85</v>
          </cell>
          <cell r="G14">
            <v>4590</v>
          </cell>
          <cell r="H14">
            <v>540</v>
          </cell>
          <cell r="I14" t="str">
            <v>苏清莹</v>
          </cell>
          <cell r="K14" t="str">
            <v>签补充协议</v>
          </cell>
          <cell r="M14" t="str">
            <v>1A11</v>
          </cell>
          <cell r="N14" t="str">
            <v>月租</v>
          </cell>
          <cell r="O14">
            <v>45703</v>
          </cell>
          <cell r="P14">
            <v>45703</v>
          </cell>
          <cell r="Q14">
            <v>46797</v>
          </cell>
        </row>
        <row r="15">
          <cell r="C15" t="str">
            <v>1A12</v>
          </cell>
          <cell r="D15">
            <v>27.2</v>
          </cell>
          <cell r="E15">
            <v>100</v>
          </cell>
          <cell r="F15">
            <v>85</v>
          </cell>
          <cell r="G15">
            <v>5015</v>
          </cell>
          <cell r="H15">
            <v>590</v>
          </cell>
          <cell r="I15" t="str">
            <v>孙小林</v>
          </cell>
          <cell r="L15" t="str">
            <v>25.11.22已收押29685，首月租8145管1810</v>
          </cell>
          <cell r="M15" t="str">
            <v>1A12/16</v>
          </cell>
          <cell r="N15" t="str">
            <v>时装</v>
          </cell>
          <cell r="O15">
            <v>45983</v>
          </cell>
          <cell r="P15">
            <v>45992</v>
          </cell>
          <cell r="Q15">
            <v>46721</v>
          </cell>
        </row>
        <row r="16">
          <cell r="C16" t="str">
            <v>1A13</v>
          </cell>
          <cell r="D16">
            <v>27.2</v>
          </cell>
          <cell r="E16">
            <v>53</v>
          </cell>
          <cell r="F16">
            <v>85</v>
          </cell>
          <cell r="G16">
            <v>4505</v>
          </cell>
          <cell r="H16">
            <v>530</v>
          </cell>
          <cell r="I16" t="str">
            <v>苏清莹</v>
          </cell>
          <cell r="K16" t="str">
            <v>签补充协议</v>
          </cell>
          <cell r="M16" t="str">
            <v>1A13</v>
          </cell>
          <cell r="N16" t="str">
            <v>月租</v>
          </cell>
          <cell r="O16">
            <v>45703</v>
          </cell>
          <cell r="P16">
            <v>45703</v>
          </cell>
          <cell r="Q16">
            <v>46797</v>
          </cell>
        </row>
        <row r="17">
          <cell r="C17" t="str">
            <v>1A14</v>
          </cell>
          <cell r="D17">
            <v>27.2</v>
          </cell>
          <cell r="F17">
            <v>85</v>
          </cell>
          <cell r="G17">
            <v>5015</v>
          </cell>
          <cell r="H17">
            <v>590</v>
          </cell>
          <cell r="J17" t="str">
            <v>空号</v>
          </cell>
          <cell r="M17" t="str">
            <v>1A14</v>
          </cell>
        </row>
        <row r="18">
          <cell r="C18" t="str">
            <v>1A15</v>
          </cell>
          <cell r="D18">
            <v>27.2</v>
          </cell>
          <cell r="E18">
            <v>55</v>
          </cell>
          <cell r="F18">
            <v>85</v>
          </cell>
          <cell r="G18">
            <v>4675</v>
          </cell>
          <cell r="H18">
            <v>550</v>
          </cell>
          <cell r="I18" t="str">
            <v>陈玲</v>
          </cell>
          <cell r="K18" t="str">
            <v>合同未给</v>
          </cell>
          <cell r="L18" t="str">
            <v>25.12.12已收押9075,首月5.12-6.11租2475管550，12.12-12.31管355</v>
          </cell>
          <cell r="M18" t="str">
            <v>1A15</v>
          </cell>
          <cell r="O18">
            <v>46002</v>
          </cell>
          <cell r="P18">
            <v>46003</v>
          </cell>
          <cell r="Q18">
            <v>46732</v>
          </cell>
        </row>
        <row r="19">
          <cell r="C19" t="str">
            <v>1A16</v>
          </cell>
          <cell r="D19">
            <v>27.2</v>
          </cell>
          <cell r="E19">
            <v>81</v>
          </cell>
          <cell r="F19">
            <v>85</v>
          </cell>
          <cell r="G19">
            <v>4930</v>
          </cell>
          <cell r="H19">
            <v>580</v>
          </cell>
          <cell r="I19" t="str">
            <v>孙小林</v>
          </cell>
          <cell r="M19" t="str">
            <v>1A12/16</v>
          </cell>
          <cell r="N19" t="str">
            <v>时装</v>
          </cell>
          <cell r="O19">
            <v>45983</v>
          </cell>
          <cell r="P19">
            <v>45992</v>
          </cell>
          <cell r="Q19">
            <v>46721</v>
          </cell>
        </row>
        <row r="20">
          <cell r="C20" t="str">
            <v>1A17</v>
          </cell>
          <cell r="D20">
            <v>27.2</v>
          </cell>
          <cell r="E20">
            <v>54</v>
          </cell>
          <cell r="F20">
            <v>85</v>
          </cell>
          <cell r="G20">
            <v>4590</v>
          </cell>
          <cell r="H20">
            <v>540</v>
          </cell>
          <cell r="J20" t="str">
            <v>空档</v>
          </cell>
          <cell r="M20" t="str">
            <v>1A17</v>
          </cell>
        </row>
        <row r="21">
          <cell r="C21" t="str">
            <v>1A18</v>
          </cell>
          <cell r="D21">
            <v>25.16</v>
          </cell>
          <cell r="E21">
            <v>53</v>
          </cell>
          <cell r="F21">
            <v>95</v>
          </cell>
          <cell r="G21">
            <v>5035</v>
          </cell>
          <cell r="H21">
            <v>530</v>
          </cell>
          <cell r="I21" t="str">
            <v>梁君杰</v>
          </cell>
          <cell r="K21" t="str">
            <v>免租期内收钱管理费公摊电费合计15元/㎡</v>
          </cell>
          <cell r="L21" t="str">
            <v>25.10.20已收押7950,2月租2120管530</v>
          </cell>
          <cell r="M21" t="str">
            <v>1A18</v>
          </cell>
          <cell r="O21">
            <v>45962</v>
          </cell>
          <cell r="P21">
            <v>45962</v>
          </cell>
          <cell r="Q21">
            <v>47057</v>
          </cell>
        </row>
        <row r="22">
          <cell r="C22" t="str">
            <v>1A19</v>
          </cell>
          <cell r="D22">
            <v>25.16</v>
          </cell>
          <cell r="E22">
            <v>50</v>
          </cell>
          <cell r="F22">
            <v>95</v>
          </cell>
          <cell r="G22">
            <v>4750</v>
          </cell>
          <cell r="H22">
            <v>500</v>
          </cell>
          <cell r="I22" t="str">
            <v>姚国威</v>
          </cell>
          <cell r="L22" t="str">
            <v>25.12.12已收押9000，首月1月租2500管500</v>
          </cell>
          <cell r="M22" t="str">
            <v>1A19</v>
          </cell>
          <cell r="O22">
            <v>46003</v>
          </cell>
          <cell r="P22">
            <v>46023</v>
          </cell>
          <cell r="Q22">
            <v>47118</v>
          </cell>
        </row>
        <row r="23">
          <cell r="C23" t="str">
            <v>1A20</v>
          </cell>
          <cell r="D23">
            <v>18</v>
          </cell>
          <cell r="E23">
            <v>36</v>
          </cell>
          <cell r="F23">
            <v>31</v>
          </cell>
          <cell r="G23">
            <v>1116</v>
          </cell>
          <cell r="H23">
            <v>360</v>
          </cell>
          <cell r="I23" t="str">
            <v>陈滢冰</v>
          </cell>
          <cell r="K23" t="str">
            <v>报告免租一个月</v>
          </cell>
          <cell r="M23" t="str">
            <v>1A20</v>
          </cell>
          <cell r="N23" t="str">
            <v>月租</v>
          </cell>
          <cell r="O23">
            <v>45723</v>
          </cell>
          <cell r="P23">
            <v>45723</v>
          </cell>
          <cell r="Q23">
            <v>46818</v>
          </cell>
        </row>
        <row r="24">
          <cell r="C24" t="str">
            <v>1A21</v>
          </cell>
          <cell r="D24">
            <v>21.2</v>
          </cell>
          <cell r="E24">
            <v>43</v>
          </cell>
          <cell r="F24">
            <v>90</v>
          </cell>
          <cell r="G24">
            <v>3870</v>
          </cell>
          <cell r="H24">
            <v>430</v>
          </cell>
          <cell r="J24" t="str">
            <v>空档</v>
          </cell>
          <cell r="M24" t="str">
            <v>1A21</v>
          </cell>
        </row>
        <row r="25">
          <cell r="C25" t="str">
            <v>1A22</v>
          </cell>
          <cell r="D25">
            <v>21.2</v>
          </cell>
          <cell r="E25">
            <v>47</v>
          </cell>
          <cell r="F25">
            <v>90</v>
          </cell>
          <cell r="G25">
            <v>4230</v>
          </cell>
          <cell r="H25">
            <v>470</v>
          </cell>
          <cell r="J25" t="str">
            <v>空档</v>
          </cell>
          <cell r="M25" t="str">
            <v>1A22</v>
          </cell>
        </row>
        <row r="26">
          <cell r="C26" t="str">
            <v>1A23</v>
          </cell>
          <cell r="D26">
            <v>21.2</v>
          </cell>
          <cell r="E26">
            <v>41</v>
          </cell>
          <cell r="F26">
            <v>90</v>
          </cell>
          <cell r="G26">
            <v>3690</v>
          </cell>
          <cell r="H26">
            <v>410</v>
          </cell>
          <cell r="J26" t="str">
            <v>空档</v>
          </cell>
          <cell r="M26" t="str">
            <v>1A23</v>
          </cell>
        </row>
        <row r="27">
          <cell r="C27" t="str">
            <v>1A24</v>
          </cell>
          <cell r="D27">
            <v>21.2</v>
          </cell>
          <cell r="E27">
            <v>47</v>
          </cell>
          <cell r="F27">
            <v>90</v>
          </cell>
          <cell r="G27">
            <v>4230</v>
          </cell>
          <cell r="H27">
            <v>470</v>
          </cell>
          <cell r="J27" t="str">
            <v>空档</v>
          </cell>
          <cell r="M27" t="str">
            <v>1A24</v>
          </cell>
        </row>
        <row r="28">
          <cell r="C28" t="str">
            <v>1A25</v>
          </cell>
          <cell r="D28">
            <v>39.01</v>
          </cell>
          <cell r="E28">
            <v>79</v>
          </cell>
          <cell r="F28">
            <v>95</v>
          </cell>
          <cell r="G28">
            <v>7505</v>
          </cell>
          <cell r="H28">
            <v>790</v>
          </cell>
          <cell r="I28" t="str">
            <v>吴达高</v>
          </cell>
          <cell r="K28" t="str">
            <v>签补充协议</v>
          </cell>
          <cell r="L28" t="str">
            <v>25.4.23已收押24885，2025.6.1-2028.2.29预交款175405</v>
          </cell>
          <cell r="M28" t="str">
            <v>1A25</v>
          </cell>
          <cell r="N28" t="str">
            <v>月租</v>
          </cell>
          <cell r="O28">
            <v>45771</v>
          </cell>
          <cell r="P28">
            <v>45717</v>
          </cell>
          <cell r="Q28">
            <v>46812</v>
          </cell>
        </row>
        <row r="29">
          <cell r="C29" t="str">
            <v>1A26</v>
          </cell>
          <cell r="D29">
            <v>25.44</v>
          </cell>
          <cell r="E29">
            <v>48</v>
          </cell>
          <cell r="F29">
            <v>85</v>
          </cell>
          <cell r="G29">
            <v>4080</v>
          </cell>
          <cell r="H29">
            <v>480</v>
          </cell>
          <cell r="I29" t="str">
            <v>吴达高</v>
          </cell>
          <cell r="K29" t="str">
            <v>首月租金打7折</v>
          </cell>
          <cell r="L29" t="str">
            <v>25.9.11已收押25365,12.15-1.14租7565管890</v>
          </cell>
          <cell r="M29" t="str">
            <v>1A26/28</v>
          </cell>
          <cell r="N29" t="str">
            <v>月租</v>
          </cell>
          <cell r="O29">
            <v>45911</v>
          </cell>
          <cell r="P29">
            <v>45915</v>
          </cell>
          <cell r="Q29">
            <v>47010</v>
          </cell>
        </row>
        <row r="30">
          <cell r="C30" t="str">
            <v>1A27</v>
          </cell>
          <cell r="D30">
            <v>33.200000000000003</v>
          </cell>
          <cell r="E30">
            <v>67</v>
          </cell>
          <cell r="F30">
            <v>85</v>
          </cell>
          <cell r="G30">
            <v>5695</v>
          </cell>
          <cell r="H30">
            <v>670</v>
          </cell>
          <cell r="I30" t="str">
            <v>吴达高</v>
          </cell>
          <cell r="K30" t="str">
            <v>签补充协议</v>
          </cell>
          <cell r="L30" t="str">
            <v>25.4.23已收押19095，2025.6.1-2028.2.29预交款133109</v>
          </cell>
          <cell r="M30" t="str">
            <v>1A27</v>
          </cell>
          <cell r="N30" t="str">
            <v>月租</v>
          </cell>
          <cell r="O30">
            <v>45774</v>
          </cell>
          <cell r="P30">
            <v>45717</v>
          </cell>
          <cell r="Q30">
            <v>46812</v>
          </cell>
        </row>
        <row r="31">
          <cell r="C31" t="str">
            <v>1A28</v>
          </cell>
          <cell r="D31">
            <v>21.2</v>
          </cell>
          <cell r="E31">
            <v>41</v>
          </cell>
          <cell r="F31">
            <v>85</v>
          </cell>
          <cell r="G31">
            <v>3485</v>
          </cell>
          <cell r="H31">
            <v>410</v>
          </cell>
          <cell r="I31" t="str">
            <v>吴达高</v>
          </cell>
          <cell r="M31" t="str">
            <v>1A26/28</v>
          </cell>
          <cell r="N31" t="str">
            <v>月租</v>
          </cell>
          <cell r="O31">
            <v>45911</v>
          </cell>
          <cell r="P31">
            <v>45915</v>
          </cell>
          <cell r="Q31">
            <v>47010</v>
          </cell>
        </row>
        <row r="32">
          <cell r="C32" t="str">
            <v>1A29</v>
          </cell>
          <cell r="D32">
            <v>33.200000000000003</v>
          </cell>
          <cell r="E32">
            <v>70</v>
          </cell>
          <cell r="F32">
            <v>85</v>
          </cell>
          <cell r="G32">
            <v>5950</v>
          </cell>
          <cell r="H32">
            <v>700</v>
          </cell>
          <cell r="I32" t="str">
            <v>王萌</v>
          </cell>
          <cell r="L32" t="str">
            <v>25.6.25已收押13650,10.10-11.9租3850管700</v>
          </cell>
          <cell r="M32" t="str">
            <v>1A29</v>
          </cell>
          <cell r="O32">
            <v>45833</v>
          </cell>
          <cell r="P32">
            <v>45848</v>
          </cell>
          <cell r="Q32">
            <v>46943</v>
          </cell>
        </row>
        <row r="33">
          <cell r="C33" t="str">
            <v>1A30</v>
          </cell>
          <cell r="D33">
            <v>21.2</v>
          </cell>
          <cell r="E33">
            <v>40</v>
          </cell>
          <cell r="F33">
            <v>85</v>
          </cell>
          <cell r="G33">
            <v>3400</v>
          </cell>
          <cell r="H33">
            <v>400</v>
          </cell>
          <cell r="J33" t="str">
            <v>空档</v>
          </cell>
          <cell r="M33" t="str">
            <v>1A30</v>
          </cell>
        </row>
        <row r="34">
          <cell r="C34" t="str">
            <v>1A31</v>
          </cell>
          <cell r="D34">
            <v>33.200000000000003</v>
          </cell>
          <cell r="E34">
            <v>71</v>
          </cell>
          <cell r="F34">
            <v>85</v>
          </cell>
          <cell r="G34">
            <v>6035</v>
          </cell>
          <cell r="H34">
            <v>710</v>
          </cell>
          <cell r="I34" t="str">
            <v>李晓慧</v>
          </cell>
          <cell r="K34" t="str">
            <v>合同未给</v>
          </cell>
          <cell r="L34" t="str">
            <v>26.1.16已收押43395,6月首月租11835管2630</v>
          </cell>
          <cell r="M34" t="str">
            <v>1A31/32/33/34/36</v>
          </cell>
          <cell r="O34">
            <v>46038</v>
          </cell>
          <cell r="P34">
            <v>46042</v>
          </cell>
          <cell r="Q34">
            <v>47137</v>
          </cell>
        </row>
        <row r="35">
          <cell r="C35" t="str">
            <v>1A32</v>
          </cell>
          <cell r="D35">
            <v>21.2</v>
          </cell>
          <cell r="E35">
            <v>43</v>
          </cell>
          <cell r="F35">
            <v>85</v>
          </cell>
          <cell r="G35">
            <v>3655</v>
          </cell>
          <cell r="H35">
            <v>430</v>
          </cell>
          <cell r="I35" t="str">
            <v>李晓慧</v>
          </cell>
          <cell r="M35" t="str">
            <v>A31/32/33/34/36</v>
          </cell>
          <cell r="O35">
            <v>46038</v>
          </cell>
          <cell r="P35">
            <v>46042</v>
          </cell>
          <cell r="Q35">
            <v>47137</v>
          </cell>
        </row>
        <row r="36">
          <cell r="C36" t="str">
            <v>1A33</v>
          </cell>
          <cell r="D36">
            <v>33.200000000000003</v>
          </cell>
          <cell r="E36">
            <v>70</v>
          </cell>
          <cell r="F36">
            <v>85</v>
          </cell>
          <cell r="G36">
            <v>5950</v>
          </cell>
          <cell r="H36">
            <v>700</v>
          </cell>
          <cell r="I36" t="str">
            <v>李晓慧</v>
          </cell>
          <cell r="M36" t="str">
            <v>A31/32/33/34/36</v>
          </cell>
          <cell r="O36">
            <v>46038</v>
          </cell>
          <cell r="P36">
            <v>46042</v>
          </cell>
          <cell r="Q36">
            <v>47137</v>
          </cell>
        </row>
        <row r="37">
          <cell r="C37" t="str">
            <v>1A34</v>
          </cell>
          <cell r="D37">
            <v>21.2</v>
          </cell>
          <cell r="E37">
            <v>39</v>
          </cell>
          <cell r="F37">
            <v>85</v>
          </cell>
          <cell r="G37">
            <v>3315</v>
          </cell>
          <cell r="H37">
            <v>390</v>
          </cell>
          <cell r="I37" t="str">
            <v>李晓慧</v>
          </cell>
          <cell r="M37" t="str">
            <v>A31/32/33/34/36</v>
          </cell>
          <cell r="O37">
            <v>46038</v>
          </cell>
          <cell r="P37">
            <v>46042</v>
          </cell>
          <cell r="Q37">
            <v>47137</v>
          </cell>
        </row>
        <row r="38">
          <cell r="C38" t="str">
            <v>1A36</v>
          </cell>
          <cell r="D38">
            <v>19.61</v>
          </cell>
          <cell r="E38">
            <v>40</v>
          </cell>
          <cell r="F38">
            <v>95</v>
          </cell>
          <cell r="G38">
            <v>3800</v>
          </cell>
          <cell r="H38">
            <v>400</v>
          </cell>
          <cell r="I38" t="str">
            <v>李晓慧</v>
          </cell>
          <cell r="M38" t="str">
            <v>A31/32/33/34/36</v>
          </cell>
          <cell r="O38">
            <v>46038</v>
          </cell>
          <cell r="P38">
            <v>46042</v>
          </cell>
          <cell r="Q38">
            <v>47137</v>
          </cell>
        </row>
        <row r="39">
          <cell r="C39" t="str">
            <v>1A35</v>
          </cell>
          <cell r="D39">
            <v>30.71</v>
          </cell>
          <cell r="E39">
            <v>65</v>
          </cell>
          <cell r="F39">
            <v>95</v>
          </cell>
          <cell r="G39">
            <v>6175</v>
          </cell>
          <cell r="H39">
            <v>650</v>
          </cell>
          <cell r="I39" t="str">
            <v>张如永</v>
          </cell>
          <cell r="K39" t="str">
            <v>合同未给</v>
          </cell>
          <cell r="L39" t="str">
            <v>25.12.11已收押9750，首月4.16-5.15租2600管650</v>
          </cell>
          <cell r="M39" t="str">
            <v>1A35</v>
          </cell>
          <cell r="O39">
            <v>46006</v>
          </cell>
          <cell r="P39">
            <v>46007</v>
          </cell>
          <cell r="Q39">
            <v>47102</v>
          </cell>
        </row>
        <row r="40">
          <cell r="C40" t="str">
            <v>1A37</v>
          </cell>
          <cell r="D40">
            <v>47.09</v>
          </cell>
          <cell r="E40">
            <v>97</v>
          </cell>
          <cell r="F40">
            <v>105</v>
          </cell>
          <cell r="G40">
            <v>10185</v>
          </cell>
          <cell r="H40">
            <v>970</v>
          </cell>
          <cell r="I40" t="str">
            <v>赵小毛</v>
          </cell>
          <cell r="M40" t="str">
            <v>1A37</v>
          </cell>
          <cell r="O40">
            <v>45635</v>
          </cell>
          <cell r="P40">
            <v>45658</v>
          </cell>
          <cell r="Q40">
            <v>47483</v>
          </cell>
        </row>
        <row r="41">
          <cell r="C41" t="str">
            <v>1A38</v>
          </cell>
          <cell r="D41">
            <v>70.290000000000006</v>
          </cell>
          <cell r="E41">
            <v>143</v>
          </cell>
          <cell r="F41">
            <v>85</v>
          </cell>
          <cell r="G41">
            <v>12155</v>
          </cell>
          <cell r="H41">
            <v>1430</v>
          </cell>
          <cell r="I41" t="str">
            <v>赵小毛</v>
          </cell>
          <cell r="M41" t="str">
            <v>1A38</v>
          </cell>
          <cell r="O41">
            <v>45635</v>
          </cell>
          <cell r="P41">
            <v>45658</v>
          </cell>
          <cell r="Q41">
            <v>47483</v>
          </cell>
        </row>
        <row r="42">
          <cell r="C42" t="str">
            <v>1A39</v>
          </cell>
          <cell r="D42">
            <v>31.4</v>
          </cell>
          <cell r="E42">
            <v>62</v>
          </cell>
          <cell r="F42">
            <v>100</v>
          </cell>
          <cell r="G42">
            <v>6200</v>
          </cell>
          <cell r="H42">
            <v>620</v>
          </cell>
          <cell r="I42" t="str">
            <v>于平东</v>
          </cell>
          <cell r="M42" t="str">
            <v>1A39/40</v>
          </cell>
          <cell r="N42" t="str">
            <v>月租</v>
          </cell>
          <cell r="O42">
            <v>45740</v>
          </cell>
          <cell r="P42">
            <v>45658</v>
          </cell>
          <cell r="Q42">
            <v>47483</v>
          </cell>
        </row>
        <row r="43">
          <cell r="C43" t="str">
            <v>1A40</v>
          </cell>
          <cell r="D43">
            <v>47.45</v>
          </cell>
          <cell r="E43">
            <v>94</v>
          </cell>
          <cell r="F43">
            <v>90</v>
          </cell>
          <cell r="G43">
            <v>8460</v>
          </cell>
          <cell r="H43">
            <v>940</v>
          </cell>
          <cell r="I43" t="str">
            <v>于平东</v>
          </cell>
          <cell r="M43" t="str">
            <v>1A39/40</v>
          </cell>
          <cell r="N43" t="str">
            <v>月租</v>
          </cell>
          <cell r="O43">
            <v>45740</v>
          </cell>
          <cell r="P43">
            <v>45658</v>
          </cell>
          <cell r="Q43">
            <v>47483</v>
          </cell>
        </row>
        <row r="44">
          <cell r="C44" t="str">
            <v>1A41</v>
          </cell>
          <cell r="D44">
            <v>22.22</v>
          </cell>
          <cell r="E44">
            <v>46</v>
          </cell>
          <cell r="F44">
            <v>105</v>
          </cell>
          <cell r="G44">
            <v>4830</v>
          </cell>
          <cell r="H44">
            <v>460</v>
          </cell>
          <cell r="I44" t="str">
            <v>于巧雯</v>
          </cell>
          <cell r="K44" t="str">
            <v>报告免租期一个半月</v>
          </cell>
          <cell r="M44" t="str">
            <v>1A41/51</v>
          </cell>
          <cell r="N44" t="str">
            <v>月租</v>
          </cell>
          <cell r="O44">
            <v>45719</v>
          </cell>
          <cell r="P44">
            <v>45721</v>
          </cell>
          <cell r="Q44">
            <v>46816</v>
          </cell>
        </row>
        <row r="45">
          <cell r="C45" t="str">
            <v>1A42</v>
          </cell>
          <cell r="D45">
            <v>38.69</v>
          </cell>
          <cell r="E45">
            <v>80</v>
          </cell>
          <cell r="F45">
            <v>95</v>
          </cell>
          <cell r="G45">
            <v>7600</v>
          </cell>
          <cell r="H45">
            <v>800</v>
          </cell>
          <cell r="I45" t="str">
            <v>于岩恒</v>
          </cell>
          <cell r="L45" t="str">
            <v>25.5.8已收押14040，首月租3900管780</v>
          </cell>
          <cell r="M45" t="str">
            <v>1A42</v>
          </cell>
          <cell r="O45">
            <v>45785</v>
          </cell>
          <cell r="P45">
            <v>45785</v>
          </cell>
          <cell r="Q45">
            <v>46880</v>
          </cell>
        </row>
        <row r="46">
          <cell r="C46" t="str">
            <v>1A43</v>
          </cell>
          <cell r="D46">
            <v>28.34</v>
          </cell>
          <cell r="E46">
            <v>56</v>
          </cell>
          <cell r="F46">
            <v>95</v>
          </cell>
          <cell r="G46">
            <v>5320</v>
          </cell>
          <cell r="H46">
            <v>560</v>
          </cell>
          <cell r="I46" t="str">
            <v>苏愉婷</v>
          </cell>
          <cell r="L46" t="str">
            <v>25.5.8已收押17640,2025.5.15-2028.2.14预交款124347</v>
          </cell>
          <cell r="M46" t="str">
            <v>1A43</v>
          </cell>
          <cell r="N46" t="str">
            <v>月租</v>
          </cell>
          <cell r="O46">
            <v>45783</v>
          </cell>
          <cell r="P46">
            <v>45703</v>
          </cell>
          <cell r="Q46">
            <v>46797</v>
          </cell>
        </row>
        <row r="47">
          <cell r="C47" t="str">
            <v>1A44</v>
          </cell>
          <cell r="D47">
            <v>24.12</v>
          </cell>
          <cell r="E47">
            <v>50</v>
          </cell>
          <cell r="F47">
            <v>85</v>
          </cell>
          <cell r="G47">
            <v>4250</v>
          </cell>
          <cell r="H47">
            <v>500</v>
          </cell>
          <cell r="I47" t="str">
            <v>苏愉婷</v>
          </cell>
          <cell r="L47" t="str">
            <v>25.5.8已收押14250,2025.5.15-2028.2.14预交款99329</v>
          </cell>
          <cell r="M47" t="str">
            <v>1A44</v>
          </cell>
          <cell r="N47" t="str">
            <v>月租</v>
          </cell>
          <cell r="O47">
            <v>45783</v>
          </cell>
          <cell r="P47">
            <v>45703</v>
          </cell>
          <cell r="Q47">
            <v>46797</v>
          </cell>
        </row>
        <row r="48">
          <cell r="C48" t="str">
            <v>1A45</v>
          </cell>
          <cell r="D48">
            <v>24.12</v>
          </cell>
          <cell r="E48">
            <v>50</v>
          </cell>
          <cell r="F48">
            <v>85</v>
          </cell>
          <cell r="G48">
            <v>4250</v>
          </cell>
          <cell r="H48">
            <v>500</v>
          </cell>
          <cell r="J48" t="str">
            <v>空档</v>
          </cell>
          <cell r="M48" t="str">
            <v>1A45</v>
          </cell>
        </row>
        <row r="49">
          <cell r="C49" t="str">
            <v>1A46</v>
          </cell>
          <cell r="D49">
            <v>25.39</v>
          </cell>
          <cell r="E49">
            <v>79</v>
          </cell>
          <cell r="F49">
            <v>95</v>
          </cell>
          <cell r="G49">
            <v>7505</v>
          </cell>
          <cell r="H49">
            <v>790</v>
          </cell>
          <cell r="J49" t="str">
            <v>空档</v>
          </cell>
          <cell r="M49" t="str">
            <v>1A46</v>
          </cell>
        </row>
        <row r="50">
          <cell r="C50" t="str">
            <v>1A47</v>
          </cell>
          <cell r="D50">
            <v>27.34</v>
          </cell>
          <cell r="E50">
            <v>59</v>
          </cell>
          <cell r="F50">
            <v>65</v>
          </cell>
          <cell r="G50">
            <v>3835</v>
          </cell>
          <cell r="H50">
            <v>590</v>
          </cell>
          <cell r="I50" t="str">
            <v>王龙</v>
          </cell>
          <cell r="J50" t="str">
            <v>临租</v>
          </cell>
          <cell r="K50" t="str">
            <v>合同未给</v>
          </cell>
          <cell r="M50" t="str">
            <v>1A47</v>
          </cell>
          <cell r="O50">
            <v>46010</v>
          </cell>
          <cell r="P50">
            <v>46011</v>
          </cell>
          <cell r="Q50">
            <v>46100</v>
          </cell>
        </row>
        <row r="51">
          <cell r="C51" t="str">
            <v>1A48</v>
          </cell>
          <cell r="D51">
            <v>29.97</v>
          </cell>
          <cell r="E51">
            <v>59</v>
          </cell>
          <cell r="F51">
            <v>80</v>
          </cell>
          <cell r="G51">
            <v>4720</v>
          </cell>
          <cell r="H51">
            <v>590</v>
          </cell>
          <cell r="I51" t="str">
            <v>杨伟林</v>
          </cell>
          <cell r="L51" t="str">
            <v>25.11.3已收押10620,1.6-2.5租2950管590</v>
          </cell>
          <cell r="M51" t="str">
            <v>1A48</v>
          </cell>
          <cell r="N51" t="str">
            <v>档口</v>
          </cell>
          <cell r="O51">
            <v>45964</v>
          </cell>
          <cell r="P51">
            <v>45967</v>
          </cell>
          <cell r="Q51">
            <v>47062</v>
          </cell>
        </row>
        <row r="52">
          <cell r="C52" t="str">
            <v>1A49</v>
          </cell>
          <cell r="D52">
            <v>18.8</v>
          </cell>
          <cell r="E52">
            <v>58</v>
          </cell>
          <cell r="F52">
            <v>80</v>
          </cell>
          <cell r="G52">
            <v>4640</v>
          </cell>
          <cell r="H52">
            <v>580</v>
          </cell>
          <cell r="J52" t="str">
            <v>空档</v>
          </cell>
          <cell r="M52" t="str">
            <v>1A49</v>
          </cell>
        </row>
        <row r="53">
          <cell r="C53" t="str">
            <v>1A50</v>
          </cell>
          <cell r="D53">
            <v>25.22</v>
          </cell>
          <cell r="E53">
            <v>33</v>
          </cell>
          <cell r="F53">
            <v>95</v>
          </cell>
          <cell r="G53">
            <v>3135</v>
          </cell>
          <cell r="H53">
            <v>330</v>
          </cell>
          <cell r="J53" t="str">
            <v>空档</v>
          </cell>
          <cell r="M53" t="str">
            <v>1A50</v>
          </cell>
        </row>
        <row r="54">
          <cell r="C54" t="str">
            <v>1A51</v>
          </cell>
          <cell r="D54">
            <v>22.22</v>
          </cell>
          <cell r="E54">
            <v>46</v>
          </cell>
          <cell r="F54">
            <v>110</v>
          </cell>
          <cell r="G54">
            <v>5060</v>
          </cell>
          <cell r="H54">
            <v>460</v>
          </cell>
          <cell r="I54" t="str">
            <v>于巧雯</v>
          </cell>
          <cell r="M54" t="str">
            <v>1A41/51</v>
          </cell>
          <cell r="N54" t="str">
            <v>月租</v>
          </cell>
          <cell r="O54">
            <v>45719</v>
          </cell>
          <cell r="P54">
            <v>45721</v>
          </cell>
          <cell r="Q54">
            <v>46816</v>
          </cell>
        </row>
        <row r="55">
          <cell r="C55" t="str">
            <v>1A52</v>
          </cell>
          <cell r="D55">
            <v>44.77</v>
          </cell>
          <cell r="E55">
            <v>94.3</v>
          </cell>
          <cell r="F55">
            <v>95</v>
          </cell>
          <cell r="G55">
            <v>8959</v>
          </cell>
          <cell r="H55">
            <v>943</v>
          </cell>
          <cell r="I55" t="str">
            <v>秦艳</v>
          </cell>
          <cell r="K55" t="str">
            <v>签补充协议</v>
          </cell>
          <cell r="M55" t="str">
            <v>1A52</v>
          </cell>
          <cell r="O55">
            <v>45774</v>
          </cell>
          <cell r="P55">
            <v>45717</v>
          </cell>
          <cell r="Q55">
            <v>46812</v>
          </cell>
        </row>
        <row r="56">
          <cell r="C56" t="str">
            <v>1A53</v>
          </cell>
          <cell r="D56">
            <v>29.75</v>
          </cell>
          <cell r="E56">
            <v>63</v>
          </cell>
          <cell r="F56">
            <v>85</v>
          </cell>
          <cell r="G56">
            <v>5355</v>
          </cell>
          <cell r="H56">
            <v>630</v>
          </cell>
          <cell r="I56" t="str">
            <v>李家胜</v>
          </cell>
          <cell r="M56" t="str">
            <v>1A53/61</v>
          </cell>
          <cell r="N56" t="str">
            <v>月租</v>
          </cell>
          <cell r="O56">
            <v>45642</v>
          </cell>
          <cell r="P56">
            <v>45611</v>
          </cell>
          <cell r="Q56">
            <v>46705</v>
          </cell>
        </row>
        <row r="57">
          <cell r="C57" t="str">
            <v>1A54</v>
          </cell>
          <cell r="D57">
            <v>29.75</v>
          </cell>
          <cell r="E57">
            <v>64</v>
          </cell>
          <cell r="F57">
            <v>85</v>
          </cell>
          <cell r="G57">
            <v>5440</v>
          </cell>
          <cell r="H57">
            <v>640</v>
          </cell>
          <cell r="J57" t="str">
            <v>空档</v>
          </cell>
          <cell r="M57" t="str">
            <v>1A54</v>
          </cell>
        </row>
        <row r="58">
          <cell r="C58" t="str">
            <v>1A55</v>
          </cell>
          <cell r="D58">
            <v>28.56</v>
          </cell>
          <cell r="E58">
            <v>63</v>
          </cell>
          <cell r="F58">
            <v>85</v>
          </cell>
          <cell r="G58">
            <v>5355</v>
          </cell>
          <cell r="H58">
            <v>630</v>
          </cell>
          <cell r="I58" t="str">
            <v>李铭成</v>
          </cell>
          <cell r="K58" t="str">
            <v>签补充协议120㎡</v>
          </cell>
          <cell r="M58" t="str">
            <v>1A55/63</v>
          </cell>
          <cell r="O58">
            <v>45746</v>
          </cell>
          <cell r="P58">
            <v>45748</v>
          </cell>
          <cell r="Q58">
            <v>46843</v>
          </cell>
        </row>
        <row r="59">
          <cell r="C59" t="str">
            <v>1A63</v>
          </cell>
          <cell r="D59">
            <v>27.74</v>
          </cell>
          <cell r="E59">
            <v>63</v>
          </cell>
          <cell r="F59">
            <v>75</v>
          </cell>
          <cell r="G59">
            <v>4725</v>
          </cell>
          <cell r="H59">
            <v>630</v>
          </cell>
          <cell r="I59" t="str">
            <v>李铭成</v>
          </cell>
          <cell r="M59" t="str">
            <v>1A55/63</v>
          </cell>
          <cell r="O59">
            <v>45746</v>
          </cell>
          <cell r="P59">
            <v>45748</v>
          </cell>
          <cell r="Q59">
            <v>46843</v>
          </cell>
        </row>
        <row r="60">
          <cell r="C60" t="str">
            <v>1A56</v>
          </cell>
          <cell r="D60">
            <v>29.75</v>
          </cell>
          <cell r="E60">
            <v>60</v>
          </cell>
          <cell r="F60">
            <v>85</v>
          </cell>
          <cell r="G60">
            <v>5100</v>
          </cell>
          <cell r="H60">
            <v>600</v>
          </cell>
          <cell r="I60" t="str">
            <v>王慧</v>
          </cell>
          <cell r="L60" t="str">
            <v>25.5.7已收押21420，首月租5950管1190</v>
          </cell>
          <cell r="M60" t="str">
            <v>1A56/64</v>
          </cell>
          <cell r="N60" t="str">
            <v>女装</v>
          </cell>
          <cell r="O60">
            <v>45785</v>
          </cell>
          <cell r="P60">
            <v>45785</v>
          </cell>
          <cell r="Q60">
            <v>46880</v>
          </cell>
        </row>
        <row r="61">
          <cell r="C61" t="str">
            <v>1A64</v>
          </cell>
          <cell r="D61">
            <v>28.9</v>
          </cell>
          <cell r="E61">
            <v>59</v>
          </cell>
          <cell r="F61">
            <v>75</v>
          </cell>
          <cell r="G61">
            <v>4425</v>
          </cell>
          <cell r="H61">
            <v>590</v>
          </cell>
          <cell r="I61" t="str">
            <v>王慧</v>
          </cell>
          <cell r="M61" t="str">
            <v>1A56/64</v>
          </cell>
          <cell r="N61" t="str">
            <v>女装</v>
          </cell>
          <cell r="O61">
            <v>45785</v>
          </cell>
          <cell r="P61">
            <v>45785</v>
          </cell>
          <cell r="Q61">
            <v>46880</v>
          </cell>
        </row>
        <row r="62">
          <cell r="C62" t="str">
            <v>1A57</v>
          </cell>
          <cell r="D62">
            <v>29.75</v>
          </cell>
          <cell r="E62">
            <v>64</v>
          </cell>
          <cell r="F62">
            <v>85</v>
          </cell>
          <cell r="G62">
            <v>5440</v>
          </cell>
          <cell r="H62">
            <v>640</v>
          </cell>
          <cell r="I62" t="str">
            <v>陈巧雁</v>
          </cell>
          <cell r="K62" t="str">
            <v>签补充协议</v>
          </cell>
          <cell r="M62" t="str">
            <v>1A57/65</v>
          </cell>
          <cell r="N62" t="str">
            <v>女装</v>
          </cell>
          <cell r="O62">
            <v>45790</v>
          </cell>
          <cell r="P62">
            <v>45792</v>
          </cell>
          <cell r="Q62">
            <v>46887</v>
          </cell>
        </row>
        <row r="63">
          <cell r="C63" t="str">
            <v>1A65</v>
          </cell>
          <cell r="D63">
            <v>28.9</v>
          </cell>
          <cell r="E63">
            <v>64</v>
          </cell>
          <cell r="F63">
            <v>75</v>
          </cell>
          <cell r="G63">
            <v>4800</v>
          </cell>
          <cell r="H63">
            <v>640</v>
          </cell>
          <cell r="I63" t="str">
            <v>陈巧雁</v>
          </cell>
          <cell r="M63" t="str">
            <v>1A57/65</v>
          </cell>
          <cell r="N63" t="str">
            <v>女装</v>
          </cell>
          <cell r="O63">
            <v>45790</v>
          </cell>
          <cell r="P63">
            <v>45792</v>
          </cell>
          <cell r="Q63">
            <v>46887</v>
          </cell>
        </row>
        <row r="64">
          <cell r="C64" t="str">
            <v>1A58</v>
          </cell>
          <cell r="D64">
            <v>31.09</v>
          </cell>
          <cell r="E64">
            <v>61</v>
          </cell>
          <cell r="F64">
            <v>85</v>
          </cell>
          <cell r="G64">
            <v>5185</v>
          </cell>
          <cell r="H64">
            <v>610</v>
          </cell>
          <cell r="J64" t="str">
            <v>空档</v>
          </cell>
          <cell r="M64" t="str">
            <v>1A58</v>
          </cell>
        </row>
        <row r="65">
          <cell r="C65" t="str">
            <v>1A59</v>
          </cell>
          <cell r="D65">
            <v>35.11</v>
          </cell>
          <cell r="E65">
            <v>75.3</v>
          </cell>
          <cell r="F65">
            <v>110</v>
          </cell>
          <cell r="G65">
            <v>8283</v>
          </cell>
          <cell r="H65">
            <v>753</v>
          </cell>
          <cell r="I65" t="str">
            <v>秦艳</v>
          </cell>
          <cell r="K65" t="str">
            <v>签补充协议</v>
          </cell>
          <cell r="M65" t="str">
            <v>1A59</v>
          </cell>
          <cell r="O65">
            <v>45774</v>
          </cell>
          <cell r="P65">
            <v>45717</v>
          </cell>
          <cell r="Q65">
            <v>46812</v>
          </cell>
        </row>
        <row r="66">
          <cell r="C66" t="str">
            <v>1A60</v>
          </cell>
          <cell r="D66">
            <v>28.9</v>
          </cell>
          <cell r="E66">
            <v>62.3</v>
          </cell>
          <cell r="F66">
            <v>85</v>
          </cell>
          <cell r="G66">
            <v>5296</v>
          </cell>
          <cell r="H66">
            <v>623</v>
          </cell>
          <cell r="I66" t="str">
            <v>秦艳</v>
          </cell>
          <cell r="K66" t="str">
            <v>签补充协议</v>
          </cell>
          <cell r="M66" t="str">
            <v>1A60</v>
          </cell>
          <cell r="O66">
            <v>45774</v>
          </cell>
          <cell r="P66">
            <v>45717</v>
          </cell>
          <cell r="Q66">
            <v>46812</v>
          </cell>
        </row>
        <row r="67">
          <cell r="C67" t="str">
            <v>1A61</v>
          </cell>
          <cell r="D67">
            <v>28.9</v>
          </cell>
          <cell r="E67">
            <v>63</v>
          </cell>
          <cell r="F67">
            <v>75</v>
          </cell>
          <cell r="G67">
            <v>4725</v>
          </cell>
          <cell r="H67">
            <v>630</v>
          </cell>
          <cell r="I67" t="str">
            <v>李家胜</v>
          </cell>
          <cell r="M67" t="str">
            <v>1A53/61</v>
          </cell>
          <cell r="N67" t="str">
            <v>月租</v>
          </cell>
          <cell r="O67">
            <v>45642</v>
          </cell>
          <cell r="P67">
            <v>45611</v>
          </cell>
          <cell r="Q67">
            <v>46705</v>
          </cell>
        </row>
        <row r="68">
          <cell r="C68" t="str">
            <v>1A62</v>
          </cell>
          <cell r="D68">
            <v>28.9</v>
          </cell>
          <cell r="E68">
            <v>63</v>
          </cell>
          <cell r="F68">
            <v>75</v>
          </cell>
          <cell r="G68">
            <v>4725</v>
          </cell>
          <cell r="H68">
            <v>630</v>
          </cell>
          <cell r="J68" t="str">
            <v>空档</v>
          </cell>
          <cell r="M68" t="str">
            <v>1A62</v>
          </cell>
        </row>
        <row r="69">
          <cell r="C69" t="str">
            <v>1A66</v>
          </cell>
          <cell r="D69">
            <v>30.2</v>
          </cell>
          <cell r="E69">
            <v>61</v>
          </cell>
          <cell r="F69">
            <v>75</v>
          </cell>
          <cell r="G69">
            <v>4575</v>
          </cell>
          <cell r="H69">
            <v>610</v>
          </cell>
          <cell r="J69" t="str">
            <v>空档</v>
          </cell>
          <cell r="M69" t="str">
            <v>1A66</v>
          </cell>
        </row>
        <row r="70">
          <cell r="C70" t="str">
            <v>1A67</v>
          </cell>
          <cell r="D70">
            <v>40.39</v>
          </cell>
          <cell r="E70">
            <v>65</v>
          </cell>
          <cell r="F70">
            <v>85</v>
          </cell>
          <cell r="G70">
            <v>5525</v>
          </cell>
          <cell r="H70">
            <v>650</v>
          </cell>
          <cell r="J70" t="str">
            <v>空档</v>
          </cell>
          <cell r="M70" t="str">
            <v>1A67</v>
          </cell>
        </row>
        <row r="71">
          <cell r="C71" t="str">
            <v>1A68</v>
          </cell>
          <cell r="D71">
            <v>18.2</v>
          </cell>
          <cell r="E71">
            <v>40</v>
          </cell>
          <cell r="F71">
            <v>50</v>
          </cell>
          <cell r="G71">
            <v>2000</v>
          </cell>
          <cell r="H71">
            <v>400</v>
          </cell>
          <cell r="I71" t="str">
            <v>李延廷</v>
          </cell>
          <cell r="K71" t="str">
            <v>免租错</v>
          </cell>
          <cell r="L71" t="str">
            <v>26.2.6已收押7200,7月首月租2000管400</v>
          </cell>
          <cell r="M71" t="str">
            <v>1A68</v>
          </cell>
          <cell r="N71" t="str">
            <v>女装</v>
          </cell>
          <cell r="O71">
            <v>46059</v>
          </cell>
          <cell r="P71">
            <v>46082</v>
          </cell>
          <cell r="Q71">
            <v>47177</v>
          </cell>
        </row>
        <row r="72">
          <cell r="C72" t="str">
            <v>1A69</v>
          </cell>
          <cell r="E72">
            <v>105</v>
          </cell>
          <cell r="F72">
            <v>50</v>
          </cell>
          <cell r="G72">
            <v>5250</v>
          </cell>
          <cell r="H72">
            <v>1050</v>
          </cell>
          <cell r="I72" t="str">
            <v>姚依依</v>
          </cell>
          <cell r="K72" t="str">
            <v>公摊5元/㎡，报告档口内无空调</v>
          </cell>
          <cell r="L72" t="str">
            <v>25.10.20已收押18900,12.25-1.24租5250管1050</v>
          </cell>
          <cell r="M72" t="str">
            <v>1A69</v>
          </cell>
          <cell r="O72">
            <v>45950</v>
          </cell>
          <cell r="P72">
            <v>45955</v>
          </cell>
          <cell r="Q72">
            <v>47050</v>
          </cell>
        </row>
        <row r="73">
          <cell r="C73" t="str">
            <v>2A202</v>
          </cell>
          <cell r="E73">
            <v>118.5</v>
          </cell>
          <cell r="F73">
            <v>31.5</v>
          </cell>
          <cell r="G73">
            <v>3732.75</v>
          </cell>
          <cell r="H73">
            <v>592.5</v>
          </cell>
          <cell r="I73" t="str">
            <v>陈培生</v>
          </cell>
          <cell r="J73" t="str">
            <v>空档</v>
          </cell>
          <cell r="M73" t="str">
            <v>2A202</v>
          </cell>
          <cell r="N73" t="str">
            <v>仓库</v>
          </cell>
          <cell r="O73">
            <v>45701</v>
          </cell>
        </row>
        <row r="74">
          <cell r="C74" t="str">
            <v>2A205</v>
          </cell>
          <cell r="E74">
            <v>192.2</v>
          </cell>
          <cell r="F74">
            <v>35</v>
          </cell>
          <cell r="G74">
            <v>6727</v>
          </cell>
          <cell r="H74">
            <v>0</v>
          </cell>
          <cell r="I74" t="str">
            <v>王攀</v>
          </cell>
          <cell r="M74" t="str">
            <v>2A205</v>
          </cell>
          <cell r="N74" t="str">
            <v>写字楼</v>
          </cell>
          <cell r="O74">
            <v>45764</v>
          </cell>
          <cell r="P74">
            <v>45797</v>
          </cell>
          <cell r="Q74">
            <v>46161</v>
          </cell>
        </row>
        <row r="75">
          <cell r="C75" t="str">
            <v>2A206</v>
          </cell>
          <cell r="E75">
            <v>181.3</v>
          </cell>
          <cell r="I75" t="str">
            <v>李家胜</v>
          </cell>
          <cell r="M75" t="str">
            <v>2A206</v>
          </cell>
          <cell r="N75" t="str">
            <v>仓库</v>
          </cell>
          <cell r="O75">
            <v>45757</v>
          </cell>
          <cell r="P75">
            <v>45762</v>
          </cell>
          <cell r="Q75">
            <v>46126</v>
          </cell>
        </row>
        <row r="76">
          <cell r="C76" t="str">
            <v>2A208</v>
          </cell>
          <cell r="E76">
            <v>320</v>
          </cell>
          <cell r="I76" t="str">
            <v>曾爱齐</v>
          </cell>
          <cell r="J76" t="str">
            <v>续签</v>
          </cell>
          <cell r="M76" t="str">
            <v>2A208</v>
          </cell>
          <cell r="O76">
            <v>46018</v>
          </cell>
          <cell r="P76">
            <v>46026</v>
          </cell>
          <cell r="Q76">
            <v>46390</v>
          </cell>
        </row>
        <row r="77">
          <cell r="C77" t="str">
            <v>2A209</v>
          </cell>
          <cell r="E77">
            <v>240</v>
          </cell>
          <cell r="F77">
            <v>30</v>
          </cell>
          <cell r="G77">
            <v>7200</v>
          </cell>
          <cell r="H77">
            <v>0</v>
          </cell>
          <cell r="I77" t="str">
            <v>李金龙</v>
          </cell>
          <cell r="J77" t="str">
            <v>续签</v>
          </cell>
          <cell r="K77" t="str">
            <v>3.9到期退</v>
          </cell>
          <cell r="M77" t="str">
            <v>2A209</v>
          </cell>
          <cell r="N77" t="str">
            <v>直播</v>
          </cell>
          <cell r="O77">
            <v>45797</v>
          </cell>
          <cell r="P77">
            <v>45848</v>
          </cell>
          <cell r="Q77">
            <v>46090</v>
          </cell>
        </row>
        <row r="78">
          <cell r="C78" t="str">
            <v>2A211</v>
          </cell>
          <cell r="E78">
            <v>269</v>
          </cell>
          <cell r="J78" t="str">
            <v>空档</v>
          </cell>
          <cell r="M78" t="str">
            <v>2A211</v>
          </cell>
        </row>
        <row r="79">
          <cell r="C79" t="str">
            <v>2A212</v>
          </cell>
          <cell r="E79">
            <v>176.5</v>
          </cell>
          <cell r="I79" t="str">
            <v>李木莲</v>
          </cell>
          <cell r="J79" t="str">
            <v>续签</v>
          </cell>
          <cell r="M79" t="str">
            <v>2A212</v>
          </cell>
          <cell r="N79" t="str">
            <v>仓库</v>
          </cell>
          <cell r="O79">
            <v>45869</v>
          </cell>
          <cell r="P79">
            <v>45901</v>
          </cell>
          <cell r="Q79">
            <v>46265</v>
          </cell>
        </row>
        <row r="80">
          <cell r="C80" t="str">
            <v>2A215</v>
          </cell>
          <cell r="E80">
            <v>155</v>
          </cell>
          <cell r="J80" t="str">
            <v>空档</v>
          </cell>
          <cell r="M80" t="str">
            <v>2A215</v>
          </cell>
        </row>
        <row r="81">
          <cell r="C81" t="str">
            <v>2A203/216/219</v>
          </cell>
          <cell r="E81">
            <v>451</v>
          </cell>
          <cell r="F81">
            <v>31.75</v>
          </cell>
          <cell r="G81">
            <v>14319.25</v>
          </cell>
          <cell r="H81">
            <v>2255</v>
          </cell>
          <cell r="I81" t="str">
            <v>孟飞</v>
          </cell>
          <cell r="M81" t="str">
            <v>2A203/216/219</v>
          </cell>
          <cell r="N81" t="str">
            <v>写字楼</v>
          </cell>
          <cell r="O81">
            <v>45407</v>
          </cell>
          <cell r="P81">
            <v>45444</v>
          </cell>
          <cell r="Q81">
            <v>46538</v>
          </cell>
        </row>
        <row r="82">
          <cell r="C82" t="str">
            <v>2A210/213</v>
          </cell>
          <cell r="E82">
            <v>300</v>
          </cell>
          <cell r="I82" t="str">
            <v>周立岩</v>
          </cell>
          <cell r="J82" t="str">
            <v>空档</v>
          </cell>
          <cell r="M82" t="str">
            <v>2A210/213</v>
          </cell>
        </row>
        <row r="83">
          <cell r="C83" t="str">
            <v>2A218</v>
          </cell>
          <cell r="E83">
            <v>182.2</v>
          </cell>
          <cell r="I83" t="str">
            <v>孙玉森</v>
          </cell>
          <cell r="J83" t="str">
            <v>新签</v>
          </cell>
          <cell r="L83" t="str">
            <v>25.5.28已收押21000,6月租5850管975</v>
          </cell>
          <cell r="M83" t="str">
            <v>2A218</v>
          </cell>
          <cell r="N83" t="str">
            <v>仓库</v>
          </cell>
          <cell r="O83">
            <v>45809</v>
          </cell>
          <cell r="P83">
            <v>45809</v>
          </cell>
          <cell r="Q83">
            <v>46173</v>
          </cell>
        </row>
        <row r="84">
          <cell r="C84" t="str">
            <v>2A220</v>
          </cell>
          <cell r="E84">
            <v>152</v>
          </cell>
          <cell r="I84" t="str">
            <v>张国祥</v>
          </cell>
          <cell r="K84" t="str">
            <v>签补充协议</v>
          </cell>
          <cell r="M84" t="str">
            <v>2A220</v>
          </cell>
          <cell r="O84">
            <v>45775</v>
          </cell>
          <cell r="P84">
            <v>45717</v>
          </cell>
          <cell r="Q84">
            <v>46812</v>
          </cell>
        </row>
        <row r="85">
          <cell r="C85" t="str">
            <v>2A221</v>
          </cell>
          <cell r="E85">
            <v>159</v>
          </cell>
          <cell r="J85" t="str">
            <v>空档</v>
          </cell>
        </row>
        <row r="86">
          <cell r="C86" t="str">
            <v>2B001</v>
          </cell>
          <cell r="E86">
            <v>538.38</v>
          </cell>
          <cell r="F86">
            <v>25</v>
          </cell>
          <cell r="G86">
            <v>13459.5</v>
          </cell>
          <cell r="H86">
            <v>0</v>
          </cell>
          <cell r="I86" t="str">
            <v>代红梅</v>
          </cell>
          <cell r="K86" t="str">
            <v>3.20到期退</v>
          </cell>
          <cell r="M86" t="str">
            <v>2B001</v>
          </cell>
          <cell r="O86">
            <v>45729</v>
          </cell>
          <cell r="P86">
            <v>45737</v>
          </cell>
          <cell r="Q86">
            <v>46101</v>
          </cell>
        </row>
        <row r="87">
          <cell r="C87" t="str">
            <v>2B001-1</v>
          </cell>
          <cell r="E87">
            <v>303</v>
          </cell>
          <cell r="I87" t="str">
            <v>陈永波</v>
          </cell>
          <cell r="M87" t="str">
            <v>2B001-1</v>
          </cell>
          <cell r="O87">
            <v>45160</v>
          </cell>
          <cell r="P87">
            <v>45383</v>
          </cell>
          <cell r="Q87">
            <v>46477</v>
          </cell>
        </row>
        <row r="88">
          <cell r="C88" t="str">
            <v>3A001/002</v>
          </cell>
          <cell r="E88">
            <v>187.6</v>
          </cell>
          <cell r="F88">
            <v>32</v>
          </cell>
          <cell r="G88">
            <v>6003.2</v>
          </cell>
          <cell r="H88">
            <v>0</v>
          </cell>
          <cell r="I88" t="str">
            <v>梁耀生</v>
          </cell>
          <cell r="J88" t="str">
            <v>续签</v>
          </cell>
          <cell r="M88" t="str">
            <v>3A001/002</v>
          </cell>
          <cell r="O88">
            <v>45464</v>
          </cell>
          <cell r="P88">
            <v>45560</v>
          </cell>
          <cell r="Q88">
            <v>46289</v>
          </cell>
        </row>
        <row r="89">
          <cell r="C89" t="str">
            <v>3A005</v>
          </cell>
          <cell r="E89">
            <v>84.79</v>
          </cell>
          <cell r="F89">
            <v>27</v>
          </cell>
          <cell r="G89">
            <v>2289</v>
          </cell>
          <cell r="H89">
            <v>424</v>
          </cell>
          <cell r="I89" t="str">
            <v>马国强</v>
          </cell>
          <cell r="J89" t="str">
            <v>续签</v>
          </cell>
          <cell r="M89" t="str">
            <v>3A005</v>
          </cell>
          <cell r="O89">
            <v>45985</v>
          </cell>
          <cell r="P89">
            <v>46012</v>
          </cell>
          <cell r="Q89">
            <v>46376</v>
          </cell>
        </row>
        <row r="90">
          <cell r="C90" t="str">
            <v>3A006</v>
          </cell>
          <cell r="E90">
            <v>197.11</v>
          </cell>
          <cell r="F90">
            <v>30</v>
          </cell>
          <cell r="G90">
            <v>5913</v>
          </cell>
          <cell r="H90">
            <v>986</v>
          </cell>
          <cell r="I90" t="str">
            <v>林遂玲</v>
          </cell>
          <cell r="J90" t="str">
            <v>续签</v>
          </cell>
          <cell r="M90" t="str">
            <v>3A006</v>
          </cell>
          <cell r="O90">
            <v>45833</v>
          </cell>
          <cell r="P90">
            <v>45870</v>
          </cell>
          <cell r="Q90">
            <v>46234</v>
          </cell>
        </row>
        <row r="91">
          <cell r="C91" t="str">
            <v>3A008</v>
          </cell>
          <cell r="E91">
            <v>107</v>
          </cell>
          <cell r="F91">
            <v>31.5</v>
          </cell>
          <cell r="G91">
            <v>3370.5</v>
          </cell>
          <cell r="H91">
            <v>535</v>
          </cell>
          <cell r="I91" t="str">
            <v>魏彬</v>
          </cell>
          <cell r="J91" t="str">
            <v>续签</v>
          </cell>
          <cell r="M91" t="str">
            <v>3A008</v>
          </cell>
          <cell r="O91">
            <v>45848</v>
          </cell>
          <cell r="P91">
            <v>45885</v>
          </cell>
          <cell r="Q91">
            <v>46249</v>
          </cell>
        </row>
        <row r="92">
          <cell r="C92" t="str">
            <v>3A009</v>
          </cell>
          <cell r="E92">
            <v>84</v>
          </cell>
          <cell r="I92" t="str">
            <v>李恒</v>
          </cell>
          <cell r="M92" t="str">
            <v>3A009</v>
          </cell>
          <cell r="O92">
            <v>45721</v>
          </cell>
          <cell r="P92">
            <v>45701</v>
          </cell>
          <cell r="Q92">
            <v>46109</v>
          </cell>
        </row>
        <row r="93">
          <cell r="C93" t="str">
            <v>3A010/011</v>
          </cell>
          <cell r="E93">
            <v>150</v>
          </cell>
          <cell r="F93">
            <v>31.5</v>
          </cell>
          <cell r="G93">
            <v>4725</v>
          </cell>
          <cell r="H93">
            <v>750</v>
          </cell>
          <cell r="I93" t="str">
            <v>郑宝裕</v>
          </cell>
          <cell r="M93" t="str">
            <v>3A010/011</v>
          </cell>
          <cell r="O93">
            <v>45759</v>
          </cell>
          <cell r="P93">
            <v>45759</v>
          </cell>
          <cell r="Q93">
            <v>46123</v>
          </cell>
        </row>
        <row r="94">
          <cell r="C94" t="str">
            <v>3A012</v>
          </cell>
          <cell r="E94">
            <v>100</v>
          </cell>
          <cell r="F94">
            <v>31.5</v>
          </cell>
          <cell r="G94">
            <v>3150</v>
          </cell>
          <cell r="H94">
            <v>500</v>
          </cell>
          <cell r="I94" t="str">
            <v>李恒</v>
          </cell>
          <cell r="M94" t="str">
            <v>3A012</v>
          </cell>
          <cell r="O94">
            <v>45709</v>
          </cell>
          <cell r="P94">
            <v>45723</v>
          </cell>
          <cell r="Q94">
            <v>46109</v>
          </cell>
        </row>
        <row r="95">
          <cell r="C95" t="str">
            <v>3A013</v>
          </cell>
          <cell r="E95">
            <v>90</v>
          </cell>
          <cell r="F95">
            <v>35</v>
          </cell>
          <cell r="G95">
            <v>3150</v>
          </cell>
          <cell r="H95">
            <v>450</v>
          </cell>
          <cell r="I95" t="str">
            <v>王翔玉</v>
          </cell>
          <cell r="J95" t="str">
            <v>新签</v>
          </cell>
          <cell r="L95" t="str">
            <v>25.11.12已收押10800,11.17-12.16租3150管450</v>
          </cell>
          <cell r="M95" t="str">
            <v>3A013</v>
          </cell>
          <cell r="N95" t="str">
            <v>月租</v>
          </cell>
          <cell r="O95">
            <v>45973</v>
          </cell>
          <cell r="P95">
            <v>45978</v>
          </cell>
          <cell r="Q95">
            <v>46342</v>
          </cell>
        </row>
        <row r="96">
          <cell r="C96" t="str">
            <v>3A015</v>
          </cell>
          <cell r="E96">
            <v>218</v>
          </cell>
          <cell r="G96">
            <v>0</v>
          </cell>
          <cell r="H96">
            <v>1090</v>
          </cell>
          <cell r="J96" t="str">
            <v>空档</v>
          </cell>
          <cell r="M96" t="str">
            <v>3A015</v>
          </cell>
        </row>
        <row r="97">
          <cell r="C97" t="str">
            <v>3A016</v>
          </cell>
          <cell r="E97">
            <v>96.91</v>
          </cell>
          <cell r="F97">
            <v>30</v>
          </cell>
          <cell r="G97">
            <v>2907.3</v>
          </cell>
          <cell r="H97">
            <v>484.55</v>
          </cell>
          <cell r="I97" t="str">
            <v>郑宝裕</v>
          </cell>
          <cell r="J97" t="str">
            <v>新签</v>
          </cell>
          <cell r="K97" t="str">
            <v>欠报告 2025.4.30退，郑宝裕新签不报提成</v>
          </cell>
          <cell r="L97" t="str">
            <v>25.5.8已收押10176,5月租2907管485</v>
          </cell>
          <cell r="M97" t="str">
            <v>3A016</v>
          </cell>
          <cell r="O97">
            <v>45778</v>
          </cell>
          <cell r="P97">
            <v>45778</v>
          </cell>
          <cell r="Q97">
            <v>46142</v>
          </cell>
        </row>
        <row r="98">
          <cell r="C98" t="str">
            <v>3A018/19/20/21</v>
          </cell>
          <cell r="E98">
            <v>386.39</v>
          </cell>
          <cell r="F98">
            <v>28.4757</v>
          </cell>
          <cell r="G98">
            <v>11003</v>
          </cell>
          <cell r="H98">
            <v>0</v>
          </cell>
          <cell r="I98" t="str">
            <v>孙玉森</v>
          </cell>
          <cell r="J98" t="str">
            <v>续签</v>
          </cell>
          <cell r="K98" t="str">
            <v>合同未给</v>
          </cell>
          <cell r="M98" t="str">
            <v>3A018/019/020/021</v>
          </cell>
          <cell r="O98">
            <v>45916</v>
          </cell>
          <cell r="P98">
            <v>45949</v>
          </cell>
          <cell r="Q98">
            <v>46313</v>
          </cell>
        </row>
        <row r="99">
          <cell r="C99" t="str">
            <v>3A022</v>
          </cell>
          <cell r="E99">
            <v>154.47999999999999</v>
          </cell>
          <cell r="I99" t="str">
            <v>王翔玉</v>
          </cell>
          <cell r="J99" t="str">
            <v>续签</v>
          </cell>
          <cell r="M99" t="str">
            <v>3A022</v>
          </cell>
          <cell r="O99">
            <v>46036</v>
          </cell>
          <cell r="P99">
            <v>46082</v>
          </cell>
          <cell r="Q99">
            <v>46446</v>
          </cell>
        </row>
        <row r="100">
          <cell r="C100" t="str">
            <v>3A026</v>
          </cell>
          <cell r="E100">
            <v>88</v>
          </cell>
          <cell r="F100">
            <v>30</v>
          </cell>
          <cell r="G100">
            <v>2640</v>
          </cell>
          <cell r="H100">
            <v>440</v>
          </cell>
          <cell r="I100" t="str">
            <v>张晓燕</v>
          </cell>
          <cell r="J100" t="str">
            <v>空档</v>
          </cell>
          <cell r="M100" t="str">
            <v>3A026</v>
          </cell>
          <cell r="N100" t="str">
            <v>直播</v>
          </cell>
          <cell r="O100">
            <v>45750</v>
          </cell>
          <cell r="P100">
            <v>45717</v>
          </cell>
          <cell r="Q100">
            <v>46081</v>
          </cell>
        </row>
        <row r="101">
          <cell r="C101" t="str">
            <v>3A028</v>
          </cell>
          <cell r="E101">
            <v>86.69</v>
          </cell>
          <cell r="F101">
            <v>31</v>
          </cell>
          <cell r="G101">
            <v>2687</v>
          </cell>
          <cell r="H101">
            <v>433.45</v>
          </cell>
          <cell r="I101" t="str">
            <v>赵立娟</v>
          </cell>
          <cell r="M101" t="str">
            <v>3A028</v>
          </cell>
          <cell r="N101" t="str">
            <v>仓库</v>
          </cell>
          <cell r="O101">
            <v>45706</v>
          </cell>
          <cell r="P101">
            <v>45730</v>
          </cell>
          <cell r="Q101">
            <v>46094</v>
          </cell>
        </row>
        <row r="102">
          <cell r="C102" t="str">
            <v>3A029</v>
          </cell>
          <cell r="E102">
            <v>90.12</v>
          </cell>
          <cell r="F102">
            <v>35</v>
          </cell>
          <cell r="G102">
            <v>3154</v>
          </cell>
          <cell r="H102">
            <v>450.6</v>
          </cell>
          <cell r="I102" t="str">
            <v>周引</v>
          </cell>
          <cell r="M102" t="str">
            <v>3A029</v>
          </cell>
          <cell r="N102" t="str">
            <v>仓库</v>
          </cell>
          <cell r="O102">
            <v>45733</v>
          </cell>
          <cell r="P102">
            <v>45778</v>
          </cell>
          <cell r="Q102">
            <v>46142</v>
          </cell>
        </row>
        <row r="103">
          <cell r="C103" t="str">
            <v>3A030</v>
          </cell>
          <cell r="E103">
            <v>87</v>
          </cell>
          <cell r="F103">
            <v>31</v>
          </cell>
          <cell r="G103">
            <v>2697</v>
          </cell>
          <cell r="H103">
            <v>435</v>
          </cell>
          <cell r="I103" t="str">
            <v>郑宝裕</v>
          </cell>
          <cell r="M103" t="str">
            <v>3A030</v>
          </cell>
          <cell r="O103">
            <v>45727</v>
          </cell>
          <cell r="P103">
            <v>45803</v>
          </cell>
          <cell r="Q103">
            <v>46167</v>
          </cell>
        </row>
        <row r="104">
          <cell r="C104" t="str">
            <v>3B001</v>
          </cell>
          <cell r="E104">
            <v>80</v>
          </cell>
          <cell r="F104">
            <v>31</v>
          </cell>
          <cell r="G104">
            <v>2480</v>
          </cell>
          <cell r="H104">
            <v>400</v>
          </cell>
          <cell r="I104" t="str">
            <v>曾东晴</v>
          </cell>
          <cell r="J104" t="str">
            <v>续签</v>
          </cell>
          <cell r="M104" t="str">
            <v>3B001</v>
          </cell>
          <cell r="N104" t="str">
            <v>写字楼</v>
          </cell>
          <cell r="O104">
            <v>45941</v>
          </cell>
          <cell r="P104">
            <v>45955</v>
          </cell>
          <cell r="Q104">
            <v>46319</v>
          </cell>
        </row>
        <row r="105">
          <cell r="C105" t="str">
            <v>3B002</v>
          </cell>
          <cell r="E105">
            <v>131</v>
          </cell>
          <cell r="F105">
            <v>31</v>
          </cell>
          <cell r="G105">
            <v>4061</v>
          </cell>
          <cell r="H105">
            <v>655</v>
          </cell>
          <cell r="I105" t="str">
            <v>曾雅</v>
          </cell>
          <cell r="J105" t="str">
            <v>续签</v>
          </cell>
          <cell r="K105" t="str">
            <v>欠身份证</v>
          </cell>
          <cell r="M105" t="str">
            <v>3B002</v>
          </cell>
          <cell r="N105" t="str">
            <v>仓库</v>
          </cell>
          <cell r="O105">
            <v>45775</v>
          </cell>
          <cell r="P105">
            <v>45777</v>
          </cell>
          <cell r="Q105">
            <v>46141</v>
          </cell>
        </row>
        <row r="106">
          <cell r="C106" t="str">
            <v>3B005-009</v>
          </cell>
          <cell r="E106">
            <v>304</v>
          </cell>
          <cell r="F106">
            <v>28</v>
          </cell>
          <cell r="G106">
            <v>8512</v>
          </cell>
          <cell r="H106">
            <v>0</v>
          </cell>
          <cell r="I106" t="str">
            <v>王金莲</v>
          </cell>
          <cell r="M106" t="str">
            <v>3B005-009</v>
          </cell>
          <cell r="N106" t="str">
            <v>仓库</v>
          </cell>
          <cell r="O106">
            <v>45733</v>
          </cell>
          <cell r="P106">
            <v>45748</v>
          </cell>
          <cell r="Q106">
            <v>46112</v>
          </cell>
        </row>
        <row r="107">
          <cell r="C107" t="str">
            <v>3B010</v>
          </cell>
          <cell r="E107">
            <v>63</v>
          </cell>
          <cell r="F107">
            <v>30</v>
          </cell>
          <cell r="G107">
            <v>1890</v>
          </cell>
          <cell r="H107">
            <v>315</v>
          </cell>
          <cell r="I107" t="str">
            <v>王金芝</v>
          </cell>
          <cell r="M107" t="str">
            <v>3B010</v>
          </cell>
          <cell r="N107" t="str">
            <v>仓库</v>
          </cell>
          <cell r="O107">
            <v>45789</v>
          </cell>
          <cell r="P107">
            <v>45789</v>
          </cell>
          <cell r="Q107">
            <v>46153</v>
          </cell>
        </row>
        <row r="108">
          <cell r="C108" t="str">
            <v>3B011/012</v>
          </cell>
          <cell r="E108">
            <v>181</v>
          </cell>
          <cell r="F108">
            <v>30</v>
          </cell>
          <cell r="G108">
            <v>5430</v>
          </cell>
          <cell r="H108">
            <v>905</v>
          </cell>
          <cell r="I108" t="str">
            <v>李伯钦</v>
          </cell>
          <cell r="M108" t="str">
            <v>3B011/012</v>
          </cell>
          <cell r="N108" t="str">
            <v>月租</v>
          </cell>
          <cell r="O108">
            <v>45743</v>
          </cell>
          <cell r="P108">
            <v>45809</v>
          </cell>
          <cell r="Q108">
            <v>46173</v>
          </cell>
        </row>
        <row r="109">
          <cell r="C109" t="str">
            <v>3B015</v>
          </cell>
          <cell r="E109">
            <v>61</v>
          </cell>
          <cell r="F109">
            <v>30</v>
          </cell>
          <cell r="G109">
            <v>1830</v>
          </cell>
          <cell r="H109">
            <v>305</v>
          </cell>
          <cell r="I109" t="str">
            <v>黄晓虹</v>
          </cell>
          <cell r="J109" t="str">
            <v>续签</v>
          </cell>
          <cell r="M109" t="str">
            <v>3B015</v>
          </cell>
          <cell r="N109" t="str">
            <v>月租</v>
          </cell>
          <cell r="O109">
            <v>45713</v>
          </cell>
          <cell r="P109">
            <v>45726</v>
          </cell>
          <cell r="Q109">
            <v>46090</v>
          </cell>
        </row>
        <row r="110">
          <cell r="C110" t="str">
            <v>3B016</v>
          </cell>
          <cell r="E110">
            <v>123</v>
          </cell>
          <cell r="F110">
            <v>30</v>
          </cell>
          <cell r="G110">
            <v>3690</v>
          </cell>
          <cell r="H110">
            <v>615</v>
          </cell>
          <cell r="I110" t="str">
            <v>傅星月</v>
          </cell>
          <cell r="J110" t="str">
            <v>续签</v>
          </cell>
          <cell r="M110" t="str">
            <v>3B016</v>
          </cell>
          <cell r="N110" t="str">
            <v>月租</v>
          </cell>
          <cell r="O110">
            <v>45957</v>
          </cell>
          <cell r="P110">
            <v>45973</v>
          </cell>
          <cell r="Q110">
            <v>46337</v>
          </cell>
        </row>
        <row r="111">
          <cell r="C111" t="str">
            <v>3B018</v>
          </cell>
          <cell r="E111">
            <v>73.599999999999994</v>
          </cell>
          <cell r="F111">
            <v>30</v>
          </cell>
          <cell r="G111">
            <v>2208</v>
          </cell>
          <cell r="H111">
            <v>368</v>
          </cell>
          <cell r="I111" t="str">
            <v>公成</v>
          </cell>
          <cell r="M111" t="str">
            <v>3B018</v>
          </cell>
          <cell r="N111" t="str">
            <v>月租</v>
          </cell>
          <cell r="O111">
            <v>45761</v>
          </cell>
          <cell r="P111">
            <v>45761</v>
          </cell>
          <cell r="Q111">
            <v>46125</v>
          </cell>
        </row>
        <row r="112">
          <cell r="C112" t="str">
            <v>3B019</v>
          </cell>
          <cell r="E112">
            <v>127.4</v>
          </cell>
          <cell r="I112" t="str">
            <v>邓纯</v>
          </cell>
          <cell r="J112" t="str">
            <v>续签</v>
          </cell>
          <cell r="M112" t="str">
            <v>3B019</v>
          </cell>
          <cell r="N112" t="str">
            <v>仓库</v>
          </cell>
          <cell r="O112">
            <v>45762</v>
          </cell>
          <cell r="P112">
            <v>45762</v>
          </cell>
          <cell r="Q112">
            <v>46126</v>
          </cell>
        </row>
        <row r="113">
          <cell r="C113" t="str">
            <v>4A001~006</v>
          </cell>
          <cell r="E113">
            <v>678</v>
          </cell>
          <cell r="F113">
            <v>31</v>
          </cell>
          <cell r="G113">
            <v>21018</v>
          </cell>
          <cell r="H113">
            <v>3390</v>
          </cell>
          <cell r="I113" t="str">
            <v>张国祥</v>
          </cell>
          <cell r="J113" t="str">
            <v>续签</v>
          </cell>
          <cell r="M113" t="str">
            <v>4A001-006</v>
          </cell>
          <cell r="N113" t="str">
            <v>月租</v>
          </cell>
          <cell r="O113">
            <v>45766</v>
          </cell>
          <cell r="P113">
            <v>45861</v>
          </cell>
          <cell r="Q113">
            <v>46225</v>
          </cell>
        </row>
        <row r="114">
          <cell r="C114" t="str">
            <v>4A008</v>
          </cell>
          <cell r="E114">
            <v>1038</v>
          </cell>
          <cell r="F114">
            <v>30</v>
          </cell>
          <cell r="G114">
            <v>31140</v>
          </cell>
          <cell r="H114">
            <v>5190</v>
          </cell>
          <cell r="I114" t="str">
            <v>张国祥</v>
          </cell>
          <cell r="J114" t="str">
            <v>续签</v>
          </cell>
          <cell r="K114" t="str">
            <v>合同未给</v>
          </cell>
          <cell r="M114" t="str">
            <v>4A008</v>
          </cell>
          <cell r="N114" t="str">
            <v>月租</v>
          </cell>
          <cell r="O114">
            <v>46008</v>
          </cell>
          <cell r="P114">
            <v>46023</v>
          </cell>
          <cell r="Q114">
            <v>46387</v>
          </cell>
        </row>
        <row r="115">
          <cell r="C115" t="str">
            <v>4A011</v>
          </cell>
          <cell r="E115">
            <v>97</v>
          </cell>
          <cell r="F115">
            <v>31</v>
          </cell>
          <cell r="G115">
            <v>3007</v>
          </cell>
          <cell r="H115">
            <v>485</v>
          </cell>
          <cell r="I115" t="str">
            <v>Natroshvili Zaza</v>
          </cell>
          <cell r="M115" t="str">
            <v>4A011</v>
          </cell>
          <cell r="N115" t="str">
            <v>月租</v>
          </cell>
          <cell r="O115">
            <v>45866</v>
          </cell>
          <cell r="P115">
            <v>45901</v>
          </cell>
          <cell r="Q115">
            <v>46265</v>
          </cell>
        </row>
        <row r="116">
          <cell r="C116" t="str">
            <v>4A025</v>
          </cell>
          <cell r="E116">
            <v>84</v>
          </cell>
          <cell r="F116">
            <v>30</v>
          </cell>
          <cell r="G116">
            <v>2520</v>
          </cell>
          <cell r="H116">
            <v>420</v>
          </cell>
          <cell r="I116" t="str">
            <v>范志森</v>
          </cell>
          <cell r="J116" t="str">
            <v>续签</v>
          </cell>
          <cell r="M116" t="str">
            <v>4A025</v>
          </cell>
          <cell r="N116" t="str">
            <v>月租</v>
          </cell>
          <cell r="O116">
            <v>45976</v>
          </cell>
          <cell r="P116">
            <v>45976</v>
          </cell>
          <cell r="Q116">
            <v>46340</v>
          </cell>
        </row>
        <row r="117">
          <cell r="C117" t="str">
            <v>4A028</v>
          </cell>
          <cell r="E117">
            <v>178</v>
          </cell>
          <cell r="F117">
            <v>30</v>
          </cell>
          <cell r="G117">
            <v>5340</v>
          </cell>
          <cell r="H117">
            <v>890</v>
          </cell>
          <cell r="I117" t="str">
            <v>吴国青</v>
          </cell>
          <cell r="M117" t="str">
            <v>4A028</v>
          </cell>
          <cell r="N117" t="str">
            <v>月租</v>
          </cell>
          <cell r="O117">
            <v>45765</v>
          </cell>
          <cell r="P117">
            <v>45814</v>
          </cell>
          <cell r="Q117">
            <v>46178</v>
          </cell>
        </row>
        <row r="118">
          <cell r="C118" t="str">
            <v>4A029</v>
          </cell>
          <cell r="E118">
            <v>81</v>
          </cell>
          <cell r="F118">
            <v>30</v>
          </cell>
          <cell r="G118">
            <v>2430</v>
          </cell>
          <cell r="H118">
            <v>405</v>
          </cell>
          <cell r="I118" t="str">
            <v>罗广新</v>
          </cell>
          <cell r="M118" t="str">
            <v>4A029</v>
          </cell>
          <cell r="N118" t="str">
            <v>月租</v>
          </cell>
          <cell r="O118">
            <v>45814</v>
          </cell>
          <cell r="P118">
            <v>45823</v>
          </cell>
          <cell r="Q118">
            <v>46187</v>
          </cell>
        </row>
        <row r="119">
          <cell r="C119" t="str">
            <v>4B001/011/019</v>
          </cell>
          <cell r="E119">
            <v>627</v>
          </cell>
          <cell r="F119">
            <v>31</v>
          </cell>
          <cell r="G119">
            <v>19437</v>
          </cell>
          <cell r="H119">
            <v>3135</v>
          </cell>
          <cell r="I119" t="str">
            <v>吴达高</v>
          </cell>
          <cell r="J119" t="str">
            <v>续签</v>
          </cell>
          <cell r="M119" t="str">
            <v>4B001/011/019</v>
          </cell>
          <cell r="N119" t="str">
            <v>月租</v>
          </cell>
          <cell r="O119">
            <v>45766</v>
          </cell>
          <cell r="P119">
            <v>45860</v>
          </cell>
          <cell r="Q119">
            <v>46224</v>
          </cell>
        </row>
        <row r="120">
          <cell r="C120" t="str">
            <v>4B002</v>
          </cell>
          <cell r="E120">
            <v>134</v>
          </cell>
          <cell r="F120">
            <v>33</v>
          </cell>
          <cell r="G120">
            <v>4422</v>
          </cell>
          <cell r="H120">
            <v>670</v>
          </cell>
          <cell r="I120" t="str">
            <v>吴达高</v>
          </cell>
          <cell r="J120" t="str">
            <v>续签</v>
          </cell>
          <cell r="M120" t="str">
            <v>4B002</v>
          </cell>
          <cell r="N120" t="str">
            <v>月租</v>
          </cell>
          <cell r="O120">
            <v>46381</v>
          </cell>
          <cell r="P120">
            <v>46038</v>
          </cell>
          <cell r="Q120">
            <v>46402</v>
          </cell>
        </row>
        <row r="121">
          <cell r="C121" t="str">
            <v>4B005</v>
          </cell>
          <cell r="E121">
            <v>111</v>
          </cell>
          <cell r="F121">
            <v>30</v>
          </cell>
          <cell r="G121">
            <v>3330</v>
          </cell>
          <cell r="H121">
            <v>555</v>
          </cell>
          <cell r="J121" t="str">
            <v>空档</v>
          </cell>
          <cell r="K121" t="str">
            <v>吴达高临租交费至2026.1.31</v>
          </cell>
          <cell r="M121" t="str">
            <v>4B005</v>
          </cell>
          <cell r="N121" t="str">
            <v>月租</v>
          </cell>
        </row>
        <row r="122">
          <cell r="C122" t="str">
            <v>4B007</v>
          </cell>
          <cell r="E122">
            <v>124</v>
          </cell>
          <cell r="F122">
            <v>30</v>
          </cell>
          <cell r="G122">
            <v>3720</v>
          </cell>
          <cell r="H122">
            <v>620</v>
          </cell>
          <cell r="I122" t="str">
            <v>吴达高</v>
          </cell>
          <cell r="J122" t="str">
            <v>空档</v>
          </cell>
          <cell r="M122" t="str">
            <v>4B007</v>
          </cell>
          <cell r="N122" t="str">
            <v>月租</v>
          </cell>
        </row>
        <row r="123">
          <cell r="C123" t="str">
            <v>4B009</v>
          </cell>
          <cell r="E123">
            <v>68</v>
          </cell>
          <cell r="F123">
            <v>30</v>
          </cell>
          <cell r="G123">
            <v>2040</v>
          </cell>
          <cell r="H123">
            <v>340</v>
          </cell>
          <cell r="I123" t="str">
            <v>陈栋梁</v>
          </cell>
          <cell r="J123" t="str">
            <v>续签</v>
          </cell>
          <cell r="M123" t="str">
            <v>4B009</v>
          </cell>
          <cell r="N123" t="str">
            <v>月租</v>
          </cell>
          <cell r="O123">
            <v>45972</v>
          </cell>
          <cell r="P123">
            <v>45976</v>
          </cell>
          <cell r="Q123">
            <v>46340</v>
          </cell>
        </row>
        <row r="124">
          <cell r="C124" t="str">
            <v>4B010</v>
          </cell>
          <cell r="E124">
            <v>73</v>
          </cell>
          <cell r="F124">
            <v>30</v>
          </cell>
          <cell r="G124">
            <v>2190</v>
          </cell>
          <cell r="H124">
            <v>365</v>
          </cell>
          <cell r="I124" t="str">
            <v>范志森</v>
          </cell>
          <cell r="J124" t="str">
            <v>空档</v>
          </cell>
          <cell r="M124" t="str">
            <v>4B010</v>
          </cell>
          <cell r="N124" t="str">
            <v>仓库</v>
          </cell>
          <cell r="O124">
            <v>45655</v>
          </cell>
        </row>
        <row r="125">
          <cell r="C125" t="str">
            <v>5A001</v>
          </cell>
          <cell r="E125">
            <v>469.43</v>
          </cell>
          <cell r="F125">
            <v>27</v>
          </cell>
          <cell r="G125">
            <v>12675</v>
          </cell>
          <cell r="H125">
            <v>2347</v>
          </cell>
          <cell r="I125" t="str">
            <v>宋文玲</v>
          </cell>
          <cell r="L125" t="str">
            <v>25.9.16已收押45066,9.23-10.22租12675管2347</v>
          </cell>
          <cell r="M125" t="str">
            <v>5A001</v>
          </cell>
          <cell r="N125" t="str">
            <v>月租</v>
          </cell>
          <cell r="O125">
            <v>45916</v>
          </cell>
          <cell r="P125">
            <v>45916</v>
          </cell>
          <cell r="Q125">
            <v>47011</v>
          </cell>
        </row>
        <row r="126">
          <cell r="C126" t="str">
            <v>5A002</v>
          </cell>
          <cell r="E126">
            <v>100</v>
          </cell>
          <cell r="I126" t="str">
            <v>李恒</v>
          </cell>
          <cell r="J126" t="str">
            <v>临租</v>
          </cell>
          <cell r="K126" t="str">
            <v>免租4.21-5.5</v>
          </cell>
          <cell r="L126" t="str">
            <v>25.4.22已收押1万，5.6-6.5租4500管500</v>
          </cell>
          <cell r="M126" t="str">
            <v>5A002</v>
          </cell>
          <cell r="N126" t="str">
            <v>仓库</v>
          </cell>
          <cell r="O126">
            <v>45768</v>
          </cell>
          <cell r="P126">
            <v>45768</v>
          </cell>
          <cell r="Q126">
            <v>46109</v>
          </cell>
        </row>
        <row r="127">
          <cell r="C127" t="str">
            <v>5A003</v>
          </cell>
          <cell r="E127">
            <v>110</v>
          </cell>
          <cell r="F127">
            <v>42.73</v>
          </cell>
          <cell r="G127">
            <v>4700.3</v>
          </cell>
          <cell r="H127">
            <v>500</v>
          </cell>
          <cell r="I127" t="str">
            <v>李恒</v>
          </cell>
          <cell r="M127" t="str">
            <v>5A003</v>
          </cell>
          <cell r="N127" t="str">
            <v>月租</v>
          </cell>
          <cell r="P127">
            <v>45986</v>
          </cell>
          <cell r="Q127">
            <v>46474</v>
          </cell>
        </row>
        <row r="128">
          <cell r="C128" t="str">
            <v>5A005</v>
          </cell>
          <cell r="E128">
            <v>100</v>
          </cell>
          <cell r="F128">
            <v>45</v>
          </cell>
          <cell r="G128">
            <v>4500</v>
          </cell>
          <cell r="H128">
            <v>500</v>
          </cell>
          <cell r="I128" t="str">
            <v>孙小林</v>
          </cell>
          <cell r="J128" t="str">
            <v>空档</v>
          </cell>
          <cell r="M128" t="str">
            <v>5A005</v>
          </cell>
          <cell r="N128" t="str">
            <v>写字楼</v>
          </cell>
          <cell r="O128">
            <v>45529</v>
          </cell>
        </row>
        <row r="129">
          <cell r="C129" t="str">
            <v>5A006</v>
          </cell>
          <cell r="E129">
            <v>140</v>
          </cell>
          <cell r="F129">
            <v>36.428571428571402</v>
          </cell>
          <cell r="G129">
            <v>5100</v>
          </cell>
          <cell r="H129">
            <v>500</v>
          </cell>
          <cell r="I129" t="str">
            <v>吴洪燕</v>
          </cell>
          <cell r="J129" t="str">
            <v>新签</v>
          </cell>
          <cell r="M129" t="str">
            <v>5A006</v>
          </cell>
          <cell r="N129" t="str">
            <v>写字楼</v>
          </cell>
          <cell r="O129">
            <v>45706</v>
          </cell>
          <cell r="P129">
            <v>45736</v>
          </cell>
          <cell r="Q129">
            <v>46100</v>
          </cell>
        </row>
        <row r="130">
          <cell r="C130" t="str">
            <v>5A008</v>
          </cell>
          <cell r="E130">
            <v>120</v>
          </cell>
          <cell r="F130">
            <v>44.1666666666667</v>
          </cell>
          <cell r="G130">
            <v>5300</v>
          </cell>
          <cell r="H130">
            <v>500</v>
          </cell>
          <cell r="I130" t="str">
            <v>吴洪燕</v>
          </cell>
          <cell r="M130" t="str">
            <v>5A008</v>
          </cell>
          <cell r="O130">
            <v>45561</v>
          </cell>
          <cell r="P130">
            <v>45931</v>
          </cell>
          <cell r="Q130">
            <v>46295</v>
          </cell>
        </row>
        <row r="131">
          <cell r="C131" t="str">
            <v>5A009</v>
          </cell>
          <cell r="E131">
            <v>90</v>
          </cell>
          <cell r="F131">
            <v>41.1111111111111</v>
          </cell>
          <cell r="G131">
            <v>3700</v>
          </cell>
          <cell r="H131">
            <v>500</v>
          </cell>
          <cell r="I131" t="str">
            <v>李恒</v>
          </cell>
          <cell r="K131" t="str">
            <v>3.28到期退</v>
          </cell>
          <cell r="M131" t="str">
            <v>5A009</v>
          </cell>
          <cell r="O131">
            <v>45709</v>
          </cell>
          <cell r="P131">
            <v>45745</v>
          </cell>
          <cell r="Q131">
            <v>46109</v>
          </cell>
        </row>
        <row r="132">
          <cell r="C132" t="str">
            <v>5A010</v>
          </cell>
          <cell r="E132">
            <v>110</v>
          </cell>
          <cell r="I132" t="str">
            <v>王泽彬</v>
          </cell>
          <cell r="J132" t="str">
            <v>空档</v>
          </cell>
          <cell r="M132" t="str">
            <v>5A010</v>
          </cell>
          <cell r="O132">
            <v>45962</v>
          </cell>
        </row>
        <row r="133">
          <cell r="C133" t="str">
            <v>5A011</v>
          </cell>
          <cell r="E133">
            <v>110</v>
          </cell>
          <cell r="F133">
            <v>36.36</v>
          </cell>
          <cell r="G133">
            <v>3999.6</v>
          </cell>
          <cell r="H133">
            <v>500</v>
          </cell>
          <cell r="I133" t="str">
            <v>罗惠艳</v>
          </cell>
          <cell r="K133" t="str">
            <v>5A015调至</v>
          </cell>
          <cell r="M133" t="str">
            <v>5A011</v>
          </cell>
          <cell r="N133" t="str">
            <v>直播间</v>
          </cell>
          <cell r="P133">
            <v>45992</v>
          </cell>
          <cell r="Q133">
            <v>46270</v>
          </cell>
        </row>
        <row r="134">
          <cell r="C134" t="str">
            <v>5A012</v>
          </cell>
          <cell r="D134">
            <v>0.5</v>
          </cell>
          <cell r="E134">
            <v>167</v>
          </cell>
          <cell r="F134">
            <v>35</v>
          </cell>
          <cell r="G134">
            <v>5845</v>
          </cell>
          <cell r="H134">
            <v>835</v>
          </cell>
          <cell r="I134" t="str">
            <v>吴洪燕</v>
          </cell>
          <cell r="M134" t="str">
            <v>5A012</v>
          </cell>
          <cell r="N134" t="str">
            <v>写字楼</v>
          </cell>
          <cell r="P134">
            <v>45981</v>
          </cell>
          <cell r="Q134">
            <v>46342</v>
          </cell>
        </row>
        <row r="135">
          <cell r="C135" t="str">
            <v>5A013</v>
          </cell>
          <cell r="D135">
            <v>0.5</v>
          </cell>
          <cell r="E135">
            <v>277</v>
          </cell>
          <cell r="F135">
            <v>35</v>
          </cell>
          <cell r="G135">
            <v>9695</v>
          </cell>
          <cell r="H135">
            <v>1385</v>
          </cell>
          <cell r="I135" t="str">
            <v>赖秀芝</v>
          </cell>
          <cell r="J135" t="str">
            <v>空档</v>
          </cell>
          <cell r="M135" t="str">
            <v>5A012/013</v>
          </cell>
          <cell r="N135" t="str">
            <v>写字楼</v>
          </cell>
        </row>
        <row r="136">
          <cell r="C136" t="str">
            <v>5A015</v>
          </cell>
          <cell r="E136">
            <v>90</v>
          </cell>
          <cell r="I136" t="str">
            <v>罗惠艳</v>
          </cell>
          <cell r="J136" t="str">
            <v>空档</v>
          </cell>
          <cell r="M136" t="str">
            <v>5A015</v>
          </cell>
          <cell r="N136" t="str">
            <v>仓库</v>
          </cell>
        </row>
        <row r="137">
          <cell r="C137" t="str">
            <v>5A016</v>
          </cell>
          <cell r="E137">
            <v>80</v>
          </cell>
          <cell r="I137" t="str">
            <v>施楚娟</v>
          </cell>
          <cell r="J137" t="str">
            <v>空档</v>
          </cell>
          <cell r="M137" t="str">
            <v>5A016</v>
          </cell>
          <cell r="N137" t="str">
            <v>仓库</v>
          </cell>
        </row>
        <row r="138">
          <cell r="C138" t="str">
            <v>5A017</v>
          </cell>
          <cell r="E138">
            <v>89.21</v>
          </cell>
          <cell r="I138" t="str">
            <v>林畅丽</v>
          </cell>
          <cell r="L138" t="str">
            <v>25.9.9已收押12900,9月租3800管500</v>
          </cell>
          <cell r="M138" t="str">
            <v>5A017</v>
          </cell>
          <cell r="N138" t="str">
            <v>仓库</v>
          </cell>
          <cell r="O138">
            <v>45901</v>
          </cell>
          <cell r="P138">
            <v>45901</v>
          </cell>
          <cell r="Q138">
            <v>46265</v>
          </cell>
        </row>
        <row r="139">
          <cell r="C139" t="str">
            <v>5A018</v>
          </cell>
          <cell r="E139">
            <v>295</v>
          </cell>
          <cell r="F139">
            <v>32</v>
          </cell>
          <cell r="G139">
            <v>9440</v>
          </cell>
          <cell r="H139">
            <v>1475</v>
          </cell>
          <cell r="I139" t="str">
            <v>孙小林</v>
          </cell>
          <cell r="M139" t="str">
            <v>5A018</v>
          </cell>
          <cell r="N139" t="str">
            <v>仓库</v>
          </cell>
          <cell r="O139">
            <v>45741</v>
          </cell>
          <cell r="P139">
            <v>45748</v>
          </cell>
          <cell r="Q139">
            <v>46112</v>
          </cell>
        </row>
        <row r="140">
          <cell r="C140" t="str">
            <v>5A018-1</v>
          </cell>
          <cell r="E140">
            <v>275.10000000000002</v>
          </cell>
          <cell r="I140" t="str">
            <v>吴洪燕</v>
          </cell>
          <cell r="M140" t="str">
            <v>5A018-1</v>
          </cell>
          <cell r="N140" t="str">
            <v>直播间</v>
          </cell>
          <cell r="O140">
            <v>45797</v>
          </cell>
          <cell r="P140">
            <v>45809</v>
          </cell>
          <cell r="Q140">
            <v>46173</v>
          </cell>
        </row>
        <row r="141">
          <cell r="C141" t="str">
            <v>5B001</v>
          </cell>
          <cell r="E141">
            <v>72</v>
          </cell>
          <cell r="F141">
            <v>25</v>
          </cell>
          <cell r="G141">
            <v>1800</v>
          </cell>
          <cell r="H141">
            <v>360</v>
          </cell>
          <cell r="I141" t="str">
            <v>詹皇涛</v>
          </cell>
          <cell r="J141" t="str">
            <v>空档</v>
          </cell>
          <cell r="M141" t="str">
            <v>5B001</v>
          </cell>
          <cell r="N141" t="str">
            <v>月租</v>
          </cell>
          <cell r="O141">
            <v>45734</v>
          </cell>
        </row>
        <row r="142">
          <cell r="C142" t="str">
            <v>5B002</v>
          </cell>
          <cell r="E142">
            <v>134</v>
          </cell>
          <cell r="F142">
            <v>31.5</v>
          </cell>
          <cell r="G142">
            <v>4221</v>
          </cell>
          <cell r="H142">
            <v>670</v>
          </cell>
          <cell r="I142" t="str">
            <v>吴学勇</v>
          </cell>
          <cell r="M142" t="str">
            <v>5B002</v>
          </cell>
          <cell r="N142" t="str">
            <v>仓库</v>
          </cell>
          <cell r="O142">
            <v>45707</v>
          </cell>
          <cell r="P142">
            <v>45735</v>
          </cell>
          <cell r="Q142">
            <v>46099</v>
          </cell>
        </row>
        <row r="143">
          <cell r="C143" t="str">
            <v>5B005</v>
          </cell>
          <cell r="E143">
            <v>190</v>
          </cell>
          <cell r="F143">
            <v>31.5</v>
          </cell>
          <cell r="G143">
            <v>5985</v>
          </cell>
          <cell r="H143">
            <v>950</v>
          </cell>
          <cell r="I143" t="str">
            <v>彭婉婉</v>
          </cell>
          <cell r="J143" t="str">
            <v>续签</v>
          </cell>
          <cell r="M143" t="str">
            <v>5B005</v>
          </cell>
          <cell r="O143">
            <v>45765</v>
          </cell>
          <cell r="P143">
            <v>45774</v>
          </cell>
          <cell r="Q143">
            <v>46138</v>
          </cell>
        </row>
        <row r="144">
          <cell r="C144" t="str">
            <v>5B009</v>
          </cell>
          <cell r="E144">
            <v>68</v>
          </cell>
          <cell r="F144">
            <v>33</v>
          </cell>
          <cell r="G144">
            <v>2244</v>
          </cell>
          <cell r="H144">
            <v>340</v>
          </cell>
          <cell r="J144" t="str">
            <v>空档</v>
          </cell>
          <cell r="M144" t="str">
            <v>5B009</v>
          </cell>
          <cell r="N144" t="str">
            <v>月租</v>
          </cell>
        </row>
        <row r="145">
          <cell r="C145" t="str">
            <v>5B010</v>
          </cell>
          <cell r="E145">
            <v>73</v>
          </cell>
          <cell r="F145">
            <v>31</v>
          </cell>
          <cell r="G145">
            <v>2263</v>
          </cell>
          <cell r="H145">
            <v>365</v>
          </cell>
          <cell r="I145" t="str">
            <v>关健生</v>
          </cell>
          <cell r="J145" t="str">
            <v>续签</v>
          </cell>
          <cell r="M145" t="str">
            <v>5B010</v>
          </cell>
          <cell r="N145" t="str">
            <v>月租</v>
          </cell>
          <cell r="O145">
            <v>45890</v>
          </cell>
          <cell r="P145">
            <v>45925</v>
          </cell>
          <cell r="Q145">
            <v>46289</v>
          </cell>
        </row>
        <row r="146">
          <cell r="C146" t="str">
            <v>5B011</v>
          </cell>
          <cell r="E146">
            <v>185</v>
          </cell>
          <cell r="F146">
            <v>31</v>
          </cell>
          <cell r="G146">
            <v>5735</v>
          </cell>
          <cell r="H146">
            <v>925</v>
          </cell>
          <cell r="I146" t="str">
            <v>魏彬</v>
          </cell>
          <cell r="J146" t="str">
            <v>续签</v>
          </cell>
          <cell r="K146" t="str">
            <v>旧合同未给</v>
          </cell>
          <cell r="M146" t="str">
            <v>5B011</v>
          </cell>
          <cell r="N146" t="str">
            <v>月租</v>
          </cell>
          <cell r="O146">
            <v>45809</v>
          </cell>
          <cell r="P146">
            <v>45858</v>
          </cell>
          <cell r="Q146">
            <v>46222</v>
          </cell>
        </row>
        <row r="147">
          <cell r="C147" t="str">
            <v>5B015</v>
          </cell>
          <cell r="E147">
            <v>183</v>
          </cell>
          <cell r="F147">
            <v>30</v>
          </cell>
          <cell r="G147">
            <v>5490</v>
          </cell>
          <cell r="H147">
            <v>915</v>
          </cell>
          <cell r="I147" t="str">
            <v>彭婉婉</v>
          </cell>
          <cell r="J147" t="str">
            <v>续签</v>
          </cell>
          <cell r="M147" t="str">
            <v>5B015</v>
          </cell>
          <cell r="N147" t="str">
            <v>月租</v>
          </cell>
          <cell r="O147">
            <v>45774</v>
          </cell>
          <cell r="P147">
            <v>45877</v>
          </cell>
          <cell r="Q147">
            <v>46241</v>
          </cell>
        </row>
        <row r="148">
          <cell r="C148" t="str">
            <v>5B018</v>
          </cell>
          <cell r="E148">
            <v>234</v>
          </cell>
          <cell r="F148">
            <v>30</v>
          </cell>
          <cell r="G148">
            <v>7020</v>
          </cell>
          <cell r="I148" t="str">
            <v>雷依俤</v>
          </cell>
          <cell r="J148" t="str">
            <v>续签</v>
          </cell>
          <cell r="M148" t="str">
            <v>5B018</v>
          </cell>
          <cell r="N148" t="str">
            <v>仓库</v>
          </cell>
          <cell r="O148">
            <v>45798</v>
          </cell>
          <cell r="P148">
            <v>45814</v>
          </cell>
          <cell r="Q148">
            <v>46178</v>
          </cell>
        </row>
        <row r="149">
          <cell r="C149" t="str">
            <v>6A001</v>
          </cell>
          <cell r="E149">
            <v>514.65</v>
          </cell>
          <cell r="F149">
            <v>26</v>
          </cell>
          <cell r="G149">
            <v>13380.9</v>
          </cell>
          <cell r="H149">
            <v>2573.25</v>
          </cell>
          <cell r="I149" t="str">
            <v>陈永红</v>
          </cell>
          <cell r="M149" t="str">
            <v>6A001</v>
          </cell>
          <cell r="O149">
            <v>45816</v>
          </cell>
          <cell r="P149">
            <v>45816</v>
          </cell>
          <cell r="Q149">
            <v>46180</v>
          </cell>
        </row>
        <row r="150">
          <cell r="C150" t="str">
            <v>6A002</v>
          </cell>
          <cell r="E150">
            <v>310.69</v>
          </cell>
          <cell r="F150">
            <v>25.55</v>
          </cell>
          <cell r="G150">
            <v>7938.1295</v>
          </cell>
          <cell r="H150">
            <v>1654</v>
          </cell>
          <cell r="I150" t="str">
            <v>李亚楠</v>
          </cell>
          <cell r="J150" t="str">
            <v>临租</v>
          </cell>
          <cell r="K150" t="str">
            <v>签合同面积330.69㎡</v>
          </cell>
          <cell r="M150" t="str">
            <v>6A002</v>
          </cell>
          <cell r="N150" t="str">
            <v>仓库</v>
          </cell>
          <cell r="O150">
            <v>45968</v>
          </cell>
          <cell r="P150">
            <v>45889</v>
          </cell>
          <cell r="Q150">
            <v>46081</v>
          </cell>
        </row>
        <row r="151">
          <cell r="C151" t="str">
            <v>6A003</v>
          </cell>
          <cell r="E151">
            <v>199.48</v>
          </cell>
          <cell r="I151" t="str">
            <v>李亚楠</v>
          </cell>
          <cell r="J151" t="str">
            <v>续签</v>
          </cell>
          <cell r="M151" t="str">
            <v>6A003</v>
          </cell>
          <cell r="O151">
            <v>45877</v>
          </cell>
          <cell r="P151">
            <v>45874</v>
          </cell>
          <cell r="Q151">
            <v>46238</v>
          </cell>
        </row>
        <row r="152">
          <cell r="C152" t="str">
            <v>6A005</v>
          </cell>
          <cell r="E152">
            <v>275.60000000000002</v>
          </cell>
          <cell r="J152" t="str">
            <v>空档</v>
          </cell>
          <cell r="M152" t="str">
            <v>6A005</v>
          </cell>
        </row>
        <row r="153">
          <cell r="C153" t="str">
            <v>6A006</v>
          </cell>
          <cell r="E153">
            <v>710.04</v>
          </cell>
          <cell r="F153">
            <v>28</v>
          </cell>
          <cell r="G153">
            <v>19881.12</v>
          </cell>
          <cell r="I153" t="str">
            <v>李亚楠</v>
          </cell>
          <cell r="J153" t="str">
            <v>续签</v>
          </cell>
          <cell r="M153" t="str">
            <v>6A006</v>
          </cell>
          <cell r="N153" t="str">
            <v>办公仓库</v>
          </cell>
          <cell r="O153">
            <v>45877</v>
          </cell>
          <cell r="P153">
            <v>45910</v>
          </cell>
          <cell r="Q153">
            <v>46274</v>
          </cell>
        </row>
        <row r="154">
          <cell r="C154" t="str">
            <v>6A007</v>
          </cell>
          <cell r="E154">
            <v>168</v>
          </cell>
          <cell r="I154" t="str">
            <v>詹皇涛</v>
          </cell>
          <cell r="J154" t="str">
            <v>空档</v>
          </cell>
          <cell r="M154" t="str">
            <v>6A007</v>
          </cell>
        </row>
        <row r="155">
          <cell r="C155" t="str">
            <v>6A008</v>
          </cell>
          <cell r="E155">
            <v>219</v>
          </cell>
          <cell r="G155">
            <v>0</v>
          </cell>
          <cell r="I155" t="str">
            <v>刘春莹</v>
          </cell>
          <cell r="J155" t="str">
            <v>续签</v>
          </cell>
          <cell r="K155" t="str">
            <v>换名原价续签</v>
          </cell>
          <cell r="M155" t="str">
            <v>6A008</v>
          </cell>
          <cell r="N155" t="str">
            <v>仓库</v>
          </cell>
          <cell r="O155">
            <v>45709</v>
          </cell>
          <cell r="P155">
            <v>46071</v>
          </cell>
          <cell r="Q155">
            <v>46435</v>
          </cell>
        </row>
        <row r="156">
          <cell r="C156" t="str">
            <v>6A009</v>
          </cell>
          <cell r="E156">
            <v>176</v>
          </cell>
          <cell r="I156" t="str">
            <v>孙杨</v>
          </cell>
          <cell r="J156" t="str">
            <v>新签</v>
          </cell>
          <cell r="M156" t="str">
            <v>6A009</v>
          </cell>
          <cell r="N156" t="str">
            <v>仓库</v>
          </cell>
          <cell r="O156">
            <v>45767</v>
          </cell>
          <cell r="P156">
            <v>45773</v>
          </cell>
          <cell r="Q156">
            <v>46868</v>
          </cell>
        </row>
        <row r="157">
          <cell r="C157" t="str">
            <v>6A010</v>
          </cell>
          <cell r="E157">
            <v>60.73</v>
          </cell>
          <cell r="F157">
            <v>26.03</v>
          </cell>
          <cell r="G157">
            <v>1580.8018999999999</v>
          </cell>
          <cell r="H157">
            <v>303.64999999999998</v>
          </cell>
          <cell r="I157" t="str">
            <v>杨镇泉</v>
          </cell>
          <cell r="J157" t="str">
            <v>新签</v>
          </cell>
          <cell r="L157" t="str">
            <v>25.6.8已收押6015，6.10-7.9租1701管304</v>
          </cell>
          <cell r="M157" t="str">
            <v>6A010</v>
          </cell>
          <cell r="O157">
            <v>45817</v>
          </cell>
          <cell r="P157">
            <v>45818</v>
          </cell>
          <cell r="Q157">
            <v>46182</v>
          </cell>
        </row>
      </sheetData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pane ySplit="3" topLeftCell="A4" activePane="bottomLeft" state="frozen"/>
      <selection pane="bottomLeft" activeCell="B4" sqref="B4"/>
    </sheetView>
  </sheetViews>
  <sheetFormatPr defaultColWidth="9" defaultRowHeight="14" x14ac:dyDescent="0.3"/>
  <cols>
    <col min="1" max="1" width="30.33203125" style="36" customWidth="1"/>
    <col min="2" max="2" width="10.75" style="36" customWidth="1"/>
    <col min="3" max="3" width="9" style="36"/>
    <col min="4" max="4" width="10.33203125" style="36"/>
    <col min="5" max="5" width="9" style="36"/>
    <col min="6" max="6" width="12.83203125" style="36"/>
    <col min="7" max="8" width="9" style="36"/>
    <col min="9" max="9" width="17.5" style="36" customWidth="1"/>
    <col min="10" max="10" width="9" style="36"/>
  </cols>
  <sheetData>
    <row r="1" spans="1:9" ht="27.5" x14ac:dyDescent="0.3">
      <c r="A1" s="119" t="s">
        <v>0</v>
      </c>
      <c r="B1" s="119"/>
      <c r="C1" s="119"/>
      <c r="D1" s="119"/>
      <c r="E1" s="119"/>
      <c r="F1" s="119"/>
      <c r="G1" s="119"/>
      <c r="H1" s="119"/>
      <c r="I1" s="119"/>
    </row>
    <row r="2" spans="1:9" ht="35" customHeight="1" x14ac:dyDescent="0.3">
      <c r="A2" s="124" t="s">
        <v>1</v>
      </c>
      <c r="B2" s="120" t="s">
        <v>2</v>
      </c>
      <c r="C2" s="120"/>
      <c r="D2" s="121" t="s">
        <v>3</v>
      </c>
      <c r="E2" s="122"/>
      <c r="F2" s="121" t="s">
        <v>4</v>
      </c>
      <c r="G2" s="123"/>
      <c r="H2" s="121" t="s">
        <v>5</v>
      </c>
      <c r="I2" s="126" t="s">
        <v>6</v>
      </c>
    </row>
    <row r="3" spans="1:9" ht="35" customHeight="1" x14ac:dyDescent="0.3">
      <c r="A3" s="125"/>
      <c r="B3" s="104" t="s">
        <v>7</v>
      </c>
      <c r="C3" s="104" t="s">
        <v>8</v>
      </c>
      <c r="D3" s="104" t="s">
        <v>9</v>
      </c>
      <c r="E3" s="104" t="s">
        <v>8</v>
      </c>
      <c r="F3" s="104" t="s">
        <v>9</v>
      </c>
      <c r="G3" s="103" t="s">
        <v>8</v>
      </c>
      <c r="H3" s="121"/>
      <c r="I3" s="126"/>
    </row>
    <row r="4" spans="1:9" ht="35" customHeight="1" x14ac:dyDescent="0.3">
      <c r="A4" s="104" t="s">
        <v>10</v>
      </c>
      <c r="B4" s="105">
        <v>30568.491999999998</v>
      </c>
      <c r="C4" s="104">
        <v>773</v>
      </c>
      <c r="D4" s="106">
        <v>7916.64</v>
      </c>
      <c r="E4" s="104">
        <v>72</v>
      </c>
      <c r="F4" s="107">
        <f t="shared" ref="F4:F12" si="0">B4-D4</f>
        <v>22651.851999999999</v>
      </c>
      <c r="G4" s="104">
        <f t="shared" ref="G4:G12" si="1">C4-E4</f>
        <v>701</v>
      </c>
      <c r="H4" s="108">
        <f t="shared" ref="H4:H13" si="2">F4/B4</f>
        <v>0.74101960934154032</v>
      </c>
      <c r="I4" s="104"/>
    </row>
    <row r="5" spans="1:9" ht="35" customHeight="1" x14ac:dyDescent="0.3">
      <c r="A5" s="104" t="s">
        <v>11</v>
      </c>
      <c r="B5" s="104">
        <v>8635</v>
      </c>
      <c r="C5" s="104">
        <v>306</v>
      </c>
      <c r="D5" s="106">
        <f>26.15+6+211.6+129.7</f>
        <v>373.45</v>
      </c>
      <c r="E5" s="104">
        <v>35</v>
      </c>
      <c r="F5" s="107">
        <f t="shared" si="0"/>
        <v>8261.5499999999993</v>
      </c>
      <c r="G5" s="104">
        <f t="shared" si="1"/>
        <v>271</v>
      </c>
      <c r="H5" s="108">
        <f t="shared" si="2"/>
        <v>0.95675159235668805</v>
      </c>
      <c r="I5" s="104"/>
    </row>
    <row r="6" spans="1:9" ht="35" customHeight="1" x14ac:dyDescent="0.3">
      <c r="A6" s="104" t="s">
        <v>12</v>
      </c>
      <c r="B6" s="104">
        <v>29205</v>
      </c>
      <c r="C6" s="104">
        <v>284</v>
      </c>
      <c r="D6" s="106">
        <v>3380</v>
      </c>
      <c r="E6" s="104">
        <v>62</v>
      </c>
      <c r="F6" s="107">
        <f t="shared" si="0"/>
        <v>25825</v>
      </c>
      <c r="G6" s="104">
        <f t="shared" si="1"/>
        <v>222</v>
      </c>
      <c r="H6" s="108">
        <f t="shared" si="2"/>
        <v>0.88426639274096897</v>
      </c>
      <c r="I6" s="104"/>
    </row>
    <row r="7" spans="1:9" ht="35" customHeight="1" x14ac:dyDescent="0.3">
      <c r="A7" s="104" t="s">
        <v>13</v>
      </c>
      <c r="B7" s="104">
        <v>35359.199999999997</v>
      </c>
      <c r="C7" s="104">
        <v>576</v>
      </c>
      <c r="D7" s="104">
        <v>5617.53</v>
      </c>
      <c r="E7" s="109">
        <v>94</v>
      </c>
      <c r="F7" s="107">
        <f t="shared" si="0"/>
        <v>29741.67</v>
      </c>
      <c r="G7" s="104">
        <f t="shared" si="1"/>
        <v>482</v>
      </c>
      <c r="H7" s="108">
        <f t="shared" si="2"/>
        <v>0.84112960700468298</v>
      </c>
      <c r="I7" s="104"/>
    </row>
    <row r="8" spans="1:9" ht="35" customHeight="1" x14ac:dyDescent="0.3">
      <c r="A8" s="104" t="s">
        <v>14</v>
      </c>
      <c r="B8" s="104">
        <v>1001</v>
      </c>
      <c r="C8" s="104">
        <v>55</v>
      </c>
      <c r="D8" s="104">
        <v>197</v>
      </c>
      <c r="E8" s="104">
        <v>1</v>
      </c>
      <c r="F8" s="107">
        <v>804</v>
      </c>
      <c r="G8" s="104">
        <f t="shared" si="1"/>
        <v>54</v>
      </c>
      <c r="H8" s="108">
        <v>0.80320000000000003</v>
      </c>
      <c r="I8" s="104"/>
    </row>
    <row r="9" spans="1:9" ht="35" customHeight="1" x14ac:dyDescent="0.3">
      <c r="A9" s="110" t="s">
        <v>15</v>
      </c>
      <c r="B9" s="104">
        <f>SUM(兆丰壹号!D2:D7)</f>
        <v>1001</v>
      </c>
      <c r="C9" s="104">
        <v>322</v>
      </c>
      <c r="D9" s="104">
        <f>SUM(兆丰壹号!N2:N7)</f>
        <v>0</v>
      </c>
      <c r="E9" s="104">
        <v>22</v>
      </c>
      <c r="F9" s="107">
        <f t="shared" si="0"/>
        <v>1001</v>
      </c>
      <c r="G9" s="104">
        <f t="shared" si="1"/>
        <v>300</v>
      </c>
      <c r="H9" s="108">
        <f t="shared" si="2"/>
        <v>1</v>
      </c>
      <c r="I9" s="104"/>
    </row>
    <row r="10" spans="1:9" ht="35" customHeight="1" x14ac:dyDescent="0.3">
      <c r="A10" s="110" t="s">
        <v>16</v>
      </c>
      <c r="B10" s="104">
        <v>51119</v>
      </c>
      <c r="C10" s="111">
        <v>421</v>
      </c>
      <c r="D10" s="111">
        <v>12140</v>
      </c>
      <c r="E10" s="111">
        <v>92</v>
      </c>
      <c r="F10" s="107">
        <f t="shared" si="0"/>
        <v>38979</v>
      </c>
      <c r="G10" s="104">
        <f t="shared" si="1"/>
        <v>329</v>
      </c>
      <c r="H10" s="108">
        <f t="shared" si="2"/>
        <v>0.76251491617598199</v>
      </c>
      <c r="I10" s="110"/>
    </row>
    <row r="11" spans="1:9" ht="35" customHeight="1" x14ac:dyDescent="0.3">
      <c r="A11" s="110" t="s">
        <v>17</v>
      </c>
      <c r="B11" s="104">
        <v>22182</v>
      </c>
      <c r="C11" s="111">
        <v>88</v>
      </c>
      <c r="D11" s="111">
        <v>4131</v>
      </c>
      <c r="E11" s="111">
        <v>23</v>
      </c>
      <c r="F11" s="107">
        <f t="shared" si="0"/>
        <v>18051</v>
      </c>
      <c r="G11" s="104">
        <f t="shared" si="1"/>
        <v>65</v>
      </c>
      <c r="H11" s="108">
        <f t="shared" si="2"/>
        <v>0.81376791993508202</v>
      </c>
      <c r="I11" s="110"/>
    </row>
    <row r="12" spans="1:9" ht="35" customHeight="1" x14ac:dyDescent="0.3">
      <c r="A12" s="110" t="s">
        <v>18</v>
      </c>
      <c r="B12" s="73">
        <v>21194.92</v>
      </c>
      <c r="C12" s="73">
        <v>143</v>
      </c>
      <c r="D12" s="73">
        <v>2584.5</v>
      </c>
      <c r="E12" s="73">
        <v>19</v>
      </c>
      <c r="F12" s="107">
        <f t="shared" si="0"/>
        <v>18610.419999999998</v>
      </c>
      <c r="G12" s="104">
        <f t="shared" si="1"/>
        <v>124</v>
      </c>
      <c r="H12" s="108">
        <f t="shared" si="2"/>
        <v>0.87806040315320799</v>
      </c>
      <c r="I12" s="110"/>
    </row>
    <row r="13" spans="1:9" ht="35" customHeight="1" x14ac:dyDescent="0.3">
      <c r="A13" s="112" t="s">
        <v>19</v>
      </c>
      <c r="B13" s="112">
        <f t="shared" ref="B13:G13" si="3">SUM(B4:B12)</f>
        <v>200265.61199999996</v>
      </c>
      <c r="C13" s="112">
        <f t="shared" si="3"/>
        <v>2968</v>
      </c>
      <c r="D13" s="112">
        <f t="shared" si="3"/>
        <v>36340.119999999995</v>
      </c>
      <c r="E13" s="112">
        <f t="shared" si="3"/>
        <v>420</v>
      </c>
      <c r="F13" s="112">
        <f t="shared" si="3"/>
        <v>163925.49199999997</v>
      </c>
      <c r="G13" s="112">
        <f t="shared" si="3"/>
        <v>2548</v>
      </c>
      <c r="H13" s="113">
        <f t="shared" si="2"/>
        <v>0.81854038925065176</v>
      </c>
      <c r="I13" s="104"/>
    </row>
  </sheetData>
  <mergeCells count="7">
    <mergeCell ref="A1:I1"/>
    <mergeCell ref="B2:C2"/>
    <mergeCell ref="D2:E2"/>
    <mergeCell ref="F2:G2"/>
    <mergeCell ref="A2:A3"/>
    <mergeCell ref="H2:H3"/>
    <mergeCell ref="I2:I3"/>
  </mergeCells>
  <phoneticPr fontId="2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81"/>
  <sheetViews>
    <sheetView workbookViewId="0">
      <pane ySplit="1" topLeftCell="A333" activePane="bottomLeft" state="frozen"/>
      <selection pane="bottomLeft" activeCell="C349" sqref="C349"/>
    </sheetView>
  </sheetViews>
  <sheetFormatPr defaultColWidth="9" defaultRowHeight="14" x14ac:dyDescent="0.3"/>
  <cols>
    <col min="1" max="1" width="23.25" style="2" customWidth="1"/>
    <col min="2" max="2" width="11.25" style="2" customWidth="1"/>
    <col min="3" max="3" width="28.83203125" style="2" customWidth="1"/>
    <col min="4" max="6" width="13.58203125" style="2" customWidth="1"/>
    <col min="7" max="7" width="14.75" style="2" customWidth="1"/>
    <col min="8" max="8" width="9.58203125" style="2" customWidth="1"/>
    <col min="9" max="9" width="9" style="2"/>
    <col min="10" max="11" width="11" style="2" customWidth="1"/>
    <col min="12" max="12" width="14.58203125" style="2" customWidth="1"/>
    <col min="13" max="15" width="15.08203125" style="2" customWidth="1"/>
  </cols>
  <sheetData>
    <row r="1" spans="1:15" ht="37" customHeight="1" x14ac:dyDescent="0.3">
      <c r="A1" s="71" t="s">
        <v>20</v>
      </c>
      <c r="B1" s="71" t="s">
        <v>21</v>
      </c>
      <c r="C1" s="71" t="s">
        <v>22</v>
      </c>
      <c r="D1" s="71" t="s">
        <v>23</v>
      </c>
      <c r="E1" s="71" t="s">
        <v>24</v>
      </c>
      <c r="F1" s="71" t="s">
        <v>25</v>
      </c>
      <c r="G1" s="71" t="s">
        <v>26</v>
      </c>
      <c r="H1" s="8" t="s">
        <v>27</v>
      </c>
      <c r="I1" s="71" t="s">
        <v>28</v>
      </c>
      <c r="J1" s="71" t="s">
        <v>29</v>
      </c>
      <c r="K1" s="71" t="s">
        <v>30</v>
      </c>
      <c r="L1" s="71" t="s">
        <v>31</v>
      </c>
      <c r="M1" s="71" t="s">
        <v>32</v>
      </c>
      <c r="N1" s="71" t="s">
        <v>33</v>
      </c>
      <c r="O1" s="8" t="s">
        <v>34</v>
      </c>
    </row>
    <row r="2" spans="1:15" x14ac:dyDescent="0.3">
      <c r="A2" s="96" t="s">
        <v>35</v>
      </c>
      <c r="B2" s="97" t="s">
        <v>36</v>
      </c>
      <c r="C2" s="98" t="s">
        <v>37</v>
      </c>
      <c r="D2" s="97">
        <v>185</v>
      </c>
      <c r="E2" s="97"/>
      <c r="F2" s="97"/>
      <c r="G2" s="97" t="s">
        <v>38</v>
      </c>
      <c r="H2" s="97"/>
      <c r="I2" s="97"/>
      <c r="J2" s="99">
        <f>VLOOKUP(C2,'[1]2026.3'!$C$3:$Q$379,13,0)</f>
        <v>45771</v>
      </c>
      <c r="K2" s="99">
        <f>VLOOKUP(C2,'[1]2026.3'!$C$3:$Q$379,14,0)</f>
        <v>45717</v>
      </c>
      <c r="L2" s="99">
        <f>VLOOKUP(C2,'[1]2026.3'!$C$3:$Q$379,15,0)</f>
        <v>46812</v>
      </c>
      <c r="M2" s="97">
        <f t="shared" ref="M2:M65" si="0">IF(G2="已租",D2,0)</f>
        <v>185</v>
      </c>
      <c r="N2" s="97">
        <f t="shared" ref="N2:N65" si="1">IF(G2="未出租",D2,0)</f>
        <v>0</v>
      </c>
      <c r="O2" s="97"/>
    </row>
    <row r="3" spans="1:15" x14ac:dyDescent="0.3">
      <c r="A3" s="96" t="s">
        <v>35</v>
      </c>
      <c r="B3" s="97" t="s">
        <v>36</v>
      </c>
      <c r="C3" s="98" t="s">
        <v>39</v>
      </c>
      <c r="D3" s="97">
        <v>165</v>
      </c>
      <c r="E3" s="97"/>
      <c r="F3" s="97"/>
      <c r="G3" s="97" t="s">
        <v>38</v>
      </c>
      <c r="H3" s="97"/>
      <c r="I3" s="97"/>
      <c r="J3" s="99">
        <f>VLOOKUP(C3,'[1]2026.3'!$C$3:$Q$379,13,0)</f>
        <v>45785</v>
      </c>
      <c r="K3" s="99">
        <f>VLOOKUP(C3,'[1]2026.3'!$C$3:$Q$379,14,0)</f>
        <v>45823</v>
      </c>
      <c r="L3" s="99">
        <f>VLOOKUP(C3,'[1]2026.3'!$C$3:$Q$379,15,0)</f>
        <v>46918</v>
      </c>
      <c r="M3" s="97">
        <f t="shared" si="0"/>
        <v>165</v>
      </c>
      <c r="N3" s="97">
        <f t="shared" si="1"/>
        <v>0</v>
      </c>
      <c r="O3" s="97"/>
    </row>
    <row r="4" spans="1:15" x14ac:dyDescent="0.3">
      <c r="A4" s="96" t="s">
        <v>35</v>
      </c>
      <c r="B4" s="97" t="s">
        <v>36</v>
      </c>
      <c r="C4" s="98" t="s">
        <v>40</v>
      </c>
      <c r="D4" s="97">
        <v>228</v>
      </c>
      <c r="E4" s="97"/>
      <c r="F4" s="97"/>
      <c r="G4" s="97" t="s">
        <v>38</v>
      </c>
      <c r="H4" s="97"/>
      <c r="I4" s="97"/>
      <c r="J4" s="99">
        <f>VLOOKUP(C4,'[1]2026.3'!$C$3:$Q$379,13,0)</f>
        <v>45778</v>
      </c>
      <c r="K4" s="99">
        <f>VLOOKUP(C4,'[1]2026.3'!$C$3:$Q$379,14,0)</f>
        <v>45809</v>
      </c>
      <c r="L4" s="99">
        <f>VLOOKUP(C4,'[1]2026.3'!$C$3:$Q$379,15,0)</f>
        <v>46904</v>
      </c>
      <c r="M4" s="97">
        <f t="shared" si="0"/>
        <v>228</v>
      </c>
      <c r="N4" s="97">
        <f t="shared" si="1"/>
        <v>0</v>
      </c>
      <c r="O4" s="97"/>
    </row>
    <row r="5" spans="1:15" x14ac:dyDescent="0.3">
      <c r="A5" s="96" t="s">
        <v>35</v>
      </c>
      <c r="B5" s="97" t="s">
        <v>36</v>
      </c>
      <c r="C5" s="98" t="s">
        <v>41</v>
      </c>
      <c r="D5" s="97">
        <v>114</v>
      </c>
      <c r="E5" s="97"/>
      <c r="F5" s="97"/>
      <c r="G5" s="97" t="s">
        <v>38</v>
      </c>
      <c r="H5" s="97"/>
      <c r="I5" s="97"/>
      <c r="J5" s="99">
        <f>VLOOKUP(C5,'[1]2026.3'!$C$3:$Q$379,13,0)</f>
        <v>45771</v>
      </c>
      <c r="K5" s="99">
        <f>VLOOKUP(C5,'[1]2026.3'!$C$3:$Q$379,14,0)</f>
        <v>45823</v>
      </c>
      <c r="L5" s="99">
        <f>VLOOKUP(C5,'[1]2026.3'!$C$3:$Q$379,15,0)</f>
        <v>46918</v>
      </c>
      <c r="M5" s="97">
        <f t="shared" si="0"/>
        <v>114</v>
      </c>
      <c r="N5" s="97">
        <f t="shared" si="1"/>
        <v>0</v>
      </c>
      <c r="O5" s="97"/>
    </row>
    <row r="6" spans="1:15" x14ac:dyDescent="0.3">
      <c r="A6" s="96" t="s">
        <v>35</v>
      </c>
      <c r="B6" s="97" t="s">
        <v>36</v>
      </c>
      <c r="C6" s="98" t="s">
        <v>42</v>
      </c>
      <c r="D6" s="97">
        <v>118</v>
      </c>
      <c r="E6" s="97"/>
      <c r="F6" s="97"/>
      <c r="G6" s="97" t="s">
        <v>38</v>
      </c>
      <c r="H6" s="97"/>
      <c r="I6" s="97"/>
      <c r="J6" s="99">
        <f>VLOOKUP(C6,'[1]2026.3'!$C$3:$Q$379,13,0)</f>
        <v>45746</v>
      </c>
      <c r="K6" s="99">
        <f>VLOOKUP(C6,'[1]2026.3'!$C$3:$Q$379,14,0)</f>
        <v>45748</v>
      </c>
      <c r="L6" s="99">
        <f>VLOOKUP(C6,'[1]2026.3'!$C$3:$Q$379,15,0)</f>
        <v>46843</v>
      </c>
      <c r="M6" s="97">
        <f t="shared" si="0"/>
        <v>118</v>
      </c>
      <c r="N6" s="97">
        <f t="shared" si="1"/>
        <v>0</v>
      </c>
      <c r="O6" s="97"/>
    </row>
    <row r="7" spans="1:15" x14ac:dyDescent="0.3">
      <c r="A7" s="96" t="s">
        <v>35</v>
      </c>
      <c r="B7" s="97" t="s">
        <v>36</v>
      </c>
      <c r="C7" s="98" t="s">
        <v>43</v>
      </c>
      <c r="D7" s="97">
        <v>118</v>
      </c>
      <c r="E7" s="97"/>
      <c r="F7" s="97"/>
      <c r="G7" s="97" t="s">
        <v>38</v>
      </c>
      <c r="H7" s="97"/>
      <c r="I7" s="97"/>
      <c r="J7" s="99">
        <f>VLOOKUP(C7,'[1]2026.3'!$C$3:$Q$379,13,0)</f>
        <v>45717</v>
      </c>
      <c r="K7" s="99">
        <f>VLOOKUP(C7,'[1]2026.3'!$C$3:$Q$379,14,0)</f>
        <v>45717</v>
      </c>
      <c r="L7" s="99">
        <f>VLOOKUP(C7,'[1]2026.3'!$C$3:$Q$379,15,0)</f>
        <v>46812</v>
      </c>
      <c r="M7" s="97">
        <f t="shared" si="0"/>
        <v>118</v>
      </c>
      <c r="N7" s="97">
        <f t="shared" si="1"/>
        <v>0</v>
      </c>
      <c r="O7" s="97"/>
    </row>
    <row r="8" spans="1:15" x14ac:dyDescent="0.3">
      <c r="A8" s="96" t="s">
        <v>35</v>
      </c>
      <c r="B8" s="97" t="s">
        <v>36</v>
      </c>
      <c r="C8" s="98" t="s">
        <v>44</v>
      </c>
      <c r="D8" s="97">
        <v>92</v>
      </c>
      <c r="E8" s="97"/>
      <c r="F8" s="97"/>
      <c r="G8" s="97" t="s">
        <v>38</v>
      </c>
      <c r="H8" s="97"/>
      <c r="I8" s="97"/>
      <c r="J8" s="99">
        <f>VLOOKUP(C8,'[1]2026.3'!$C$3:$Q$379,13,0)</f>
        <v>45748</v>
      </c>
      <c r="K8" s="99">
        <f>VLOOKUP(C8,'[1]2026.3'!$C$3:$Q$379,14,0)</f>
        <v>45748</v>
      </c>
      <c r="L8" s="99">
        <f>VLOOKUP(C8,'[1]2026.3'!$C$3:$Q$379,15,0)</f>
        <v>46843</v>
      </c>
      <c r="M8" s="97">
        <f t="shared" si="0"/>
        <v>92</v>
      </c>
      <c r="N8" s="97">
        <f t="shared" si="1"/>
        <v>0</v>
      </c>
      <c r="O8" s="97"/>
    </row>
    <row r="9" spans="1:15" x14ac:dyDescent="0.3">
      <c r="A9" s="96" t="s">
        <v>35</v>
      </c>
      <c r="B9" s="97" t="s">
        <v>36</v>
      </c>
      <c r="C9" s="98" t="s">
        <v>45</v>
      </c>
      <c r="D9" s="97">
        <v>84</v>
      </c>
      <c r="E9" s="97"/>
      <c r="F9" s="97"/>
      <c r="G9" s="97" t="s">
        <v>38</v>
      </c>
      <c r="H9" s="97"/>
      <c r="I9" s="97"/>
      <c r="J9" s="99">
        <f>VLOOKUP(C9,'[1]2026.3'!$C$3:$Q$379,13,0)</f>
        <v>45839</v>
      </c>
      <c r="K9" s="99">
        <f>VLOOKUP(C9,'[1]2026.3'!$C$3:$Q$379,14,0)</f>
        <v>45839</v>
      </c>
      <c r="L9" s="99">
        <f>VLOOKUP(C9,'[1]2026.3'!$C$3:$Q$379,15,0)</f>
        <v>46934</v>
      </c>
      <c r="M9" s="97">
        <f t="shared" si="0"/>
        <v>84</v>
      </c>
      <c r="N9" s="97">
        <f t="shared" si="1"/>
        <v>0</v>
      </c>
      <c r="O9" s="97"/>
    </row>
    <row r="10" spans="1:15" x14ac:dyDescent="0.3">
      <c r="A10" s="96" t="s">
        <v>35</v>
      </c>
      <c r="B10" s="97" t="s">
        <v>36</v>
      </c>
      <c r="C10" s="98" t="s">
        <v>46</v>
      </c>
      <c r="D10" s="97">
        <v>90</v>
      </c>
      <c r="E10" s="97"/>
      <c r="F10" s="97"/>
      <c r="G10" s="97" t="s">
        <v>38</v>
      </c>
      <c r="H10" s="97"/>
      <c r="I10" s="97"/>
      <c r="J10" s="99">
        <f>VLOOKUP(C10,'[1]2026.3'!$C$3:$Q$379,13,0)</f>
        <v>45743</v>
      </c>
      <c r="K10" s="99">
        <f>VLOOKUP(C10,'[1]2026.3'!$C$3:$Q$379,14,0)</f>
        <v>45748</v>
      </c>
      <c r="L10" s="99">
        <f>VLOOKUP(C10,'[1]2026.3'!$C$3:$Q$379,15,0)</f>
        <v>46843</v>
      </c>
      <c r="M10" s="97">
        <f t="shared" si="0"/>
        <v>90</v>
      </c>
      <c r="N10" s="97">
        <f t="shared" si="1"/>
        <v>0</v>
      </c>
      <c r="O10" s="97"/>
    </row>
    <row r="11" spans="1:15" x14ac:dyDescent="0.3">
      <c r="A11" s="96" t="s">
        <v>35</v>
      </c>
      <c r="B11" s="97" t="s">
        <v>36</v>
      </c>
      <c r="C11" s="98" t="s">
        <v>47</v>
      </c>
      <c r="D11" s="97">
        <v>89</v>
      </c>
      <c r="E11" s="97"/>
      <c r="F11" s="97"/>
      <c r="G11" s="97" t="s">
        <v>38</v>
      </c>
      <c r="H11" s="97"/>
      <c r="I11" s="97"/>
      <c r="J11" s="99">
        <f>VLOOKUP(C11,'[1]2026.3'!$C$3:$Q$379,13,0)</f>
        <v>45743</v>
      </c>
      <c r="K11" s="99">
        <f>VLOOKUP(C11,'[1]2026.3'!$C$3:$Q$379,14,0)</f>
        <v>45748</v>
      </c>
      <c r="L11" s="99">
        <f>VLOOKUP(C11,'[1]2026.3'!$C$3:$Q$379,15,0)</f>
        <v>46843</v>
      </c>
      <c r="M11" s="97">
        <f t="shared" si="0"/>
        <v>89</v>
      </c>
      <c r="N11" s="97">
        <f t="shared" si="1"/>
        <v>0</v>
      </c>
      <c r="O11" s="97"/>
    </row>
    <row r="12" spans="1:15" x14ac:dyDescent="0.3">
      <c r="A12" s="96" t="s">
        <v>35</v>
      </c>
      <c r="B12" s="97" t="s">
        <v>36</v>
      </c>
      <c r="C12" s="98" t="s">
        <v>48</v>
      </c>
      <c r="D12" s="97">
        <v>111</v>
      </c>
      <c r="E12" s="97"/>
      <c r="F12" s="97"/>
      <c r="G12" s="97" t="s">
        <v>38</v>
      </c>
      <c r="H12" s="97"/>
      <c r="I12" s="97"/>
      <c r="J12" s="99">
        <f>VLOOKUP(C12,'[1]2026.3'!$C$3:$Q$379,13,0)</f>
        <v>45768</v>
      </c>
      <c r="K12" s="99">
        <f>VLOOKUP(C12,'[1]2026.3'!$C$3:$Q$379,14,0)</f>
        <v>45778</v>
      </c>
      <c r="L12" s="99">
        <f>VLOOKUP(C12,'[1]2026.3'!$C$3:$Q$379,15,0)</f>
        <v>46873</v>
      </c>
      <c r="M12" s="97">
        <f t="shared" si="0"/>
        <v>111</v>
      </c>
      <c r="N12" s="97">
        <f t="shared" si="1"/>
        <v>0</v>
      </c>
      <c r="O12" s="97"/>
    </row>
    <row r="13" spans="1:15" x14ac:dyDescent="0.3">
      <c r="A13" s="96" t="s">
        <v>35</v>
      </c>
      <c r="B13" s="97" t="s">
        <v>36</v>
      </c>
      <c r="C13" s="98" t="s">
        <v>49</v>
      </c>
      <c r="D13" s="97">
        <v>109</v>
      </c>
      <c r="E13" s="97"/>
      <c r="F13" s="97"/>
      <c r="G13" s="97" t="s">
        <v>38</v>
      </c>
      <c r="H13" s="97"/>
      <c r="I13" s="97"/>
      <c r="J13" s="99">
        <f>VLOOKUP(C13,'[1]2026.3'!$C$3:$Q$379,13,0)</f>
        <v>45917</v>
      </c>
      <c r="K13" s="99">
        <f>VLOOKUP(C13,'[1]2026.3'!$C$3:$Q$379,14,0)</f>
        <v>45920</v>
      </c>
      <c r="L13" s="99">
        <f>VLOOKUP(C13,'[1]2026.3'!$C$3:$Q$379,15,0)</f>
        <v>47015</v>
      </c>
      <c r="M13" s="97">
        <f t="shared" si="0"/>
        <v>109</v>
      </c>
      <c r="N13" s="97">
        <f t="shared" si="1"/>
        <v>0</v>
      </c>
      <c r="O13" s="97"/>
    </row>
    <row r="14" spans="1:15" x14ac:dyDescent="0.3">
      <c r="A14" s="96" t="s">
        <v>35</v>
      </c>
      <c r="B14" s="97" t="s">
        <v>36</v>
      </c>
      <c r="C14" s="98" t="s">
        <v>50</v>
      </c>
      <c r="D14" s="97">
        <v>88</v>
      </c>
      <c r="E14" s="97"/>
      <c r="F14" s="97"/>
      <c r="G14" s="97" t="s">
        <v>38</v>
      </c>
      <c r="H14" s="97"/>
      <c r="I14" s="97"/>
      <c r="J14" s="99">
        <f>VLOOKUP(C14,'[1]2026.3'!$C$3:$Q$379,13,0)</f>
        <v>45772</v>
      </c>
      <c r="K14" s="99">
        <f>VLOOKUP(C14,'[1]2026.3'!$C$3:$Q$379,14,0)</f>
        <v>45778</v>
      </c>
      <c r="L14" s="99">
        <f>VLOOKUP(C14,'[1]2026.3'!$C$3:$Q$379,15,0)</f>
        <v>46873</v>
      </c>
      <c r="M14" s="97">
        <f t="shared" si="0"/>
        <v>88</v>
      </c>
      <c r="N14" s="97">
        <f t="shared" si="1"/>
        <v>0</v>
      </c>
      <c r="O14" s="97"/>
    </row>
    <row r="15" spans="1:15" x14ac:dyDescent="0.3">
      <c r="A15" s="96" t="s">
        <v>35</v>
      </c>
      <c r="B15" s="97" t="s">
        <v>36</v>
      </c>
      <c r="C15" s="98" t="s">
        <v>51</v>
      </c>
      <c r="D15" s="97">
        <v>79</v>
      </c>
      <c r="E15" s="97"/>
      <c r="F15" s="97"/>
      <c r="G15" s="97" t="s">
        <v>38</v>
      </c>
      <c r="H15" s="97"/>
      <c r="I15" s="97"/>
      <c r="J15" s="99">
        <f>VLOOKUP(C15,'[1]2026.3'!$C$3:$Q$379,13,0)</f>
        <v>45772</v>
      </c>
      <c r="K15" s="99">
        <f>VLOOKUP(C15,'[1]2026.3'!$C$3:$Q$379,14,0)</f>
        <v>45778</v>
      </c>
      <c r="L15" s="99">
        <f>VLOOKUP(C15,'[1]2026.3'!$C$3:$Q$379,15,0)</f>
        <v>46873</v>
      </c>
      <c r="M15" s="97">
        <f t="shared" si="0"/>
        <v>79</v>
      </c>
      <c r="N15" s="97">
        <f t="shared" si="1"/>
        <v>0</v>
      </c>
      <c r="O15" s="97"/>
    </row>
    <row r="16" spans="1:15" x14ac:dyDescent="0.3">
      <c r="A16" s="96" t="s">
        <v>35</v>
      </c>
      <c r="B16" s="97" t="s">
        <v>36</v>
      </c>
      <c r="C16" s="98" t="s">
        <v>52</v>
      </c>
      <c r="D16" s="97">
        <v>163</v>
      </c>
      <c r="E16" s="97"/>
      <c r="F16" s="97"/>
      <c r="G16" s="97" t="s">
        <v>38</v>
      </c>
      <c r="H16" s="97"/>
      <c r="I16" s="97"/>
      <c r="J16" s="99">
        <f>VLOOKUP(C16,'[1]2026.3'!$C$3:$Q$379,13,0)</f>
        <v>45817</v>
      </c>
      <c r="K16" s="99">
        <f>VLOOKUP(C16,'[1]2026.3'!$C$3:$Q$379,14,0)</f>
        <v>45818</v>
      </c>
      <c r="L16" s="99">
        <f>VLOOKUP(C16,'[1]2026.3'!$C$3:$Q$379,15,0)</f>
        <v>46913</v>
      </c>
      <c r="M16" s="97">
        <f t="shared" si="0"/>
        <v>163</v>
      </c>
      <c r="N16" s="97">
        <f t="shared" si="1"/>
        <v>0</v>
      </c>
      <c r="O16" s="97"/>
    </row>
    <row r="17" spans="1:15" x14ac:dyDescent="0.3">
      <c r="A17" s="96" t="s">
        <v>35</v>
      </c>
      <c r="B17" s="97" t="s">
        <v>36</v>
      </c>
      <c r="C17" s="98" t="s">
        <v>53</v>
      </c>
      <c r="D17" s="97">
        <v>180</v>
      </c>
      <c r="E17" s="97"/>
      <c r="F17" s="97"/>
      <c r="G17" s="97" t="s">
        <v>38</v>
      </c>
      <c r="H17" s="97"/>
      <c r="I17" s="97"/>
      <c r="J17" s="99">
        <f>VLOOKUP(C17,'[1]2026.3'!$C$3:$Q$379,13,0)</f>
        <v>45748</v>
      </c>
      <c r="K17" s="99">
        <f>VLOOKUP(C17,'[1]2026.3'!$C$3:$Q$379,14,0)</f>
        <v>45748</v>
      </c>
      <c r="L17" s="99">
        <f>VLOOKUP(C17,'[1]2026.3'!$C$3:$Q$379,15,0)</f>
        <v>46843</v>
      </c>
      <c r="M17" s="97">
        <f t="shared" si="0"/>
        <v>180</v>
      </c>
      <c r="N17" s="97">
        <f t="shared" si="1"/>
        <v>0</v>
      </c>
      <c r="O17" s="97"/>
    </row>
    <row r="18" spans="1:15" x14ac:dyDescent="0.3">
      <c r="A18" s="96" t="s">
        <v>35</v>
      </c>
      <c r="B18" s="97" t="s">
        <v>36</v>
      </c>
      <c r="C18" s="98" t="s">
        <v>54</v>
      </c>
      <c r="D18" s="97">
        <v>60</v>
      </c>
      <c r="E18" s="97"/>
      <c r="F18" s="97"/>
      <c r="G18" s="97" t="s">
        <v>38</v>
      </c>
      <c r="H18" s="97"/>
      <c r="I18" s="97"/>
      <c r="J18" s="99">
        <f>VLOOKUP(C18,'[1]2026.3'!$C$3:$Q$379,13,0)</f>
        <v>45816</v>
      </c>
      <c r="K18" s="99">
        <f>VLOOKUP(C18,'[1]2026.3'!$C$3:$Q$379,14,0)</f>
        <v>45823</v>
      </c>
      <c r="L18" s="99">
        <f>VLOOKUP(C18,'[1]2026.3'!$C$3:$Q$379,15,0)</f>
        <v>46918</v>
      </c>
      <c r="M18" s="97">
        <f t="shared" si="0"/>
        <v>60</v>
      </c>
      <c r="N18" s="97">
        <f t="shared" si="1"/>
        <v>0</v>
      </c>
      <c r="O18" s="97"/>
    </row>
    <row r="19" spans="1:15" x14ac:dyDescent="0.3">
      <c r="A19" s="96" t="s">
        <v>55</v>
      </c>
      <c r="B19" s="97" t="s">
        <v>36</v>
      </c>
      <c r="C19" s="97" t="s">
        <v>56</v>
      </c>
      <c r="D19" s="97">
        <v>305</v>
      </c>
      <c r="E19" s="97"/>
      <c r="F19" s="97"/>
      <c r="G19" s="97" t="s">
        <v>38</v>
      </c>
      <c r="H19" s="97"/>
      <c r="I19" s="97"/>
      <c r="J19" s="99">
        <f>VLOOKUP(C19,'[1]2026.3'!$C$3:$Q$379,13,0)</f>
        <v>45931</v>
      </c>
      <c r="K19" s="99">
        <f>VLOOKUP(C19,'[1]2026.3'!$C$3:$Q$379,14,0)</f>
        <v>45945</v>
      </c>
      <c r="L19" s="99">
        <f>VLOOKUP(C19,'[1]2026.3'!$C$3:$Q$379,15,0)</f>
        <v>47040</v>
      </c>
      <c r="M19" s="97">
        <f t="shared" si="0"/>
        <v>305</v>
      </c>
      <c r="N19" s="97">
        <f t="shared" si="1"/>
        <v>0</v>
      </c>
      <c r="O19" s="97"/>
    </row>
    <row r="20" spans="1:15" x14ac:dyDescent="0.3">
      <c r="A20" s="96" t="s">
        <v>55</v>
      </c>
      <c r="B20" s="97" t="s">
        <v>36</v>
      </c>
      <c r="C20" s="97" t="s">
        <v>57</v>
      </c>
      <c r="D20" s="97">
        <v>264</v>
      </c>
      <c r="E20" s="97"/>
      <c r="F20" s="97"/>
      <c r="G20" s="97" t="s">
        <v>38</v>
      </c>
      <c r="H20" s="97"/>
      <c r="I20" s="97"/>
      <c r="J20" s="99">
        <f>VLOOKUP(C20,'[1]2026.3'!$C$3:$Q$379,13,0)</f>
        <v>45848</v>
      </c>
      <c r="K20" s="99">
        <f>VLOOKUP(C20,'[1]2026.3'!$C$3:$Q$379,14,0)</f>
        <v>45870</v>
      </c>
      <c r="L20" s="99">
        <f>VLOOKUP(C20,'[1]2026.3'!$C$3:$Q$379,15,0)</f>
        <v>46965</v>
      </c>
      <c r="M20" s="97">
        <f t="shared" si="0"/>
        <v>264</v>
      </c>
      <c r="N20" s="97">
        <f t="shared" si="1"/>
        <v>0</v>
      </c>
      <c r="O20" s="97"/>
    </row>
    <row r="21" spans="1:15" x14ac:dyDescent="0.3">
      <c r="A21" s="96" t="s">
        <v>55</v>
      </c>
      <c r="B21" s="97" t="s">
        <v>36</v>
      </c>
      <c r="C21" s="97" t="s">
        <v>58</v>
      </c>
      <c r="D21" s="97">
        <v>549</v>
      </c>
      <c r="E21" s="97"/>
      <c r="F21" s="97"/>
      <c r="G21" s="97" t="s">
        <v>38</v>
      </c>
      <c r="H21" s="97"/>
      <c r="I21" s="97"/>
      <c r="J21" s="99">
        <f>VLOOKUP(C21,'[1]2026.3'!$C$3:$Q$379,13,0)</f>
        <v>45848</v>
      </c>
      <c r="K21" s="99">
        <f>VLOOKUP(C21,'[1]2026.3'!$C$3:$Q$379,14,0)</f>
        <v>45870</v>
      </c>
      <c r="L21" s="99">
        <f>VLOOKUP(C21,'[1]2026.3'!$C$3:$Q$379,15,0)</f>
        <v>46965</v>
      </c>
      <c r="M21" s="97">
        <f t="shared" si="0"/>
        <v>549</v>
      </c>
      <c r="N21" s="97">
        <f t="shared" si="1"/>
        <v>0</v>
      </c>
      <c r="O21" s="97"/>
    </row>
    <row r="22" spans="1:15" x14ac:dyDescent="0.3">
      <c r="A22" s="96" t="s">
        <v>55</v>
      </c>
      <c r="B22" s="97" t="s">
        <v>36</v>
      </c>
      <c r="C22" s="97" t="s">
        <v>59</v>
      </c>
      <c r="D22" s="97">
        <v>272</v>
      </c>
      <c r="E22" s="97"/>
      <c r="F22" s="97"/>
      <c r="G22" s="97" t="s">
        <v>38</v>
      </c>
      <c r="H22" s="97"/>
      <c r="I22" s="97"/>
      <c r="J22" s="99">
        <f>VLOOKUP(C22,'[1]2026.3'!$C$3:$Q$379,13,0)</f>
        <v>46221</v>
      </c>
      <c r="K22" s="99">
        <f>VLOOKUP(C22,'[1]2026.3'!$C$3:$Q$379,14,0)</f>
        <v>45870</v>
      </c>
      <c r="L22" s="99">
        <f>VLOOKUP(C22,'[1]2026.3'!$C$3:$Q$379,15,0)</f>
        <v>46965</v>
      </c>
      <c r="M22" s="97">
        <f t="shared" si="0"/>
        <v>272</v>
      </c>
      <c r="N22" s="97">
        <f t="shared" si="1"/>
        <v>0</v>
      </c>
      <c r="O22" s="97"/>
    </row>
    <row r="23" spans="1:15" x14ac:dyDescent="0.3">
      <c r="A23" s="96" t="s">
        <v>55</v>
      </c>
      <c r="B23" s="97" t="s">
        <v>36</v>
      </c>
      <c r="C23" s="97" t="s">
        <v>60</v>
      </c>
      <c r="D23" s="97">
        <v>272</v>
      </c>
      <c r="E23" s="97"/>
      <c r="F23" s="97"/>
      <c r="G23" s="97" t="s">
        <v>38</v>
      </c>
      <c r="H23" s="97"/>
      <c r="I23" s="97"/>
      <c r="J23" s="99">
        <f>VLOOKUP(C23,'[1]2026.3'!$C$3:$Q$379,13,0)</f>
        <v>45849</v>
      </c>
      <c r="K23" s="99">
        <f>VLOOKUP(C23,'[1]2026.3'!$C$3:$Q$379,14,0)</f>
        <v>45870</v>
      </c>
      <c r="L23" s="99">
        <f>VLOOKUP(C23,'[1]2026.3'!$C$3:$Q$379,15,0)</f>
        <v>46965</v>
      </c>
      <c r="M23" s="97">
        <f t="shared" si="0"/>
        <v>272</v>
      </c>
      <c r="N23" s="97">
        <f t="shared" si="1"/>
        <v>0</v>
      </c>
      <c r="O23" s="97"/>
    </row>
    <row r="24" spans="1:15" x14ac:dyDescent="0.3">
      <c r="A24" s="96" t="s">
        <v>55</v>
      </c>
      <c r="B24" s="97" t="s">
        <v>36</v>
      </c>
      <c r="C24" s="97" t="s">
        <v>61</v>
      </c>
      <c r="D24" s="97">
        <v>275</v>
      </c>
      <c r="E24" s="97"/>
      <c r="F24" s="97"/>
      <c r="G24" s="97" t="s">
        <v>38</v>
      </c>
      <c r="H24" s="97"/>
      <c r="I24" s="97"/>
      <c r="J24" s="99">
        <f>VLOOKUP(C24,'[1]2026.3'!$C$3:$Q$379,13,0)</f>
        <v>45858</v>
      </c>
      <c r="K24" s="99">
        <f>VLOOKUP(C24,'[1]2026.3'!$C$3:$Q$379,14,0)</f>
        <v>45870</v>
      </c>
      <c r="L24" s="99">
        <f>VLOOKUP(C24,'[1]2026.3'!$C$3:$Q$379,15,0)</f>
        <v>46965</v>
      </c>
      <c r="M24" s="97">
        <f t="shared" si="0"/>
        <v>275</v>
      </c>
      <c r="N24" s="97">
        <f t="shared" si="1"/>
        <v>0</v>
      </c>
      <c r="O24" s="97"/>
    </row>
    <row r="25" spans="1:15" x14ac:dyDescent="0.3">
      <c r="A25" s="96" t="s">
        <v>55</v>
      </c>
      <c r="B25" s="97" t="s">
        <v>36</v>
      </c>
      <c r="C25" s="97" t="s">
        <v>62</v>
      </c>
      <c r="D25" s="97">
        <v>287</v>
      </c>
      <c r="E25" s="97"/>
      <c r="F25" s="97"/>
      <c r="G25" s="97" t="s">
        <v>38</v>
      </c>
      <c r="H25" s="97"/>
      <c r="I25" s="97"/>
      <c r="J25" s="99">
        <f>VLOOKUP(C25,'[1]2026.3'!$C$3:$Q$379,13,0)</f>
        <v>45861</v>
      </c>
      <c r="K25" s="99">
        <f>VLOOKUP(C25,'[1]2026.3'!$C$3:$Q$379,14,0)</f>
        <v>45870</v>
      </c>
      <c r="L25" s="99">
        <f>VLOOKUP(C25,'[1]2026.3'!$C$3:$Q$379,15,0)</f>
        <v>46965</v>
      </c>
      <c r="M25" s="97">
        <f t="shared" si="0"/>
        <v>287</v>
      </c>
      <c r="N25" s="97">
        <f t="shared" si="1"/>
        <v>0</v>
      </c>
      <c r="O25" s="97"/>
    </row>
    <row r="26" spans="1:15" x14ac:dyDescent="0.3">
      <c r="A26" s="96" t="s">
        <v>55</v>
      </c>
      <c r="B26" s="97" t="s">
        <v>36</v>
      </c>
      <c r="C26" s="97" t="s">
        <v>63</v>
      </c>
      <c r="D26" s="97">
        <v>272</v>
      </c>
      <c r="E26" s="97"/>
      <c r="F26" s="97"/>
      <c r="G26" s="97" t="s">
        <v>38</v>
      </c>
      <c r="H26" s="97"/>
      <c r="I26" s="97"/>
      <c r="J26" s="99">
        <f>VLOOKUP(C26,'[1]2026.3'!$C$3:$Q$379,13,0)</f>
        <v>45848</v>
      </c>
      <c r="K26" s="99">
        <f>VLOOKUP(C26,'[1]2026.3'!$C$3:$Q$379,14,0)</f>
        <v>45870</v>
      </c>
      <c r="L26" s="99">
        <f>VLOOKUP(C26,'[1]2026.3'!$C$3:$Q$379,15,0)</f>
        <v>46965</v>
      </c>
      <c r="M26" s="97">
        <f t="shared" si="0"/>
        <v>272</v>
      </c>
      <c r="N26" s="97">
        <f t="shared" si="1"/>
        <v>0</v>
      </c>
      <c r="O26" s="97"/>
    </row>
    <row r="27" spans="1:15" x14ac:dyDescent="0.3">
      <c r="A27" s="96" t="s">
        <v>55</v>
      </c>
      <c r="B27" s="97" t="s">
        <v>36</v>
      </c>
      <c r="C27" s="97" t="s">
        <v>64</v>
      </c>
      <c r="D27" s="97">
        <v>272</v>
      </c>
      <c r="E27" s="97"/>
      <c r="F27" s="97"/>
      <c r="G27" s="97" t="s">
        <v>38</v>
      </c>
      <c r="H27" s="97"/>
      <c r="I27" s="97"/>
      <c r="J27" s="99">
        <f>VLOOKUP(C27,'[1]2026.3'!$C$3:$Q$379,13,0)</f>
        <v>45890</v>
      </c>
      <c r="K27" s="99">
        <f>VLOOKUP(C27,'[1]2026.3'!$C$3:$Q$379,14,0)</f>
        <v>45901</v>
      </c>
      <c r="L27" s="99">
        <f>VLOOKUP(C27,'[1]2026.3'!$C$3:$Q$379,15,0)</f>
        <v>46996</v>
      </c>
      <c r="M27" s="97">
        <f t="shared" si="0"/>
        <v>272</v>
      </c>
      <c r="N27" s="97">
        <f t="shared" si="1"/>
        <v>0</v>
      </c>
      <c r="O27" s="97"/>
    </row>
    <row r="28" spans="1:15" x14ac:dyDescent="0.3">
      <c r="A28" s="96" t="s">
        <v>55</v>
      </c>
      <c r="B28" s="97" t="s">
        <v>36</v>
      </c>
      <c r="C28" s="97" t="s">
        <v>65</v>
      </c>
      <c r="D28" s="97">
        <v>373</v>
      </c>
      <c r="E28" s="97"/>
      <c r="F28" s="97"/>
      <c r="G28" s="97" t="s">
        <v>38</v>
      </c>
      <c r="H28" s="97"/>
      <c r="I28" s="97"/>
      <c r="J28" s="99">
        <f>VLOOKUP(C28,'[1]2026.3'!$C$3:$Q$379,13,0)</f>
        <v>45935</v>
      </c>
      <c r="K28" s="99">
        <f>VLOOKUP(C28,'[1]2026.3'!$C$3:$Q$379,14,0)</f>
        <v>45931</v>
      </c>
      <c r="L28" s="99">
        <f>VLOOKUP(C28,'[1]2026.3'!$C$3:$Q$379,15,0)</f>
        <v>47026</v>
      </c>
      <c r="M28" s="97">
        <f t="shared" si="0"/>
        <v>373</v>
      </c>
      <c r="N28" s="97">
        <f t="shared" si="1"/>
        <v>0</v>
      </c>
      <c r="O28" s="97"/>
    </row>
    <row r="29" spans="1:15" x14ac:dyDescent="0.3">
      <c r="A29" s="96" t="s">
        <v>55</v>
      </c>
      <c r="B29" s="97" t="s">
        <v>66</v>
      </c>
      <c r="C29" s="97" t="s">
        <v>67</v>
      </c>
      <c r="D29" s="97">
        <v>170</v>
      </c>
      <c r="E29" s="97"/>
      <c r="F29" s="97"/>
      <c r="G29" s="97" t="s">
        <v>38</v>
      </c>
      <c r="H29" s="97"/>
      <c r="I29" s="97"/>
      <c r="J29" s="99">
        <f>VLOOKUP(C29,'[1]2026.3'!$C$3:$Q$379,13,0)</f>
        <v>45962</v>
      </c>
      <c r="K29" s="99">
        <f>VLOOKUP(C29,'[1]2026.3'!$C$3:$Q$379,14,0)</f>
        <v>45962</v>
      </c>
      <c r="L29" s="99">
        <f>VLOOKUP(C29,'[1]2026.3'!$C$3:$Q$379,15,0)</f>
        <v>47057</v>
      </c>
      <c r="M29" s="97">
        <f t="shared" si="0"/>
        <v>170</v>
      </c>
      <c r="N29" s="97">
        <f t="shared" si="1"/>
        <v>0</v>
      </c>
      <c r="O29" s="97"/>
    </row>
    <row r="30" spans="1:15" x14ac:dyDescent="0.3">
      <c r="A30" s="96" t="s">
        <v>55</v>
      </c>
      <c r="B30" s="97" t="s">
        <v>66</v>
      </c>
      <c r="C30" s="97" t="s">
        <v>68</v>
      </c>
      <c r="D30" s="97">
        <v>114</v>
      </c>
      <c r="E30" s="97"/>
      <c r="F30" s="97"/>
      <c r="G30" s="97" t="s">
        <v>38</v>
      </c>
      <c r="H30" s="97"/>
      <c r="I30" s="97"/>
      <c r="J30" s="99">
        <f>VLOOKUP(C30,'[1]2026.3'!$C$3:$Q$379,13,0)</f>
        <v>45962</v>
      </c>
      <c r="K30" s="99">
        <f>VLOOKUP(C30,'[1]2026.3'!$C$3:$Q$379,14,0)</f>
        <v>45962</v>
      </c>
      <c r="L30" s="99">
        <f>VLOOKUP(C30,'[1]2026.3'!$C$3:$Q$379,15,0)</f>
        <v>47057</v>
      </c>
      <c r="M30" s="97">
        <f t="shared" si="0"/>
        <v>114</v>
      </c>
      <c r="N30" s="97">
        <f t="shared" si="1"/>
        <v>0</v>
      </c>
      <c r="O30" s="97"/>
    </row>
    <row r="31" spans="1:15" x14ac:dyDescent="0.3">
      <c r="A31" s="96" t="s">
        <v>55</v>
      </c>
      <c r="B31" s="97" t="s">
        <v>66</v>
      </c>
      <c r="C31" s="97" t="s">
        <v>69</v>
      </c>
      <c r="D31" s="97">
        <v>114</v>
      </c>
      <c r="E31" s="97"/>
      <c r="F31" s="97"/>
      <c r="G31" s="97" t="s">
        <v>38</v>
      </c>
      <c r="H31" s="97"/>
      <c r="I31" s="97"/>
      <c r="J31" s="99">
        <f>VLOOKUP(C31,'[1]2026.3'!$C$3:$Q$379,13,0)</f>
        <v>45994</v>
      </c>
      <c r="K31" s="99">
        <f>VLOOKUP(C31,'[1]2026.3'!$C$3:$Q$379,14,0)</f>
        <v>45962</v>
      </c>
      <c r="L31" s="99">
        <f>VLOOKUP(C31,'[1]2026.3'!$C$3:$Q$379,15,0)</f>
        <v>47057</v>
      </c>
      <c r="M31" s="97">
        <f t="shared" si="0"/>
        <v>114</v>
      </c>
      <c r="N31" s="97">
        <f t="shared" si="1"/>
        <v>0</v>
      </c>
      <c r="O31" s="97"/>
    </row>
    <row r="32" spans="1:15" x14ac:dyDescent="0.3">
      <c r="A32" s="96" t="s">
        <v>55</v>
      </c>
      <c r="B32" s="97" t="s">
        <v>66</v>
      </c>
      <c r="C32" s="97" t="s">
        <v>70</v>
      </c>
      <c r="D32" s="97">
        <v>114</v>
      </c>
      <c r="E32" s="97"/>
      <c r="F32" s="97"/>
      <c r="G32" s="97" t="s">
        <v>38</v>
      </c>
      <c r="H32" s="97"/>
      <c r="I32" s="97"/>
      <c r="J32" s="99">
        <f>VLOOKUP(C32,'[1]2026.3'!$C$3:$Q$379,13,0)</f>
        <v>45962</v>
      </c>
      <c r="K32" s="99">
        <f>VLOOKUP(C32,'[1]2026.3'!$C$3:$Q$379,14,0)</f>
        <v>45962</v>
      </c>
      <c r="L32" s="99">
        <f>VLOOKUP(C32,'[1]2026.3'!$C$3:$Q$379,15,0)</f>
        <v>47057</v>
      </c>
      <c r="M32" s="97">
        <f t="shared" si="0"/>
        <v>114</v>
      </c>
      <c r="N32" s="97">
        <f t="shared" si="1"/>
        <v>0</v>
      </c>
      <c r="O32" s="97"/>
    </row>
    <row r="33" spans="1:15" x14ac:dyDescent="0.3">
      <c r="A33" s="96" t="s">
        <v>55</v>
      </c>
      <c r="B33" s="97" t="s">
        <v>66</v>
      </c>
      <c r="C33" s="97" t="s">
        <v>71</v>
      </c>
      <c r="D33" s="97">
        <v>227</v>
      </c>
      <c r="E33" s="97"/>
      <c r="F33" s="97"/>
      <c r="G33" s="97" t="s">
        <v>38</v>
      </c>
      <c r="H33" s="97"/>
      <c r="I33" s="97"/>
      <c r="J33" s="99">
        <f>VLOOKUP(C33,'[1]2026.3'!$C$3:$Q$379,13,0)</f>
        <v>45962</v>
      </c>
      <c r="K33" s="99">
        <f>VLOOKUP(C33,'[1]2026.3'!$C$3:$Q$379,14,0)</f>
        <v>45962</v>
      </c>
      <c r="L33" s="99">
        <f>VLOOKUP(C33,'[1]2026.3'!$C$3:$Q$379,15,0)</f>
        <v>47057</v>
      </c>
      <c r="M33" s="97">
        <f t="shared" si="0"/>
        <v>227</v>
      </c>
      <c r="N33" s="97">
        <f t="shared" si="1"/>
        <v>0</v>
      </c>
      <c r="O33" s="97"/>
    </row>
    <row r="34" spans="1:15" x14ac:dyDescent="0.3">
      <c r="A34" s="96" t="s">
        <v>55</v>
      </c>
      <c r="B34" s="97" t="s">
        <v>66</v>
      </c>
      <c r="C34" s="97" t="s">
        <v>71</v>
      </c>
      <c r="D34" s="97">
        <v>114</v>
      </c>
      <c r="E34" s="97"/>
      <c r="F34" s="97"/>
      <c r="G34" s="97" t="s">
        <v>38</v>
      </c>
      <c r="H34" s="97"/>
      <c r="I34" s="97"/>
      <c r="J34" s="99">
        <f>VLOOKUP(C34,'[1]2026.3'!$C$3:$Q$379,13,0)</f>
        <v>45962</v>
      </c>
      <c r="K34" s="99">
        <f>VLOOKUP(C34,'[1]2026.3'!$C$3:$Q$379,14,0)</f>
        <v>45962</v>
      </c>
      <c r="L34" s="99">
        <f>VLOOKUP(C34,'[1]2026.3'!$C$3:$Q$379,15,0)</f>
        <v>47057</v>
      </c>
      <c r="M34" s="97">
        <f t="shared" si="0"/>
        <v>114</v>
      </c>
      <c r="N34" s="97">
        <f t="shared" si="1"/>
        <v>0</v>
      </c>
      <c r="O34" s="97"/>
    </row>
    <row r="35" spans="1:15" x14ac:dyDescent="0.3">
      <c r="A35" s="96" t="s">
        <v>55</v>
      </c>
      <c r="B35" s="97" t="s">
        <v>66</v>
      </c>
      <c r="C35" s="97" t="s">
        <v>72</v>
      </c>
      <c r="D35" s="97">
        <v>114</v>
      </c>
      <c r="E35" s="97"/>
      <c r="F35" s="97"/>
      <c r="G35" s="97" t="s">
        <v>38</v>
      </c>
      <c r="H35" s="97"/>
      <c r="I35" s="97"/>
      <c r="J35" s="99">
        <v>46095</v>
      </c>
      <c r="K35" s="99">
        <v>46097</v>
      </c>
      <c r="L35" s="99">
        <v>46461</v>
      </c>
      <c r="M35" s="97">
        <f t="shared" si="0"/>
        <v>114</v>
      </c>
      <c r="N35" s="97">
        <f t="shared" si="1"/>
        <v>0</v>
      </c>
      <c r="O35" s="97"/>
    </row>
    <row r="36" spans="1:15" x14ac:dyDescent="0.3">
      <c r="A36" s="96" t="s">
        <v>55</v>
      </c>
      <c r="B36" s="97" t="s">
        <v>66</v>
      </c>
      <c r="C36" s="97" t="s">
        <v>73</v>
      </c>
      <c r="D36" s="97">
        <v>114</v>
      </c>
      <c r="E36" s="97"/>
      <c r="F36" s="97"/>
      <c r="G36" s="97" t="s">
        <v>74</v>
      </c>
      <c r="H36" s="97"/>
      <c r="I36" s="97"/>
      <c r="J36" s="99"/>
      <c r="K36" s="99"/>
      <c r="L36" s="99"/>
      <c r="M36" s="97">
        <f t="shared" si="0"/>
        <v>0</v>
      </c>
      <c r="N36" s="97">
        <f t="shared" si="1"/>
        <v>114</v>
      </c>
      <c r="O36" s="97"/>
    </row>
    <row r="37" spans="1:15" x14ac:dyDescent="0.3">
      <c r="A37" s="96" t="s">
        <v>55</v>
      </c>
      <c r="B37" s="97" t="s">
        <v>66</v>
      </c>
      <c r="C37" s="97" t="s">
        <v>75</v>
      </c>
      <c r="D37" s="97">
        <v>114</v>
      </c>
      <c r="E37" s="97"/>
      <c r="F37" s="97"/>
      <c r="G37" s="97" t="s">
        <v>38</v>
      </c>
      <c r="H37" s="97"/>
      <c r="I37" s="97" t="s">
        <v>76</v>
      </c>
      <c r="J37" s="99" t="s">
        <v>77</v>
      </c>
      <c r="K37" s="99" t="s">
        <v>78</v>
      </c>
      <c r="L37" s="99" t="s">
        <v>79</v>
      </c>
      <c r="M37" s="97">
        <f t="shared" si="0"/>
        <v>114</v>
      </c>
      <c r="N37" s="97">
        <f t="shared" si="1"/>
        <v>0</v>
      </c>
      <c r="O37" s="97" t="s">
        <v>80</v>
      </c>
    </row>
    <row r="38" spans="1:15" x14ac:dyDescent="0.3">
      <c r="A38" s="96" t="s">
        <v>55</v>
      </c>
      <c r="B38" s="97" t="s">
        <v>66</v>
      </c>
      <c r="C38" s="97" t="s">
        <v>81</v>
      </c>
      <c r="D38" s="97">
        <v>137</v>
      </c>
      <c r="E38" s="97"/>
      <c r="F38" s="97"/>
      <c r="G38" s="97" t="s">
        <v>38</v>
      </c>
      <c r="H38" s="97" t="s">
        <v>82</v>
      </c>
      <c r="I38" s="97"/>
      <c r="J38" s="99">
        <v>46087</v>
      </c>
      <c r="K38" s="99"/>
      <c r="L38" s="99"/>
      <c r="M38" s="97">
        <f t="shared" si="0"/>
        <v>137</v>
      </c>
      <c r="N38" s="97">
        <f t="shared" si="1"/>
        <v>0</v>
      </c>
      <c r="O38" s="97"/>
    </row>
    <row r="39" spans="1:15" x14ac:dyDescent="0.3">
      <c r="A39" s="96" t="s">
        <v>55</v>
      </c>
      <c r="B39" s="97" t="s">
        <v>66</v>
      </c>
      <c r="C39" s="97" t="s">
        <v>83</v>
      </c>
      <c r="D39" s="97">
        <v>137</v>
      </c>
      <c r="E39" s="97"/>
      <c r="F39" s="97"/>
      <c r="G39" s="97" t="s">
        <v>38</v>
      </c>
      <c r="H39" s="97"/>
      <c r="I39" s="97"/>
      <c r="J39" s="99">
        <v>46087</v>
      </c>
      <c r="K39" s="99"/>
      <c r="L39" s="99"/>
      <c r="M39" s="97">
        <f t="shared" si="0"/>
        <v>137</v>
      </c>
      <c r="N39" s="97">
        <f t="shared" si="1"/>
        <v>0</v>
      </c>
      <c r="O39" s="97"/>
    </row>
    <row r="40" spans="1:15" x14ac:dyDescent="0.3">
      <c r="A40" s="96" t="s">
        <v>55</v>
      </c>
      <c r="B40" s="97" t="s">
        <v>66</v>
      </c>
      <c r="C40" s="97" t="s">
        <v>84</v>
      </c>
      <c r="D40" s="97">
        <v>71</v>
      </c>
      <c r="E40" s="97"/>
      <c r="F40" s="97"/>
      <c r="G40" s="97" t="s">
        <v>38</v>
      </c>
      <c r="H40" s="97"/>
      <c r="I40" s="97"/>
      <c r="J40" s="99">
        <f>VLOOKUP(C40,'[1]2026.3'!$C$3:$Q$379,13,0)</f>
        <v>45973</v>
      </c>
      <c r="K40" s="99">
        <f>VLOOKUP(C40,'[1]2026.3'!$C$3:$Q$379,14,0)</f>
        <v>45977</v>
      </c>
      <c r="L40" s="99">
        <f>VLOOKUP(C40,'[1]2026.3'!$C$3:$Q$379,15,0)</f>
        <v>47072</v>
      </c>
      <c r="M40" s="97">
        <f t="shared" si="0"/>
        <v>71</v>
      </c>
      <c r="N40" s="97">
        <f t="shared" si="1"/>
        <v>0</v>
      </c>
      <c r="O40" s="97"/>
    </row>
    <row r="41" spans="1:15" x14ac:dyDescent="0.3">
      <c r="A41" s="96" t="s">
        <v>55</v>
      </c>
      <c r="B41" s="97" t="s">
        <v>66</v>
      </c>
      <c r="C41" s="97" t="s">
        <v>85</v>
      </c>
      <c r="D41" s="97">
        <v>284</v>
      </c>
      <c r="E41" s="97"/>
      <c r="F41" s="97"/>
      <c r="G41" s="97" t="s">
        <v>38</v>
      </c>
      <c r="H41" s="97"/>
      <c r="I41" s="97" t="s">
        <v>86</v>
      </c>
      <c r="J41" s="99">
        <f>VLOOKUP(C41,'[1]2026.3'!$C$3:$Q$379,13,0)</f>
        <v>45947</v>
      </c>
      <c r="K41" s="99">
        <f>VLOOKUP(C41,'[1]2026.3'!$C$3:$Q$379,14,0)</f>
        <v>45950</v>
      </c>
      <c r="L41" s="99">
        <f>VLOOKUP(C41,'[1]2026.3'!$C$3:$Q$379,15,0)</f>
        <v>47045</v>
      </c>
      <c r="M41" s="97">
        <f t="shared" si="0"/>
        <v>284</v>
      </c>
      <c r="N41" s="97">
        <f t="shared" si="1"/>
        <v>0</v>
      </c>
      <c r="O41" s="97"/>
    </row>
    <row r="42" spans="1:15" x14ac:dyDescent="0.3">
      <c r="A42" s="96" t="s">
        <v>55</v>
      </c>
      <c r="B42" s="97" t="s">
        <v>66</v>
      </c>
      <c r="C42" s="97" t="s">
        <v>87</v>
      </c>
      <c r="D42" s="97">
        <v>71</v>
      </c>
      <c r="E42" s="97"/>
      <c r="F42" s="97"/>
      <c r="G42" s="97" t="s">
        <v>38</v>
      </c>
      <c r="H42" s="97" t="s">
        <v>82</v>
      </c>
      <c r="I42" s="97" t="s">
        <v>88</v>
      </c>
      <c r="J42" s="99">
        <v>46092</v>
      </c>
      <c r="K42" s="99"/>
      <c r="L42" s="99"/>
      <c r="M42" s="97">
        <f t="shared" si="0"/>
        <v>71</v>
      </c>
      <c r="N42" s="97">
        <f t="shared" si="1"/>
        <v>0</v>
      </c>
      <c r="O42" s="97"/>
    </row>
    <row r="43" spans="1:15" x14ac:dyDescent="0.3">
      <c r="A43" s="96" t="s">
        <v>55</v>
      </c>
      <c r="B43" s="97" t="s">
        <v>66</v>
      </c>
      <c r="C43" s="97" t="s">
        <v>89</v>
      </c>
      <c r="D43" s="97">
        <v>71</v>
      </c>
      <c r="E43" s="97"/>
      <c r="F43" s="97"/>
      <c r="G43" s="97" t="s">
        <v>38</v>
      </c>
      <c r="H43" s="97" t="s">
        <v>82</v>
      </c>
      <c r="I43" s="97"/>
      <c r="J43" s="99">
        <v>46092</v>
      </c>
      <c r="K43" s="99"/>
      <c r="L43" s="99"/>
      <c r="M43" s="97">
        <f t="shared" si="0"/>
        <v>71</v>
      </c>
      <c r="N43" s="97">
        <f t="shared" si="1"/>
        <v>0</v>
      </c>
      <c r="O43" s="97"/>
    </row>
    <row r="44" spans="1:15" x14ac:dyDescent="0.3">
      <c r="A44" s="96" t="s">
        <v>55</v>
      </c>
      <c r="B44" s="97" t="s">
        <v>66</v>
      </c>
      <c r="C44" s="97" t="s">
        <v>90</v>
      </c>
      <c r="D44" s="97">
        <v>71</v>
      </c>
      <c r="E44" s="97"/>
      <c r="F44" s="97"/>
      <c r="G44" s="97" t="s">
        <v>38</v>
      </c>
      <c r="H44" s="97" t="s">
        <v>82</v>
      </c>
      <c r="I44" s="97"/>
      <c r="J44" s="99">
        <v>46092</v>
      </c>
      <c r="K44" s="99"/>
      <c r="L44" s="99"/>
      <c r="M44" s="97">
        <f t="shared" si="0"/>
        <v>71</v>
      </c>
      <c r="N44" s="97">
        <f t="shared" si="1"/>
        <v>0</v>
      </c>
      <c r="O44" s="97"/>
    </row>
    <row r="45" spans="1:15" x14ac:dyDescent="0.3">
      <c r="A45" s="96" t="s">
        <v>55</v>
      </c>
      <c r="B45" s="97" t="s">
        <v>66</v>
      </c>
      <c r="C45" s="97" t="s">
        <v>91</v>
      </c>
      <c r="D45" s="97">
        <v>71</v>
      </c>
      <c r="E45" s="97"/>
      <c r="F45" s="97"/>
      <c r="G45" s="97" t="s">
        <v>38</v>
      </c>
      <c r="H45" s="97" t="s">
        <v>82</v>
      </c>
      <c r="I45" s="97"/>
      <c r="J45" s="99">
        <v>46092</v>
      </c>
      <c r="K45" s="99"/>
      <c r="L45" s="99"/>
      <c r="M45" s="97">
        <f t="shared" si="0"/>
        <v>71</v>
      </c>
      <c r="N45" s="97">
        <f t="shared" si="1"/>
        <v>0</v>
      </c>
      <c r="O45" s="97"/>
    </row>
    <row r="46" spans="1:15" x14ac:dyDescent="0.3">
      <c r="A46" s="96" t="s">
        <v>55</v>
      </c>
      <c r="B46" s="97" t="s">
        <v>66</v>
      </c>
      <c r="C46" s="97" t="s">
        <v>92</v>
      </c>
      <c r="D46" s="97">
        <v>105</v>
      </c>
      <c r="E46" s="97"/>
      <c r="F46" s="97"/>
      <c r="G46" s="97" t="s">
        <v>38</v>
      </c>
      <c r="H46" s="97" t="s">
        <v>82</v>
      </c>
      <c r="I46" s="97"/>
      <c r="J46" s="99">
        <v>46092</v>
      </c>
      <c r="K46" s="99"/>
      <c r="L46" s="99"/>
      <c r="M46" s="97">
        <f t="shared" si="0"/>
        <v>105</v>
      </c>
      <c r="N46" s="97">
        <f t="shared" si="1"/>
        <v>0</v>
      </c>
      <c r="O46" s="97"/>
    </row>
    <row r="47" spans="1:15" x14ac:dyDescent="0.3">
      <c r="A47" s="96" t="s">
        <v>55</v>
      </c>
      <c r="B47" s="97" t="s">
        <v>66</v>
      </c>
      <c r="C47" s="97" t="s">
        <v>93</v>
      </c>
      <c r="D47" s="97">
        <v>166</v>
      </c>
      <c r="E47" s="97"/>
      <c r="F47" s="97"/>
      <c r="G47" s="97" t="s">
        <v>38</v>
      </c>
      <c r="H47" s="97"/>
      <c r="I47" s="97"/>
      <c r="J47" s="99">
        <v>46087</v>
      </c>
      <c r="K47" s="99"/>
      <c r="L47" s="99"/>
      <c r="M47" s="97">
        <f t="shared" si="0"/>
        <v>166</v>
      </c>
      <c r="N47" s="97">
        <f t="shared" si="1"/>
        <v>0</v>
      </c>
      <c r="O47" s="97"/>
    </row>
    <row r="48" spans="1:15" x14ac:dyDescent="0.3">
      <c r="A48" s="96" t="s">
        <v>55</v>
      </c>
      <c r="B48" s="97" t="s">
        <v>94</v>
      </c>
      <c r="C48" s="97" t="s">
        <v>95</v>
      </c>
      <c r="D48" s="97">
        <v>205</v>
      </c>
      <c r="E48" s="97"/>
      <c r="F48" s="97"/>
      <c r="G48" s="97" t="s">
        <v>38</v>
      </c>
      <c r="H48" s="97"/>
      <c r="I48" s="97"/>
      <c r="J48" s="99">
        <f>VLOOKUP(C48,'[1]2026.3'!$C$3:$Q$379,13,0)</f>
        <v>45962</v>
      </c>
      <c r="K48" s="99">
        <f>VLOOKUP(C48,'[1]2026.3'!$C$3:$Q$379,14,0)</f>
        <v>45962</v>
      </c>
      <c r="L48" s="99">
        <f>VLOOKUP(C48,'[1]2026.3'!$C$3:$Q$379,15,0)</f>
        <v>47057</v>
      </c>
      <c r="M48" s="97">
        <f t="shared" si="0"/>
        <v>205</v>
      </c>
      <c r="N48" s="97">
        <f t="shared" si="1"/>
        <v>0</v>
      </c>
      <c r="O48" s="97"/>
    </row>
    <row r="49" spans="1:15" x14ac:dyDescent="0.3">
      <c r="A49" s="96" t="s">
        <v>55</v>
      </c>
      <c r="B49" s="97" t="s">
        <v>94</v>
      </c>
      <c r="C49" s="97" t="s">
        <v>96</v>
      </c>
      <c r="D49" s="97">
        <v>134</v>
      </c>
      <c r="E49" s="97"/>
      <c r="F49" s="97"/>
      <c r="G49" s="97" t="s">
        <v>38</v>
      </c>
      <c r="H49" s="97"/>
      <c r="I49" s="97"/>
      <c r="J49" s="99">
        <f>VLOOKUP(C49,'[1]2026.3'!$C$3:$Q$379,13,0)</f>
        <v>45958</v>
      </c>
      <c r="K49" s="99">
        <f>VLOOKUP(C49,'[1]2026.3'!$C$3:$Q$379,14,0)</f>
        <v>45962</v>
      </c>
      <c r="L49" s="99">
        <f>VLOOKUP(C49,'[1]2026.3'!$C$3:$Q$379,15,0)</f>
        <v>47057</v>
      </c>
      <c r="M49" s="97">
        <f t="shared" si="0"/>
        <v>134</v>
      </c>
      <c r="N49" s="97">
        <f t="shared" si="1"/>
        <v>0</v>
      </c>
      <c r="O49" s="97"/>
    </row>
    <row r="50" spans="1:15" x14ac:dyDescent="0.3">
      <c r="A50" s="96" t="s">
        <v>55</v>
      </c>
      <c r="B50" s="97" t="s">
        <v>94</v>
      </c>
      <c r="C50" s="97" t="s">
        <v>97</v>
      </c>
      <c r="D50" s="97">
        <v>274</v>
      </c>
      <c r="E50" s="97"/>
      <c r="F50" s="97"/>
      <c r="G50" s="97" t="s">
        <v>38</v>
      </c>
      <c r="H50" s="97"/>
      <c r="I50" s="97"/>
      <c r="J50" s="99">
        <f>VLOOKUP(C50,'[1]2026.3'!$C$3:$Q$379,13,0)</f>
        <v>45958</v>
      </c>
      <c r="K50" s="99">
        <f>VLOOKUP(C50,'[1]2026.3'!$C$3:$Q$379,14,0)</f>
        <v>45962</v>
      </c>
      <c r="L50" s="99">
        <f>VLOOKUP(C50,'[1]2026.3'!$C$3:$Q$379,15,0)</f>
        <v>47057</v>
      </c>
      <c r="M50" s="97">
        <f t="shared" si="0"/>
        <v>274</v>
      </c>
      <c r="N50" s="97">
        <f t="shared" si="1"/>
        <v>0</v>
      </c>
      <c r="O50" s="97"/>
    </row>
    <row r="51" spans="1:15" x14ac:dyDescent="0.3">
      <c r="A51" s="96" t="s">
        <v>55</v>
      </c>
      <c r="B51" s="97" t="s">
        <v>94</v>
      </c>
      <c r="C51" s="97" t="s">
        <v>98</v>
      </c>
      <c r="D51" s="97">
        <v>137</v>
      </c>
      <c r="E51" s="97"/>
      <c r="F51" s="97"/>
      <c r="G51" s="97" t="s">
        <v>38</v>
      </c>
      <c r="H51" s="97"/>
      <c r="I51" s="97"/>
      <c r="J51" s="99" t="e">
        <f>VLOOKUP(C51,'[1]2026.3'!$C$3:$Q$379,13,0)</f>
        <v>#REF!</v>
      </c>
      <c r="K51" s="99">
        <f>VLOOKUP(C51,'[1]2026.3'!$C$3:$Q$379,14,0)</f>
        <v>45962</v>
      </c>
      <c r="L51" s="99">
        <f>VLOOKUP(C51,'[1]2026.3'!$C$3:$Q$379,15,0)</f>
        <v>46326</v>
      </c>
      <c r="M51" s="97">
        <f t="shared" si="0"/>
        <v>137</v>
      </c>
      <c r="N51" s="97">
        <f t="shared" si="1"/>
        <v>0</v>
      </c>
      <c r="O51" s="97"/>
    </row>
    <row r="52" spans="1:15" x14ac:dyDescent="0.3">
      <c r="A52" s="96" t="s">
        <v>55</v>
      </c>
      <c r="B52" s="97" t="s">
        <v>94</v>
      </c>
      <c r="C52" s="97" t="s">
        <v>99</v>
      </c>
      <c r="D52" s="97">
        <v>134</v>
      </c>
      <c r="E52" s="97"/>
      <c r="F52" s="97"/>
      <c r="G52" s="97" t="s">
        <v>38</v>
      </c>
      <c r="H52" s="97"/>
      <c r="I52" s="97"/>
      <c r="J52" s="99"/>
      <c r="K52" s="99">
        <f>VLOOKUP(C52,'[1]2026.3'!$C$3:$Q$379,14,0)</f>
        <v>45962</v>
      </c>
      <c r="L52" s="99">
        <f>VLOOKUP(C52,'[1]2026.3'!$C$3:$Q$379,15,0)</f>
        <v>46326</v>
      </c>
      <c r="M52" s="97">
        <f t="shared" si="0"/>
        <v>134</v>
      </c>
      <c r="N52" s="97">
        <f t="shared" si="1"/>
        <v>0</v>
      </c>
      <c r="O52" s="97"/>
    </row>
    <row r="53" spans="1:15" x14ac:dyDescent="0.3">
      <c r="A53" s="96" t="s">
        <v>55</v>
      </c>
      <c r="B53" s="97" t="s">
        <v>94</v>
      </c>
      <c r="C53" s="97" t="s">
        <v>100</v>
      </c>
      <c r="D53" s="97">
        <v>134</v>
      </c>
      <c r="E53" s="97"/>
      <c r="F53" s="97"/>
      <c r="G53" s="97" t="s">
        <v>38</v>
      </c>
      <c r="H53" s="97"/>
      <c r="I53" s="97"/>
      <c r="J53" s="99">
        <v>46091</v>
      </c>
      <c r="K53" s="99"/>
      <c r="L53" s="99"/>
      <c r="M53" s="97">
        <f t="shared" si="0"/>
        <v>134</v>
      </c>
      <c r="N53" s="97">
        <f t="shared" si="1"/>
        <v>0</v>
      </c>
      <c r="O53" s="97"/>
    </row>
    <row r="54" spans="1:15" x14ac:dyDescent="0.3">
      <c r="A54" s="96" t="s">
        <v>55</v>
      </c>
      <c r="B54" s="97" t="s">
        <v>94</v>
      </c>
      <c r="C54" s="97" t="s">
        <v>101</v>
      </c>
      <c r="D54" s="97">
        <v>265</v>
      </c>
      <c r="E54" s="97"/>
      <c r="F54" s="97"/>
      <c r="G54" s="97" t="s">
        <v>38</v>
      </c>
      <c r="H54" s="97"/>
      <c r="I54" s="97"/>
      <c r="J54" s="100">
        <v>46090</v>
      </c>
      <c r="K54" s="99"/>
      <c r="L54" s="99"/>
      <c r="M54" s="97">
        <f t="shared" si="0"/>
        <v>265</v>
      </c>
      <c r="N54" s="97">
        <f t="shared" si="1"/>
        <v>0</v>
      </c>
      <c r="O54" s="97"/>
    </row>
    <row r="55" spans="1:15" x14ac:dyDescent="0.3">
      <c r="A55" s="96" t="s">
        <v>35</v>
      </c>
      <c r="B55" s="97" t="s">
        <v>36</v>
      </c>
      <c r="C55" s="97" t="s">
        <v>102</v>
      </c>
      <c r="D55" s="97">
        <v>203</v>
      </c>
      <c r="E55" s="97"/>
      <c r="F55" s="97"/>
      <c r="G55" s="97" t="s">
        <v>38</v>
      </c>
      <c r="H55" s="97"/>
      <c r="I55" s="97"/>
      <c r="J55" s="99">
        <f>VLOOKUP(C55,'[1]2026.3'!$C$3:$Q$379,13,0)</f>
        <v>45813</v>
      </c>
      <c r="K55" s="99">
        <f>VLOOKUP(C55,'[1]2026.3'!$C$3:$Q$379,14,0)</f>
        <v>45839</v>
      </c>
      <c r="L55" s="99">
        <f>VLOOKUP(C55,'[1]2026.3'!$C$3:$Q$379,15,0)</f>
        <v>46934</v>
      </c>
      <c r="M55" s="97">
        <f t="shared" si="0"/>
        <v>203</v>
      </c>
      <c r="N55" s="97">
        <f t="shared" si="1"/>
        <v>0</v>
      </c>
      <c r="O55" s="97"/>
    </row>
    <row r="56" spans="1:15" x14ac:dyDescent="0.3">
      <c r="A56" s="96" t="s">
        <v>35</v>
      </c>
      <c r="B56" s="97" t="s">
        <v>36</v>
      </c>
      <c r="C56" s="97" t="s">
        <v>103</v>
      </c>
      <c r="D56" s="97">
        <v>304</v>
      </c>
      <c r="E56" s="97"/>
      <c r="F56" s="97"/>
      <c r="G56" s="97" t="s">
        <v>38</v>
      </c>
      <c r="H56" s="97"/>
      <c r="I56" s="97"/>
      <c r="J56" s="99">
        <f>VLOOKUP(C56,'[1]2026.3'!$C$3:$Q$379,13,0)</f>
        <v>45803</v>
      </c>
      <c r="K56" s="99">
        <f>VLOOKUP(C56,'[1]2026.3'!$C$3:$Q$379,14,0)</f>
        <v>45809</v>
      </c>
      <c r="L56" s="99">
        <f>VLOOKUP(C56,'[1]2026.3'!$C$3:$Q$379,15,0)</f>
        <v>47999</v>
      </c>
      <c r="M56" s="97">
        <f t="shared" si="0"/>
        <v>304</v>
      </c>
      <c r="N56" s="97">
        <f t="shared" si="1"/>
        <v>0</v>
      </c>
      <c r="O56" s="97"/>
    </row>
    <row r="57" spans="1:15" x14ac:dyDescent="0.3">
      <c r="A57" s="96" t="s">
        <v>35</v>
      </c>
      <c r="B57" s="97" t="s">
        <v>36</v>
      </c>
      <c r="C57" s="98" t="s">
        <v>104</v>
      </c>
      <c r="D57" s="97">
        <v>357</v>
      </c>
      <c r="E57" s="101"/>
      <c r="F57" s="101"/>
      <c r="G57" s="97" t="s">
        <v>38</v>
      </c>
      <c r="H57" s="97"/>
      <c r="I57" s="97"/>
      <c r="J57" s="99">
        <f>VLOOKUP(C57,'[1]2026.3'!$C$3:$Q$379,13,0)</f>
        <v>45803</v>
      </c>
      <c r="K57" s="99">
        <f>VLOOKUP(C57,'[1]2026.3'!$C$3:$Q$379,14,0)</f>
        <v>45809</v>
      </c>
      <c r="L57" s="99">
        <f>VLOOKUP(C57,'[1]2026.3'!$C$3:$Q$379,15,0)</f>
        <v>47999</v>
      </c>
      <c r="M57" s="97">
        <f t="shared" si="0"/>
        <v>357</v>
      </c>
      <c r="N57" s="97">
        <f t="shared" si="1"/>
        <v>0</v>
      </c>
      <c r="O57" s="97"/>
    </row>
    <row r="58" spans="1:15" x14ac:dyDescent="0.3">
      <c r="A58" s="96" t="s">
        <v>35</v>
      </c>
      <c r="B58" s="97" t="s">
        <v>36</v>
      </c>
      <c r="C58" s="97" t="s">
        <v>105</v>
      </c>
      <c r="D58" s="101">
        <v>154</v>
      </c>
      <c r="E58" s="101"/>
      <c r="F58" s="101"/>
      <c r="G58" s="97" t="s">
        <v>38</v>
      </c>
      <c r="H58" s="97"/>
      <c r="I58" s="97"/>
      <c r="J58" s="99">
        <f>VLOOKUP(C58,'[1]2026.3'!$C$3:$Q$379,13,0)</f>
        <v>46058</v>
      </c>
      <c r="K58" s="99">
        <f>VLOOKUP(C58,'[1]2026.3'!$C$3:$Q$379,14,0)</f>
        <v>46082</v>
      </c>
      <c r="L58" s="99">
        <f>VLOOKUP(C58,'[1]2026.3'!$C$3:$Q$379,15,0)</f>
        <v>47177</v>
      </c>
      <c r="M58" s="97">
        <f t="shared" si="0"/>
        <v>154</v>
      </c>
      <c r="N58" s="97">
        <f t="shared" si="1"/>
        <v>0</v>
      </c>
      <c r="O58" s="97"/>
    </row>
    <row r="59" spans="1:15" ht="26" x14ac:dyDescent="0.3">
      <c r="A59" s="96" t="s">
        <v>35</v>
      </c>
      <c r="B59" s="97" t="s">
        <v>36</v>
      </c>
      <c r="C59" s="97" t="s">
        <v>106</v>
      </c>
      <c r="D59" s="101">
        <v>93</v>
      </c>
      <c r="E59" s="97"/>
      <c r="F59" s="97"/>
      <c r="G59" s="97" t="s">
        <v>38</v>
      </c>
      <c r="H59" s="97" t="s">
        <v>107</v>
      </c>
      <c r="I59" s="97" t="s">
        <v>108</v>
      </c>
      <c r="J59" s="99">
        <f>VLOOKUP(C59,'[1]2026.3'!$C$3:$Q$379,13,0)</f>
        <v>45983</v>
      </c>
      <c r="K59" s="99">
        <f>VLOOKUP(C59,'[1]2026.3'!$C$3:$Q$379,14,0)</f>
        <v>45992</v>
      </c>
      <c r="L59" s="99">
        <f>VLOOKUP(C59,'[1]2026.3'!$C$3:$Q$379,15,0)</f>
        <v>47087</v>
      </c>
      <c r="M59" s="97">
        <f t="shared" si="0"/>
        <v>93</v>
      </c>
      <c r="N59" s="97">
        <f t="shared" si="1"/>
        <v>0</v>
      </c>
      <c r="O59" s="97"/>
    </row>
    <row r="60" spans="1:15" x14ac:dyDescent="0.3">
      <c r="A60" s="96" t="s">
        <v>35</v>
      </c>
      <c r="B60" s="97" t="s">
        <v>66</v>
      </c>
      <c r="C60" s="97" t="s">
        <v>109</v>
      </c>
      <c r="D60" s="97">
        <v>117</v>
      </c>
      <c r="E60" s="97"/>
      <c r="F60" s="97"/>
      <c r="G60" s="97" t="s">
        <v>38</v>
      </c>
      <c r="H60" s="97"/>
      <c r="I60" s="97"/>
      <c r="J60" s="99"/>
      <c r="K60" s="99">
        <f>VLOOKUP(C60,'[1]2026.3'!$C$3:$Q$379,14,0)</f>
        <v>45622</v>
      </c>
      <c r="L60" s="99">
        <f>VLOOKUP(C60,'[1]2026.3'!$C$3:$Q$379,15,0)</f>
        <v>46716</v>
      </c>
      <c r="M60" s="97">
        <f t="shared" si="0"/>
        <v>117</v>
      </c>
      <c r="N60" s="97">
        <f t="shared" si="1"/>
        <v>0</v>
      </c>
      <c r="O60" s="97"/>
    </row>
    <row r="61" spans="1:15" x14ac:dyDescent="0.3">
      <c r="A61" s="96" t="s">
        <v>35</v>
      </c>
      <c r="B61" s="97" t="s">
        <v>66</v>
      </c>
      <c r="C61" s="97" t="s">
        <v>110</v>
      </c>
      <c r="D61" s="97">
        <v>213</v>
      </c>
      <c r="E61" s="97"/>
      <c r="F61" s="97"/>
      <c r="G61" s="97" t="s">
        <v>38</v>
      </c>
      <c r="H61" s="97"/>
      <c r="I61" s="97"/>
      <c r="J61" s="99">
        <f>VLOOKUP(C61,'[1]2026.3'!$C$3:$Q$379,13,0)</f>
        <v>45894</v>
      </c>
      <c r="K61" s="99">
        <f>VLOOKUP(C61,'[1]2026.3'!$C$3:$Q$379,14,0)</f>
        <v>45908</v>
      </c>
      <c r="L61" s="99">
        <f>VLOOKUP(C61,'[1]2026.3'!$C$3:$Q$379,15,0)</f>
        <v>47003</v>
      </c>
      <c r="M61" s="97">
        <f t="shared" si="0"/>
        <v>213</v>
      </c>
      <c r="N61" s="97">
        <f t="shared" si="1"/>
        <v>0</v>
      </c>
      <c r="O61" s="97"/>
    </row>
    <row r="62" spans="1:15" x14ac:dyDescent="0.3">
      <c r="A62" s="96" t="s">
        <v>35</v>
      </c>
      <c r="B62" s="97" t="s">
        <v>94</v>
      </c>
      <c r="C62" s="97" t="s">
        <v>111</v>
      </c>
      <c r="D62" s="97">
        <v>404</v>
      </c>
      <c r="E62" s="97"/>
      <c r="F62" s="97"/>
      <c r="G62" s="97" t="s">
        <v>38</v>
      </c>
      <c r="H62" s="97"/>
      <c r="I62" s="97"/>
      <c r="J62" s="99">
        <f>VLOOKUP(C62,'[1]2026.3'!$C$3:$Q$379,13,0)</f>
        <v>45736</v>
      </c>
      <c r="K62" s="99">
        <f>VLOOKUP(C62,'[1]2026.3'!$C$3:$Q$379,14,0)</f>
        <v>45748</v>
      </c>
      <c r="L62" s="99">
        <f>VLOOKUP(C62,'[1]2026.3'!$C$3:$Q$379,15,0)</f>
        <v>46477</v>
      </c>
      <c r="M62" s="97">
        <f t="shared" si="0"/>
        <v>404</v>
      </c>
      <c r="N62" s="97">
        <f t="shared" si="1"/>
        <v>0</v>
      </c>
      <c r="O62" s="97"/>
    </row>
    <row r="63" spans="1:15" x14ac:dyDescent="0.3">
      <c r="A63" s="96" t="s">
        <v>35</v>
      </c>
      <c r="B63" s="97" t="s">
        <v>112</v>
      </c>
      <c r="C63" s="97" t="s">
        <v>113</v>
      </c>
      <c r="D63" s="97">
        <v>404</v>
      </c>
      <c r="E63" s="97"/>
      <c r="F63" s="97"/>
      <c r="G63" s="97" t="s">
        <v>38</v>
      </c>
      <c r="H63" s="97"/>
      <c r="I63" s="97"/>
      <c r="J63" s="99">
        <f>VLOOKUP(C63,'[1]2026.3'!$C$3:$Q$379,13,0)</f>
        <v>45791</v>
      </c>
      <c r="K63" s="99">
        <f>VLOOKUP(C63,'[1]2026.3'!$C$3:$Q$379,14,0)</f>
        <v>45794</v>
      </c>
      <c r="L63" s="99">
        <f>VLOOKUP(C63,'[1]2026.3'!$C$3:$Q$379,15,0)</f>
        <v>46889</v>
      </c>
      <c r="M63" s="97">
        <f t="shared" si="0"/>
        <v>404</v>
      </c>
      <c r="N63" s="97">
        <f t="shared" si="1"/>
        <v>0</v>
      </c>
      <c r="O63" s="97"/>
    </row>
    <row r="64" spans="1:15" x14ac:dyDescent="0.3">
      <c r="A64" s="96" t="s">
        <v>35</v>
      </c>
      <c r="B64" s="97" t="s">
        <v>114</v>
      </c>
      <c r="C64" s="97" t="s">
        <v>115</v>
      </c>
      <c r="D64" s="97">
        <v>404</v>
      </c>
      <c r="E64" s="97"/>
      <c r="F64" s="97"/>
      <c r="G64" s="97" t="s">
        <v>38</v>
      </c>
      <c r="H64" s="97"/>
      <c r="I64" s="97"/>
      <c r="J64" s="99">
        <f>VLOOKUP(C64,'[1]2026.3'!$C$3:$Q$379,13,0)</f>
        <v>45542</v>
      </c>
      <c r="K64" s="99">
        <f>VLOOKUP(C64,'[1]2026.3'!$C$3:$Q$379,14,0)</f>
        <v>45566</v>
      </c>
      <c r="L64" s="99">
        <f>VLOOKUP(C64,'[1]2026.3'!$C$3:$Q$379,15,0)</f>
        <v>46660</v>
      </c>
      <c r="M64" s="97">
        <f t="shared" si="0"/>
        <v>404</v>
      </c>
      <c r="N64" s="97">
        <f t="shared" si="1"/>
        <v>0</v>
      </c>
      <c r="O64" s="97"/>
    </row>
    <row r="65" spans="1:15" x14ac:dyDescent="0.3">
      <c r="A65" s="96" t="s">
        <v>55</v>
      </c>
      <c r="B65" s="97" t="s">
        <v>36</v>
      </c>
      <c r="C65" s="97" t="s">
        <v>116</v>
      </c>
      <c r="D65" s="97">
        <v>223</v>
      </c>
      <c r="E65" s="97"/>
      <c r="F65" s="97"/>
      <c r="G65" s="97" t="s">
        <v>38</v>
      </c>
      <c r="H65" s="97"/>
      <c r="I65" s="97"/>
      <c r="J65" s="99">
        <f>VLOOKUP(C65,'[1]2026.3'!$C$3:$Q$379,13,0)</f>
        <v>45931</v>
      </c>
      <c r="K65" s="99">
        <f>VLOOKUP(C65,'[1]2026.3'!$C$3:$Q$379,14,0)</f>
        <v>45870</v>
      </c>
      <c r="L65" s="99">
        <f>VLOOKUP(C65,'[1]2026.3'!$C$3:$Q$379,15,0)</f>
        <v>46965</v>
      </c>
      <c r="M65" s="97">
        <f t="shared" si="0"/>
        <v>223</v>
      </c>
      <c r="N65" s="97">
        <f t="shared" si="1"/>
        <v>0</v>
      </c>
      <c r="O65" s="97"/>
    </row>
    <row r="66" spans="1:15" x14ac:dyDescent="0.3">
      <c r="A66" s="96" t="s">
        <v>55</v>
      </c>
      <c r="B66" s="97" t="s">
        <v>36</v>
      </c>
      <c r="C66" s="97" t="s">
        <v>117</v>
      </c>
      <c r="D66" s="97">
        <v>223</v>
      </c>
      <c r="E66" s="97"/>
      <c r="F66" s="97"/>
      <c r="G66" s="97" t="s">
        <v>38</v>
      </c>
      <c r="H66" s="97"/>
      <c r="I66" s="97"/>
      <c r="J66" s="99">
        <f>VLOOKUP(C66,'[1]2026.3'!$C$3:$Q$379,13,0)</f>
        <v>46016</v>
      </c>
      <c r="K66" s="99">
        <f>VLOOKUP(C66,'[1]2026.3'!$C$3:$Q$379,14,0)</f>
        <v>45962</v>
      </c>
      <c r="L66" s="99">
        <f>VLOOKUP(C66,'[1]2026.3'!$C$3:$Q$379,15,0)</f>
        <v>47057</v>
      </c>
      <c r="M66" s="97">
        <f t="shared" ref="M66:M129" si="2">IF(G66="已租",D66,0)</f>
        <v>223</v>
      </c>
      <c r="N66" s="97">
        <f t="shared" ref="N66:N129" si="3">IF(G66="未出租",D66,0)</f>
        <v>0</v>
      </c>
      <c r="O66" s="97"/>
    </row>
    <row r="67" spans="1:15" x14ac:dyDescent="0.3">
      <c r="A67" s="96" t="s">
        <v>55</v>
      </c>
      <c r="B67" s="97" t="s">
        <v>36</v>
      </c>
      <c r="C67" s="97" t="s">
        <v>118</v>
      </c>
      <c r="D67" s="97">
        <v>111</v>
      </c>
      <c r="E67" s="97"/>
      <c r="F67" s="97"/>
      <c r="G67" s="97" t="s">
        <v>38</v>
      </c>
      <c r="H67" s="97"/>
      <c r="I67" s="97"/>
      <c r="J67" s="99">
        <f>VLOOKUP(C67,'[1]2026.3'!$C$3:$Q$379,13,0)</f>
        <v>45997</v>
      </c>
      <c r="K67" s="99">
        <f>VLOOKUP(C67,'[1]2026.3'!$C$3:$Q$379,14,0)</f>
        <v>46007</v>
      </c>
      <c r="L67" s="99">
        <f>VLOOKUP(C67,'[1]2026.3'!$C$3:$Q$379,15,0)</f>
        <v>47102</v>
      </c>
      <c r="M67" s="97">
        <f t="shared" si="2"/>
        <v>111</v>
      </c>
      <c r="N67" s="97">
        <f t="shared" si="3"/>
        <v>0</v>
      </c>
      <c r="O67" s="97"/>
    </row>
    <row r="68" spans="1:15" x14ac:dyDescent="0.3">
      <c r="A68" s="96" t="s">
        <v>55</v>
      </c>
      <c r="B68" s="97" t="s">
        <v>36</v>
      </c>
      <c r="C68" s="97" t="s">
        <v>119</v>
      </c>
      <c r="D68" s="97">
        <v>223</v>
      </c>
      <c r="E68" s="97"/>
      <c r="F68" s="97"/>
      <c r="G68" s="97" t="s">
        <v>38</v>
      </c>
      <c r="H68" s="97" t="s">
        <v>82</v>
      </c>
      <c r="I68" s="97"/>
      <c r="J68" s="99">
        <f>VLOOKUP(C68,'[1]2026.3'!$C$3:$Q$379,13,0)</f>
        <v>46011</v>
      </c>
      <c r="K68" s="99">
        <f>VLOOKUP(C68,'[1]2026.3'!$C$3:$Q$379,14,0)</f>
        <v>46011</v>
      </c>
      <c r="L68" s="99">
        <f>VLOOKUP(C68,'[1]2026.3'!$C$3:$Q$379,15,0)</f>
        <v>47076</v>
      </c>
      <c r="M68" s="97">
        <f t="shared" si="2"/>
        <v>223</v>
      </c>
      <c r="N68" s="97">
        <f t="shared" si="3"/>
        <v>0</v>
      </c>
      <c r="O68" s="97"/>
    </row>
    <row r="69" spans="1:15" x14ac:dyDescent="0.3">
      <c r="A69" s="96" t="s">
        <v>55</v>
      </c>
      <c r="B69" s="97" t="s">
        <v>36</v>
      </c>
      <c r="C69" s="97" t="s">
        <v>120</v>
      </c>
      <c r="D69" s="97">
        <v>136</v>
      </c>
      <c r="E69" s="97"/>
      <c r="F69" s="97"/>
      <c r="G69" s="97" t="s">
        <v>38</v>
      </c>
      <c r="H69" s="97"/>
      <c r="I69" s="97"/>
      <c r="J69" s="99">
        <f>VLOOKUP(C69,'[1]2026.3'!$C$3:$Q$379,13,0)</f>
        <v>45905</v>
      </c>
      <c r="K69" s="99">
        <f>VLOOKUP(C69,'[1]2026.3'!$C$3:$Q$379,14,0)</f>
        <v>45910</v>
      </c>
      <c r="L69" s="99">
        <f>VLOOKUP(C69,'[1]2026.3'!$C$3:$Q$379,15,0)</f>
        <v>47005</v>
      </c>
      <c r="M69" s="97">
        <f t="shared" si="2"/>
        <v>136</v>
      </c>
      <c r="N69" s="97">
        <f t="shared" si="3"/>
        <v>0</v>
      </c>
      <c r="O69" s="97"/>
    </row>
    <row r="70" spans="1:15" x14ac:dyDescent="0.3">
      <c r="A70" s="96" t="s">
        <v>55</v>
      </c>
      <c r="B70" s="97" t="s">
        <v>36</v>
      </c>
      <c r="C70" s="97" t="s">
        <v>121</v>
      </c>
      <c r="D70" s="97">
        <v>154</v>
      </c>
      <c r="E70" s="97"/>
      <c r="F70" s="97"/>
      <c r="G70" s="97" t="s">
        <v>38</v>
      </c>
      <c r="H70" s="97"/>
      <c r="I70" s="97"/>
      <c r="J70" s="99">
        <f>VLOOKUP(C70,'[1]2026.3'!$C$3:$Q$379,13,0)</f>
        <v>46058</v>
      </c>
      <c r="K70" s="99">
        <f>VLOOKUP(C70,'[1]2026.3'!$C$3:$Q$379,14,0)</f>
        <v>46082</v>
      </c>
      <c r="L70" s="99">
        <f>VLOOKUP(C70,'[1]2026.3'!$C$3:$Q$379,15,0)</f>
        <v>47177</v>
      </c>
      <c r="M70" s="97">
        <f t="shared" si="2"/>
        <v>154</v>
      </c>
      <c r="N70" s="97">
        <f t="shared" si="3"/>
        <v>0</v>
      </c>
      <c r="O70" s="97"/>
    </row>
    <row r="71" spans="1:15" x14ac:dyDescent="0.3">
      <c r="A71" s="96" t="s">
        <v>55</v>
      </c>
      <c r="B71" s="97" t="s">
        <v>36</v>
      </c>
      <c r="C71" s="97" t="s">
        <v>122</v>
      </c>
      <c r="D71" s="97">
        <v>217</v>
      </c>
      <c r="E71" s="97"/>
      <c r="F71" s="97"/>
      <c r="G71" s="97" t="s">
        <v>38</v>
      </c>
      <c r="H71" s="97"/>
      <c r="I71" s="97"/>
      <c r="J71" s="99">
        <f>VLOOKUP(C71,'[1]2026.3'!$C$3:$Q$379,13,0)</f>
        <v>45848</v>
      </c>
      <c r="K71" s="99">
        <f>VLOOKUP(C71,'[1]2026.3'!$C$3:$Q$379,14,0)</f>
        <v>45870</v>
      </c>
      <c r="L71" s="99">
        <f>VLOOKUP(C71,'[1]2026.3'!$C$3:$Q$379,15,0)</f>
        <v>46965</v>
      </c>
      <c r="M71" s="97">
        <f t="shared" si="2"/>
        <v>217</v>
      </c>
      <c r="N71" s="97">
        <f t="shared" si="3"/>
        <v>0</v>
      </c>
      <c r="O71" s="97"/>
    </row>
    <row r="72" spans="1:15" x14ac:dyDescent="0.3">
      <c r="A72" s="96" t="s">
        <v>55</v>
      </c>
      <c r="B72" s="97" t="s">
        <v>66</v>
      </c>
      <c r="C72" s="102" t="s">
        <v>123</v>
      </c>
      <c r="D72" s="97">
        <v>200</v>
      </c>
      <c r="E72" s="97"/>
      <c r="F72" s="97"/>
      <c r="G72" s="97" t="s">
        <v>38</v>
      </c>
      <c r="H72" s="97" t="s">
        <v>82</v>
      </c>
      <c r="I72" s="97"/>
      <c r="J72" s="99">
        <v>46091</v>
      </c>
      <c r="K72" s="99"/>
      <c r="L72" s="99"/>
      <c r="M72" s="97">
        <f t="shared" si="2"/>
        <v>200</v>
      </c>
      <c r="N72" s="97">
        <f t="shared" si="3"/>
        <v>0</v>
      </c>
      <c r="O72" s="97"/>
    </row>
    <row r="73" spans="1:15" x14ac:dyDescent="0.3">
      <c r="A73" s="96" t="s">
        <v>55</v>
      </c>
      <c r="B73" s="97" t="s">
        <v>66</v>
      </c>
      <c r="C73" s="102" t="s">
        <v>124</v>
      </c>
      <c r="D73" s="97">
        <v>43</v>
      </c>
      <c r="E73" s="97"/>
      <c r="F73" s="97"/>
      <c r="G73" s="97" t="s">
        <v>38</v>
      </c>
      <c r="H73" s="97"/>
      <c r="I73" s="97"/>
      <c r="J73" s="99">
        <v>46105</v>
      </c>
      <c r="K73" s="99">
        <v>46096</v>
      </c>
      <c r="L73" s="99">
        <v>46386</v>
      </c>
      <c r="M73" s="97">
        <f t="shared" si="2"/>
        <v>43</v>
      </c>
      <c r="N73" s="97">
        <f t="shared" si="3"/>
        <v>0</v>
      </c>
      <c r="O73" s="97" t="s">
        <v>125</v>
      </c>
    </row>
    <row r="74" spans="1:15" x14ac:dyDescent="0.3">
      <c r="A74" s="96" t="s">
        <v>55</v>
      </c>
      <c r="B74" s="97" t="s">
        <v>66</v>
      </c>
      <c r="C74" s="102" t="s">
        <v>126</v>
      </c>
      <c r="D74" s="97">
        <v>248</v>
      </c>
      <c r="E74" s="97"/>
      <c r="F74" s="97"/>
      <c r="G74" s="97" t="s">
        <v>38</v>
      </c>
      <c r="H74" s="97"/>
      <c r="I74" s="97"/>
      <c r="J74" s="99"/>
      <c r="K74" s="99">
        <f>VLOOKUP(C74,'[1]2026.3'!$C$3:$Q$379,14,0)</f>
        <v>45748</v>
      </c>
      <c r="L74" s="99">
        <f>VLOOKUP(C74,'[1]2026.3'!$C$3:$Q$379,15,0)</f>
        <v>46112</v>
      </c>
      <c r="M74" s="97">
        <f t="shared" si="2"/>
        <v>248</v>
      </c>
      <c r="N74" s="97">
        <f t="shared" si="3"/>
        <v>0</v>
      </c>
      <c r="O74" s="97"/>
    </row>
    <row r="75" spans="1:15" x14ac:dyDescent="0.3">
      <c r="A75" s="96" t="s">
        <v>55</v>
      </c>
      <c r="B75" s="97" t="s">
        <v>66</v>
      </c>
      <c r="C75" s="102" t="s">
        <v>127</v>
      </c>
      <c r="D75" s="97">
        <v>183</v>
      </c>
      <c r="E75" s="97"/>
      <c r="F75" s="97"/>
      <c r="G75" s="97" t="s">
        <v>38</v>
      </c>
      <c r="H75" s="97"/>
      <c r="I75" s="97"/>
      <c r="J75" s="99">
        <f>VLOOKUP(C75,'[1]2026.3'!$C$3:$Q$379,13,0)</f>
        <v>45931</v>
      </c>
      <c r="K75" s="99">
        <f>VLOOKUP(C75,'[1]2026.3'!$C$3:$Q$379,14,0)</f>
        <v>45931</v>
      </c>
      <c r="L75" s="99">
        <f>VLOOKUP(C75,'[1]2026.3'!$C$3:$Q$379,15,0)</f>
        <v>47026</v>
      </c>
      <c r="M75" s="97">
        <f t="shared" si="2"/>
        <v>183</v>
      </c>
      <c r="N75" s="97">
        <f t="shared" si="3"/>
        <v>0</v>
      </c>
      <c r="O75" s="97"/>
    </row>
    <row r="76" spans="1:15" x14ac:dyDescent="0.3">
      <c r="A76" s="96" t="s">
        <v>55</v>
      </c>
      <c r="B76" s="97" t="s">
        <v>94</v>
      </c>
      <c r="C76" s="97" t="s">
        <v>128</v>
      </c>
      <c r="D76" s="97">
        <v>620</v>
      </c>
      <c r="E76" s="97"/>
      <c r="F76" s="97"/>
      <c r="G76" s="97" t="s">
        <v>38</v>
      </c>
      <c r="H76" s="97"/>
      <c r="I76" s="97"/>
      <c r="J76" s="99"/>
      <c r="K76" s="99">
        <f>VLOOKUP(C76,'[1]2026.3'!$C$3:$Q$379,14,0)</f>
        <v>45536</v>
      </c>
      <c r="L76" s="99">
        <f>VLOOKUP(C76,'[1]2026.3'!$C$3:$Q$379,15,0)</f>
        <v>46630</v>
      </c>
      <c r="M76" s="97">
        <f t="shared" si="2"/>
        <v>620</v>
      </c>
      <c r="N76" s="97">
        <f t="shared" si="3"/>
        <v>0</v>
      </c>
      <c r="O76" s="97"/>
    </row>
    <row r="77" spans="1:15" x14ac:dyDescent="0.3">
      <c r="A77" s="96" t="s">
        <v>55</v>
      </c>
      <c r="B77" s="97" t="s">
        <v>112</v>
      </c>
      <c r="C77" s="97" t="s">
        <v>129</v>
      </c>
      <c r="D77" s="97">
        <v>220</v>
      </c>
      <c r="E77" s="97"/>
      <c r="F77" s="97"/>
      <c r="G77" s="97" t="s">
        <v>38</v>
      </c>
      <c r="H77" s="97"/>
      <c r="I77" s="97"/>
      <c r="J77" s="99"/>
      <c r="K77" s="99">
        <f>VLOOKUP(C77,'[1]2026.3'!$C$3:$Q$379,14,0)</f>
        <v>45765</v>
      </c>
      <c r="L77" s="99">
        <f>VLOOKUP(C77,'[1]2026.3'!$C$3:$Q$379,15,0)</f>
        <v>46494</v>
      </c>
      <c r="M77" s="97">
        <f t="shared" si="2"/>
        <v>220</v>
      </c>
      <c r="N77" s="97">
        <f t="shared" si="3"/>
        <v>0</v>
      </c>
      <c r="O77" s="97"/>
    </row>
    <row r="78" spans="1:15" x14ac:dyDescent="0.3">
      <c r="A78" s="96" t="s">
        <v>55</v>
      </c>
      <c r="B78" s="97" t="s">
        <v>112</v>
      </c>
      <c r="C78" s="102" t="s">
        <v>130</v>
      </c>
      <c r="D78" s="97">
        <v>163</v>
      </c>
      <c r="E78" s="97"/>
      <c r="F78" s="97"/>
      <c r="G78" s="97" t="s">
        <v>38</v>
      </c>
      <c r="H78" s="97"/>
      <c r="I78" s="97"/>
      <c r="J78" s="99">
        <f>VLOOKUP(C78,'[1]2026.3'!$C$3:$Q$379,13,0)</f>
        <v>46023</v>
      </c>
      <c r="K78" s="99">
        <f>VLOOKUP(C78,'[1]2026.3'!$C$3:$Q$379,14,0)</f>
        <v>46023</v>
      </c>
      <c r="L78" s="99">
        <f>VLOOKUP(C78,'[1]2026.3'!$C$3:$Q$379,15,0)</f>
        <v>47118</v>
      </c>
      <c r="M78" s="97">
        <f t="shared" si="2"/>
        <v>163</v>
      </c>
      <c r="N78" s="97">
        <f t="shared" si="3"/>
        <v>0</v>
      </c>
      <c r="O78" s="97"/>
    </row>
    <row r="79" spans="1:15" x14ac:dyDescent="0.3">
      <c r="A79" s="96" t="s">
        <v>55</v>
      </c>
      <c r="B79" s="97" t="s">
        <v>114</v>
      </c>
      <c r="C79" s="102" t="s">
        <v>131</v>
      </c>
      <c r="D79" s="97">
        <v>173</v>
      </c>
      <c r="E79" s="97"/>
      <c r="F79" s="97"/>
      <c r="G79" s="97" t="s">
        <v>38</v>
      </c>
      <c r="H79" s="97"/>
      <c r="I79" s="97"/>
      <c r="J79" s="99">
        <f>VLOOKUP(C79,'[1]2026.3'!$C$3:$Q$379,13,0)</f>
        <v>45792</v>
      </c>
      <c r="K79" s="99">
        <f>VLOOKUP(C79,'[1]2026.3'!$C$3:$Q$379,14,0)</f>
        <v>45792</v>
      </c>
      <c r="L79" s="99">
        <f>VLOOKUP(C79,'[1]2026.3'!$C$3:$Q$379,15,0)</f>
        <v>46521</v>
      </c>
      <c r="M79" s="97">
        <f t="shared" si="2"/>
        <v>173</v>
      </c>
      <c r="N79" s="97">
        <f t="shared" si="3"/>
        <v>0</v>
      </c>
      <c r="O79" s="97"/>
    </row>
    <row r="80" spans="1:15" x14ac:dyDescent="0.3">
      <c r="A80" s="96" t="s">
        <v>55</v>
      </c>
      <c r="B80" s="97" t="s">
        <v>114</v>
      </c>
      <c r="C80" s="102" t="s">
        <v>132</v>
      </c>
      <c r="D80" s="97">
        <f>383-173</f>
        <v>210</v>
      </c>
      <c r="E80" s="97"/>
      <c r="F80" s="97"/>
      <c r="G80" s="97" t="s">
        <v>74</v>
      </c>
      <c r="H80" s="97"/>
      <c r="I80" s="97"/>
      <c r="J80" s="99"/>
      <c r="K80" s="99"/>
      <c r="L80" s="99"/>
      <c r="M80" s="97">
        <f t="shared" si="2"/>
        <v>0</v>
      </c>
      <c r="N80" s="97">
        <f t="shared" si="3"/>
        <v>210</v>
      </c>
      <c r="O80" s="97"/>
    </row>
    <row r="81" spans="1:15" x14ac:dyDescent="0.3">
      <c r="A81" s="96" t="s">
        <v>35</v>
      </c>
      <c r="B81" s="97" t="s">
        <v>36</v>
      </c>
      <c r="C81" s="97" t="s">
        <v>133</v>
      </c>
      <c r="D81" s="97">
        <v>301</v>
      </c>
      <c r="E81" s="97"/>
      <c r="F81" s="97"/>
      <c r="G81" s="97" t="s">
        <v>38</v>
      </c>
      <c r="H81" s="97"/>
      <c r="I81" s="97"/>
      <c r="J81" s="99">
        <f>VLOOKUP(C81,'[1]2026.3'!$C$3:$Q$379,13,0)</f>
        <v>45953</v>
      </c>
      <c r="K81" s="99">
        <f>VLOOKUP(C81,'[1]2026.3'!$C$3:$Q$379,14,0)</f>
        <v>45955</v>
      </c>
      <c r="L81" s="99">
        <f>VLOOKUP(C81,'[1]2026.3'!$C$3:$Q$379,15,0)</f>
        <v>47050</v>
      </c>
      <c r="M81" s="97">
        <f t="shared" si="2"/>
        <v>301</v>
      </c>
      <c r="N81" s="97">
        <f t="shared" si="3"/>
        <v>0</v>
      </c>
      <c r="O81" s="97"/>
    </row>
    <row r="82" spans="1:15" x14ac:dyDescent="0.3">
      <c r="A82" s="96" t="s">
        <v>35</v>
      </c>
      <c r="B82" s="97" t="s">
        <v>36</v>
      </c>
      <c r="C82" s="97" t="s">
        <v>134</v>
      </c>
      <c r="D82" s="97">
        <v>321</v>
      </c>
      <c r="E82" s="97"/>
      <c r="F82" s="97"/>
      <c r="G82" s="97" t="s">
        <v>38</v>
      </c>
      <c r="H82" s="97"/>
      <c r="I82" s="97"/>
      <c r="J82" s="99">
        <f>VLOOKUP(C82,'[1]2026.3'!$C$3:$Q$379,13,0)</f>
        <v>45986</v>
      </c>
      <c r="K82" s="99">
        <f>VLOOKUP(C82,'[1]2026.3'!$C$3:$Q$379,14,0)</f>
        <v>45992</v>
      </c>
      <c r="L82" s="99">
        <f>VLOOKUP(C82,'[1]2026.3'!$C$3:$Q$379,15,0)</f>
        <v>47087</v>
      </c>
      <c r="M82" s="97">
        <f t="shared" si="2"/>
        <v>321</v>
      </c>
      <c r="N82" s="97">
        <f t="shared" si="3"/>
        <v>0</v>
      </c>
      <c r="O82" s="97"/>
    </row>
    <row r="83" spans="1:15" x14ac:dyDescent="0.3">
      <c r="A83" s="96" t="s">
        <v>35</v>
      </c>
      <c r="B83" s="97" t="s">
        <v>36</v>
      </c>
      <c r="C83" s="97" t="s">
        <v>134</v>
      </c>
      <c r="D83" s="97">
        <v>175</v>
      </c>
      <c r="E83" s="97"/>
      <c r="F83" s="97"/>
      <c r="G83" s="97" t="s">
        <v>38</v>
      </c>
      <c r="H83" s="97"/>
      <c r="I83" s="97"/>
      <c r="J83" s="99">
        <f>VLOOKUP(C83,'[1]2026.3'!$C$3:$Q$379,13,0)</f>
        <v>45986</v>
      </c>
      <c r="K83" s="99">
        <f>VLOOKUP(C83,'[1]2026.3'!$C$3:$Q$379,14,0)</f>
        <v>45992</v>
      </c>
      <c r="L83" s="99">
        <f>VLOOKUP(C83,'[1]2026.3'!$C$3:$Q$379,15,0)</f>
        <v>47087</v>
      </c>
      <c r="M83" s="97">
        <f t="shared" si="2"/>
        <v>175</v>
      </c>
      <c r="N83" s="97">
        <f t="shared" si="3"/>
        <v>0</v>
      </c>
      <c r="O83" s="97"/>
    </row>
    <row r="84" spans="1:15" x14ac:dyDescent="0.3">
      <c r="A84" s="96" t="s">
        <v>35</v>
      </c>
      <c r="B84" s="97" t="s">
        <v>36</v>
      </c>
      <c r="C84" s="97" t="s">
        <v>135</v>
      </c>
      <c r="D84" s="97">
        <v>186</v>
      </c>
      <c r="E84" s="97"/>
      <c r="F84" s="97"/>
      <c r="G84" s="97" t="s">
        <v>38</v>
      </c>
      <c r="H84" s="97"/>
      <c r="I84" s="97"/>
      <c r="J84" s="99">
        <f>VLOOKUP(C84,'[1]2026.3'!$C$3:$Q$379,13,0)</f>
        <v>45971</v>
      </c>
      <c r="K84" s="99">
        <f>VLOOKUP(C84,'[1]2026.3'!$C$3:$Q$379,14,0)</f>
        <v>45981</v>
      </c>
      <c r="L84" s="99">
        <f>VLOOKUP(C84,'[1]2026.3'!$C$3:$Q$379,15,0)</f>
        <v>47076</v>
      </c>
      <c r="M84" s="97">
        <f t="shared" si="2"/>
        <v>186</v>
      </c>
      <c r="N84" s="97">
        <f t="shared" si="3"/>
        <v>0</v>
      </c>
      <c r="O84" s="97"/>
    </row>
    <row r="85" spans="1:15" x14ac:dyDescent="0.3">
      <c r="A85" s="96" t="s">
        <v>35</v>
      </c>
      <c r="B85" s="97" t="s">
        <v>36</v>
      </c>
      <c r="C85" s="97" t="s">
        <v>136</v>
      </c>
      <c r="D85" s="97">
        <v>234</v>
      </c>
      <c r="E85" s="97"/>
      <c r="F85" s="97"/>
      <c r="G85" s="97" t="s">
        <v>38</v>
      </c>
      <c r="H85" s="97"/>
      <c r="I85" s="97"/>
      <c r="J85" s="99">
        <f>VLOOKUP(C85,'[1]2026.3'!$C$3:$Q$379,13,0)</f>
        <v>45810</v>
      </c>
      <c r="K85" s="99">
        <f>VLOOKUP(C85,'[1]2026.3'!$C$3:$Q$379,14,0)</f>
        <v>45813</v>
      </c>
      <c r="L85" s="99">
        <f>VLOOKUP(C85,'[1]2026.3'!$C$3:$Q$379,15,0)</f>
        <v>46908</v>
      </c>
      <c r="M85" s="97">
        <f t="shared" si="2"/>
        <v>234</v>
      </c>
      <c r="N85" s="97">
        <f t="shared" si="3"/>
        <v>0</v>
      </c>
      <c r="O85" s="97"/>
    </row>
    <row r="86" spans="1:15" x14ac:dyDescent="0.3">
      <c r="A86" s="96" t="s">
        <v>35</v>
      </c>
      <c r="B86" s="97" t="s">
        <v>66</v>
      </c>
      <c r="C86" s="97" t="s">
        <v>137</v>
      </c>
      <c r="D86" s="97">
        <v>234</v>
      </c>
      <c r="E86" s="97"/>
      <c r="F86" s="97"/>
      <c r="G86" s="97" t="s">
        <v>38</v>
      </c>
      <c r="H86" s="97"/>
      <c r="I86" s="97"/>
      <c r="J86" s="99">
        <f>VLOOKUP(C86,'[1]2026.3'!$C$3:$Q$379,13,0)</f>
        <v>45810</v>
      </c>
      <c r="K86" s="99">
        <f>VLOOKUP(C86,'[1]2026.3'!$C$3:$Q$379,14,0)</f>
        <v>45813</v>
      </c>
      <c r="L86" s="99">
        <f>VLOOKUP(C86,'[1]2026.3'!$C$3:$Q$379,15,0)</f>
        <v>46908</v>
      </c>
      <c r="M86" s="97">
        <f t="shared" si="2"/>
        <v>234</v>
      </c>
      <c r="N86" s="97">
        <f t="shared" si="3"/>
        <v>0</v>
      </c>
      <c r="O86" s="97"/>
    </row>
    <row r="87" spans="1:15" x14ac:dyDescent="0.3">
      <c r="A87" s="96" t="s">
        <v>35</v>
      </c>
      <c r="B87" s="97" t="s">
        <v>66</v>
      </c>
      <c r="C87" s="97" t="s">
        <v>138</v>
      </c>
      <c r="D87" s="97">
        <v>364</v>
      </c>
      <c r="E87" s="97"/>
      <c r="F87" s="97"/>
      <c r="G87" s="97" t="s">
        <v>74</v>
      </c>
      <c r="H87" s="97"/>
      <c r="I87" s="97"/>
      <c r="J87" s="99"/>
      <c r="K87" s="99"/>
      <c r="L87" s="99"/>
      <c r="M87" s="97">
        <f t="shared" si="2"/>
        <v>0</v>
      </c>
      <c r="N87" s="97">
        <f t="shared" si="3"/>
        <v>364</v>
      </c>
      <c r="O87" s="97"/>
    </row>
    <row r="88" spans="1:15" x14ac:dyDescent="0.3">
      <c r="A88" s="96" t="s">
        <v>55</v>
      </c>
      <c r="B88" s="97" t="s">
        <v>36</v>
      </c>
      <c r="C88" s="97" t="s">
        <v>139</v>
      </c>
      <c r="D88" s="97">
        <v>208</v>
      </c>
      <c r="E88" s="97"/>
      <c r="F88" s="97"/>
      <c r="G88" s="97" t="s">
        <v>38</v>
      </c>
      <c r="H88" s="97"/>
      <c r="I88" s="97"/>
      <c r="J88" s="99">
        <f>VLOOKUP(C88,'[1]2026.3'!$C$3:$Q$379,13,0)</f>
        <v>45940</v>
      </c>
      <c r="K88" s="99">
        <f>VLOOKUP(C88,'[1]2026.3'!$C$3:$Q$379,14,0)</f>
        <v>45931</v>
      </c>
      <c r="L88" s="99">
        <f>VLOOKUP(C88,'[1]2026.3'!$C$3:$Q$379,15,0)</f>
        <v>47026</v>
      </c>
      <c r="M88" s="97">
        <f t="shared" si="2"/>
        <v>208</v>
      </c>
      <c r="N88" s="97">
        <f t="shared" si="3"/>
        <v>0</v>
      </c>
      <c r="O88" s="97"/>
    </row>
    <row r="89" spans="1:15" x14ac:dyDescent="0.3">
      <c r="A89" s="96" t="s">
        <v>55</v>
      </c>
      <c r="B89" s="97" t="s">
        <v>36</v>
      </c>
      <c r="C89" s="97" t="s">
        <v>140</v>
      </c>
      <c r="D89" s="97">
        <v>102</v>
      </c>
      <c r="E89" s="97"/>
      <c r="F89" s="97"/>
      <c r="G89" s="97" t="s">
        <v>38</v>
      </c>
      <c r="H89" s="97"/>
      <c r="I89" s="97"/>
      <c r="J89" s="99">
        <f>VLOOKUP(C89,'[1]2026.3'!$C$3:$Q$379,13,0)</f>
        <v>45848</v>
      </c>
      <c r="K89" s="99">
        <f>VLOOKUP(C89,'[1]2026.3'!$C$3:$Q$379,14,0)</f>
        <v>45870</v>
      </c>
      <c r="L89" s="99">
        <f>VLOOKUP(C89,'[1]2026.3'!$C$3:$Q$379,15,0)</f>
        <v>46965</v>
      </c>
      <c r="M89" s="97">
        <f t="shared" si="2"/>
        <v>102</v>
      </c>
      <c r="N89" s="97">
        <f t="shared" si="3"/>
        <v>0</v>
      </c>
      <c r="O89" s="97"/>
    </row>
    <row r="90" spans="1:15" x14ac:dyDescent="0.3">
      <c r="A90" s="96" t="s">
        <v>55</v>
      </c>
      <c r="B90" s="97" t="s">
        <v>36</v>
      </c>
      <c r="C90" s="97" t="s">
        <v>141</v>
      </c>
      <c r="D90" s="97">
        <v>102</v>
      </c>
      <c r="E90" s="97"/>
      <c r="F90" s="97"/>
      <c r="G90" s="97" t="s">
        <v>38</v>
      </c>
      <c r="H90" s="97"/>
      <c r="I90" s="97"/>
      <c r="J90" s="99">
        <f>VLOOKUP(C90,'[1]2026.3'!$C$3:$Q$379,13,0)</f>
        <v>45848</v>
      </c>
      <c r="K90" s="99">
        <f>VLOOKUP(C90,'[1]2026.3'!$C$3:$Q$379,14,0)</f>
        <v>45870</v>
      </c>
      <c r="L90" s="99">
        <f>VLOOKUP(C90,'[1]2026.3'!$C$3:$Q$379,15,0)</f>
        <v>46965</v>
      </c>
      <c r="M90" s="97">
        <f t="shared" si="2"/>
        <v>102</v>
      </c>
      <c r="N90" s="97">
        <f t="shared" si="3"/>
        <v>0</v>
      </c>
      <c r="O90" s="97"/>
    </row>
    <row r="91" spans="1:15" x14ac:dyDescent="0.3">
      <c r="A91" s="96" t="s">
        <v>55</v>
      </c>
      <c r="B91" s="97" t="s">
        <v>36</v>
      </c>
      <c r="C91" s="97" t="s">
        <v>142</v>
      </c>
      <c r="D91" s="97">
        <v>128</v>
      </c>
      <c r="E91" s="97"/>
      <c r="F91" s="97"/>
      <c r="G91" s="97" t="s">
        <v>38</v>
      </c>
      <c r="H91" s="97"/>
      <c r="I91" s="97"/>
      <c r="J91" s="99">
        <f>VLOOKUP(C91,'[1]2026.3'!$C$3:$Q$379,13,0)</f>
        <v>45855</v>
      </c>
      <c r="K91" s="99">
        <f>VLOOKUP(C91,'[1]2026.3'!$C$3:$Q$379,14,0)</f>
        <v>45870</v>
      </c>
      <c r="L91" s="99">
        <f>VLOOKUP(C91,'[1]2026.3'!$C$3:$Q$379,15,0)</f>
        <v>46965</v>
      </c>
      <c r="M91" s="97">
        <f t="shared" si="2"/>
        <v>128</v>
      </c>
      <c r="N91" s="97">
        <f t="shared" si="3"/>
        <v>0</v>
      </c>
      <c r="O91" s="97"/>
    </row>
    <row r="92" spans="1:15" x14ac:dyDescent="0.3">
      <c r="A92" s="96" t="s">
        <v>55</v>
      </c>
      <c r="B92" s="97" t="s">
        <v>36</v>
      </c>
      <c r="C92" s="97" t="s">
        <v>143</v>
      </c>
      <c r="D92" s="97">
        <v>240</v>
      </c>
      <c r="E92" s="97"/>
      <c r="F92" s="97"/>
      <c r="G92" s="97" t="s">
        <v>38</v>
      </c>
      <c r="H92" s="97"/>
      <c r="I92" s="97"/>
      <c r="J92" s="99">
        <f>VLOOKUP(C92,'[1]2026.3'!$C$3:$Q$379,13,0)</f>
        <v>45860</v>
      </c>
      <c r="K92" s="99">
        <f>VLOOKUP(C92,'[1]2026.3'!$C$3:$Q$379,14,0)</f>
        <v>45870</v>
      </c>
      <c r="L92" s="99">
        <f>VLOOKUP(C92,'[1]2026.3'!$C$3:$Q$379,15,0)</f>
        <v>46965</v>
      </c>
      <c r="M92" s="97">
        <f t="shared" si="2"/>
        <v>240</v>
      </c>
      <c r="N92" s="97">
        <f t="shared" si="3"/>
        <v>0</v>
      </c>
      <c r="O92" s="97"/>
    </row>
    <row r="93" spans="1:15" x14ac:dyDescent="0.3">
      <c r="A93" s="96" t="s">
        <v>55</v>
      </c>
      <c r="B93" s="97" t="s">
        <v>36</v>
      </c>
      <c r="C93" s="97" t="s">
        <v>144</v>
      </c>
      <c r="D93" s="97">
        <v>146</v>
      </c>
      <c r="E93" s="97"/>
      <c r="F93" s="97"/>
      <c r="G93" s="97" t="s">
        <v>38</v>
      </c>
      <c r="H93" s="97"/>
      <c r="I93" s="97"/>
      <c r="J93" s="99">
        <f>VLOOKUP(C93,'[1]2026.3'!$C$3:$Q$379,13,0)</f>
        <v>45854</v>
      </c>
      <c r="K93" s="99">
        <f>VLOOKUP(C93,'[1]2026.3'!$C$3:$Q$379,14,0)</f>
        <v>45870</v>
      </c>
      <c r="L93" s="99">
        <f>VLOOKUP(C93,'[1]2026.3'!$C$3:$Q$379,15,0)</f>
        <v>46965</v>
      </c>
      <c r="M93" s="97">
        <f t="shared" si="2"/>
        <v>146</v>
      </c>
      <c r="N93" s="97">
        <f t="shared" si="3"/>
        <v>0</v>
      </c>
      <c r="O93" s="97"/>
    </row>
    <row r="94" spans="1:15" x14ac:dyDescent="0.3">
      <c r="A94" s="96" t="s">
        <v>55</v>
      </c>
      <c r="B94" s="97" t="s">
        <v>36</v>
      </c>
      <c r="C94" s="97" t="s">
        <v>145</v>
      </c>
      <c r="D94" s="97">
        <v>230</v>
      </c>
      <c r="E94" s="97"/>
      <c r="F94" s="97"/>
      <c r="G94" s="97" t="s">
        <v>38</v>
      </c>
      <c r="H94" s="97"/>
      <c r="I94" s="97"/>
      <c r="J94" s="99">
        <f>VLOOKUP(C94,'[1]2026.3'!$C$3:$Q$379,13,0)</f>
        <v>45849</v>
      </c>
      <c r="K94" s="99">
        <f>VLOOKUP(C94,'[1]2026.3'!$C$3:$Q$379,14,0)</f>
        <v>45870</v>
      </c>
      <c r="L94" s="99">
        <f>VLOOKUP(C94,'[1]2026.3'!$C$3:$Q$379,15,0)</f>
        <v>46965</v>
      </c>
      <c r="M94" s="97">
        <f t="shared" si="2"/>
        <v>230</v>
      </c>
      <c r="N94" s="97">
        <f t="shared" si="3"/>
        <v>0</v>
      </c>
      <c r="O94" s="97"/>
    </row>
    <row r="95" spans="1:15" x14ac:dyDescent="0.3">
      <c r="A95" s="96" t="s">
        <v>55</v>
      </c>
      <c r="B95" s="97" t="s">
        <v>36</v>
      </c>
      <c r="C95" s="97" t="s">
        <v>146</v>
      </c>
      <c r="D95" s="97">
        <v>116</v>
      </c>
      <c r="E95" s="97"/>
      <c r="F95" s="97"/>
      <c r="G95" s="97" t="s">
        <v>38</v>
      </c>
      <c r="H95" s="97"/>
      <c r="I95" s="97"/>
      <c r="J95" s="99">
        <f>VLOOKUP(C95,'[1]2026.3'!$C$3:$Q$379,13,0)</f>
        <v>45849</v>
      </c>
      <c r="K95" s="99">
        <f>VLOOKUP(C95,'[1]2026.3'!$C$3:$Q$379,14,0)</f>
        <v>45870</v>
      </c>
      <c r="L95" s="99">
        <f>VLOOKUP(C95,'[1]2026.3'!$C$3:$Q$379,15,0)</f>
        <v>46965</v>
      </c>
      <c r="M95" s="97">
        <f t="shared" si="2"/>
        <v>116</v>
      </c>
      <c r="N95" s="97">
        <f t="shared" si="3"/>
        <v>0</v>
      </c>
      <c r="O95" s="97"/>
    </row>
    <row r="96" spans="1:15" x14ac:dyDescent="0.3">
      <c r="A96" s="96" t="s">
        <v>55</v>
      </c>
      <c r="B96" s="97" t="s">
        <v>36</v>
      </c>
      <c r="C96" s="97" t="s">
        <v>147</v>
      </c>
      <c r="D96" s="97">
        <v>62</v>
      </c>
      <c r="E96" s="97"/>
      <c r="F96" s="97"/>
      <c r="G96" s="97" t="s">
        <v>74</v>
      </c>
      <c r="H96" s="97"/>
      <c r="I96" s="97"/>
      <c r="J96" s="99"/>
      <c r="K96" s="99"/>
      <c r="L96" s="99"/>
      <c r="M96" s="97">
        <f t="shared" si="2"/>
        <v>0</v>
      </c>
      <c r="N96" s="97">
        <f t="shared" si="3"/>
        <v>62</v>
      </c>
      <c r="O96" s="97"/>
    </row>
    <row r="97" spans="1:15" x14ac:dyDescent="0.3">
      <c r="A97" s="96" t="s">
        <v>55</v>
      </c>
      <c r="B97" s="97" t="s">
        <v>36</v>
      </c>
      <c r="C97" s="97" t="s">
        <v>148</v>
      </c>
      <c r="D97" s="97">
        <v>154</v>
      </c>
      <c r="E97" s="97"/>
      <c r="F97" s="97"/>
      <c r="G97" s="97" t="s">
        <v>74</v>
      </c>
      <c r="H97" s="97"/>
      <c r="I97" s="97"/>
      <c r="J97" s="99"/>
      <c r="K97" s="99"/>
      <c r="L97" s="99"/>
      <c r="M97" s="97">
        <f t="shared" si="2"/>
        <v>0</v>
      </c>
      <c r="N97" s="97">
        <f t="shared" si="3"/>
        <v>154</v>
      </c>
      <c r="O97" s="97"/>
    </row>
    <row r="98" spans="1:15" x14ac:dyDescent="0.3">
      <c r="A98" s="96" t="s">
        <v>55</v>
      </c>
      <c r="B98" s="97" t="s">
        <v>36</v>
      </c>
      <c r="C98" s="97" t="s">
        <v>149</v>
      </c>
      <c r="D98" s="97">
        <v>89</v>
      </c>
      <c r="E98" s="97"/>
      <c r="F98" s="97"/>
      <c r="G98" s="97" t="s">
        <v>74</v>
      </c>
      <c r="H98" s="97"/>
      <c r="I98" s="97"/>
      <c r="J98" s="99"/>
      <c r="K98" s="99"/>
      <c r="L98" s="99"/>
      <c r="M98" s="97">
        <f t="shared" si="2"/>
        <v>0</v>
      </c>
      <c r="N98" s="97">
        <f t="shared" si="3"/>
        <v>89</v>
      </c>
      <c r="O98" s="97"/>
    </row>
    <row r="99" spans="1:15" x14ac:dyDescent="0.3">
      <c r="A99" s="96" t="s">
        <v>55</v>
      </c>
      <c r="B99" s="97" t="s">
        <v>36</v>
      </c>
      <c r="C99" s="97" t="s">
        <v>150</v>
      </c>
      <c r="D99" s="97">
        <v>88</v>
      </c>
      <c r="E99" s="97"/>
      <c r="F99" s="97"/>
      <c r="G99" s="97" t="s">
        <v>74</v>
      </c>
      <c r="H99" s="97"/>
      <c r="I99" s="97"/>
      <c r="J99" s="99"/>
      <c r="K99" s="99"/>
      <c r="L99" s="99"/>
      <c r="M99" s="97">
        <f t="shared" si="2"/>
        <v>0</v>
      </c>
      <c r="N99" s="97">
        <f t="shared" si="3"/>
        <v>88</v>
      </c>
      <c r="O99" s="97"/>
    </row>
    <row r="100" spans="1:15" x14ac:dyDescent="0.3">
      <c r="A100" s="96" t="s">
        <v>55</v>
      </c>
      <c r="B100" s="97" t="s">
        <v>36</v>
      </c>
      <c r="C100" s="97" t="s">
        <v>151</v>
      </c>
      <c r="D100" s="97">
        <v>43</v>
      </c>
      <c r="E100" s="97"/>
      <c r="F100" s="97"/>
      <c r="G100" s="97" t="s">
        <v>38</v>
      </c>
      <c r="H100" s="97"/>
      <c r="I100" s="97"/>
      <c r="J100" s="99">
        <f>VLOOKUP(C100,'[1]2026.3'!$C$3:$Q$379,13,0)</f>
        <v>45855</v>
      </c>
      <c r="K100" s="99">
        <f>VLOOKUP(C100,'[1]2026.3'!$C$3:$Q$379,14,0)</f>
        <v>45870</v>
      </c>
      <c r="L100" s="99">
        <f>VLOOKUP(C100,'[1]2026.3'!$C$3:$Q$379,15,0)</f>
        <v>46965</v>
      </c>
      <c r="M100" s="97">
        <f t="shared" si="2"/>
        <v>43</v>
      </c>
      <c r="N100" s="97">
        <f t="shared" si="3"/>
        <v>0</v>
      </c>
      <c r="O100" s="97"/>
    </row>
    <row r="101" spans="1:15" x14ac:dyDescent="0.3">
      <c r="A101" s="96" t="s">
        <v>55</v>
      </c>
      <c r="B101" s="97" t="s">
        <v>36</v>
      </c>
      <c r="C101" s="97" t="s">
        <v>152</v>
      </c>
      <c r="D101" s="97">
        <v>117</v>
      </c>
      <c r="E101" s="97"/>
      <c r="F101" s="97"/>
      <c r="G101" s="97" t="s">
        <v>74</v>
      </c>
      <c r="H101" s="97"/>
      <c r="I101" s="97"/>
      <c r="J101" s="99"/>
      <c r="K101" s="99"/>
      <c r="L101" s="99"/>
      <c r="M101" s="97">
        <f t="shared" si="2"/>
        <v>0</v>
      </c>
      <c r="N101" s="97">
        <f t="shared" si="3"/>
        <v>117</v>
      </c>
      <c r="O101" s="97"/>
    </row>
    <row r="102" spans="1:15" x14ac:dyDescent="0.3">
      <c r="A102" s="96" t="s">
        <v>55</v>
      </c>
      <c r="B102" s="97" t="s">
        <v>36</v>
      </c>
      <c r="C102" s="97" t="s">
        <v>153</v>
      </c>
      <c r="D102" s="97">
        <v>205</v>
      </c>
      <c r="E102" s="97"/>
      <c r="F102" s="97"/>
      <c r="G102" s="97" t="s">
        <v>74</v>
      </c>
      <c r="H102" s="97"/>
      <c r="I102" s="97"/>
      <c r="J102" s="99"/>
      <c r="K102" s="99"/>
      <c r="L102" s="99"/>
      <c r="M102" s="97">
        <f t="shared" si="2"/>
        <v>0</v>
      </c>
      <c r="N102" s="97">
        <f t="shared" si="3"/>
        <v>205</v>
      </c>
      <c r="O102" s="97"/>
    </row>
    <row r="103" spans="1:15" x14ac:dyDescent="0.3">
      <c r="A103" s="96" t="s">
        <v>55</v>
      </c>
      <c r="B103" s="97" t="s">
        <v>36</v>
      </c>
      <c r="C103" s="97" t="s">
        <v>154</v>
      </c>
      <c r="D103" s="97">
        <v>225</v>
      </c>
      <c r="E103" s="97"/>
      <c r="F103" s="97"/>
      <c r="G103" s="97" t="s">
        <v>74</v>
      </c>
      <c r="H103" s="97"/>
      <c r="I103" s="97"/>
      <c r="J103" s="99"/>
      <c r="K103" s="99"/>
      <c r="L103" s="99"/>
      <c r="M103" s="97">
        <f t="shared" si="2"/>
        <v>0</v>
      </c>
      <c r="N103" s="97">
        <f t="shared" si="3"/>
        <v>225</v>
      </c>
      <c r="O103" s="97"/>
    </row>
    <row r="104" spans="1:15" x14ac:dyDescent="0.3">
      <c r="A104" s="96" t="s">
        <v>55</v>
      </c>
      <c r="B104" s="97" t="s">
        <v>66</v>
      </c>
      <c r="C104" s="97" t="s">
        <v>155</v>
      </c>
      <c r="D104" s="97">
        <v>94</v>
      </c>
      <c r="E104" s="97"/>
      <c r="F104" s="97"/>
      <c r="G104" s="97" t="s">
        <v>38</v>
      </c>
      <c r="H104" s="97"/>
      <c r="I104" s="97"/>
      <c r="J104" s="99">
        <f>VLOOKUP(C104,'[1]2026.3'!$C$3:$Q$379,13,0)</f>
        <v>45962</v>
      </c>
      <c r="K104" s="99">
        <f>VLOOKUP(C104,'[1]2026.3'!$C$3:$Q$379,14,0)</f>
        <v>45962</v>
      </c>
      <c r="L104" s="99">
        <f>VLOOKUP(C104,'[1]2026.3'!$C$3:$Q$379,15,0)</f>
        <v>47057</v>
      </c>
      <c r="M104" s="97">
        <f t="shared" si="2"/>
        <v>94</v>
      </c>
      <c r="N104" s="97">
        <f t="shared" si="3"/>
        <v>0</v>
      </c>
      <c r="O104" s="97"/>
    </row>
    <row r="105" spans="1:15" x14ac:dyDescent="0.3">
      <c r="A105" s="96" t="s">
        <v>55</v>
      </c>
      <c r="B105" s="97" t="s">
        <v>66</v>
      </c>
      <c r="C105" s="97" t="s">
        <v>155</v>
      </c>
      <c r="D105" s="97">
        <v>109</v>
      </c>
      <c r="E105" s="97"/>
      <c r="F105" s="97"/>
      <c r="G105" s="97" t="s">
        <v>38</v>
      </c>
      <c r="H105" s="97"/>
      <c r="I105" s="97"/>
      <c r="J105" s="99">
        <f>VLOOKUP(C105,'[1]2026.3'!$C$3:$Q$379,13,0)</f>
        <v>45962</v>
      </c>
      <c r="K105" s="99">
        <f>VLOOKUP(C105,'[1]2026.3'!$C$3:$Q$379,14,0)</f>
        <v>45962</v>
      </c>
      <c r="L105" s="99">
        <f>VLOOKUP(C105,'[1]2026.3'!$C$3:$Q$379,15,0)</f>
        <v>47057</v>
      </c>
      <c r="M105" s="97">
        <f t="shared" si="2"/>
        <v>109</v>
      </c>
      <c r="N105" s="97">
        <f t="shared" si="3"/>
        <v>0</v>
      </c>
      <c r="O105" s="97"/>
    </row>
    <row r="106" spans="1:15" x14ac:dyDescent="0.3">
      <c r="A106" s="96" t="s">
        <v>55</v>
      </c>
      <c r="B106" s="97" t="s">
        <v>66</v>
      </c>
      <c r="C106" s="97" t="s">
        <v>156</v>
      </c>
      <c r="D106" s="97">
        <v>142</v>
      </c>
      <c r="E106" s="97"/>
      <c r="F106" s="97"/>
      <c r="G106" s="97" t="s">
        <v>38</v>
      </c>
      <c r="H106" s="97"/>
      <c r="I106" s="97"/>
      <c r="J106" s="99" t="e">
        <f>VLOOKUP(C106,'[1]2026.3'!$C$3:$Q$379,13,0)</f>
        <v>#REF!</v>
      </c>
      <c r="K106" s="99">
        <f>VLOOKUP(C106,'[1]2026.3'!$C$3:$Q$379,14,0)</f>
        <v>46023</v>
      </c>
      <c r="L106" s="99">
        <f>VLOOKUP(C106,'[1]2026.3'!$C$3:$Q$379,15,0)</f>
        <v>46752</v>
      </c>
      <c r="M106" s="97">
        <f t="shared" si="2"/>
        <v>142</v>
      </c>
      <c r="N106" s="97">
        <f t="shared" si="3"/>
        <v>0</v>
      </c>
      <c r="O106" s="97"/>
    </row>
    <row r="107" spans="1:15" x14ac:dyDescent="0.3">
      <c r="A107" s="96" t="s">
        <v>55</v>
      </c>
      <c r="B107" s="97" t="s">
        <v>66</v>
      </c>
      <c r="C107" s="97" t="s">
        <v>157</v>
      </c>
      <c r="D107" s="97">
        <v>114</v>
      </c>
      <c r="E107" s="97"/>
      <c r="F107" s="97"/>
      <c r="G107" s="97" t="s">
        <v>38</v>
      </c>
      <c r="H107" s="97"/>
      <c r="I107" s="97"/>
      <c r="J107" s="99">
        <f>VLOOKUP(C107,'[1]2026.3'!$C$3:$Q$379,13,0)</f>
        <v>46008</v>
      </c>
      <c r="K107" s="99">
        <f>VLOOKUP(C107,'[1]2026.3'!$C$3:$Q$379,14,0)</f>
        <v>46008</v>
      </c>
      <c r="L107" s="99">
        <f>VLOOKUP(C107,'[1]2026.3'!$C$3:$Q$379,15,0)</f>
        <v>46372</v>
      </c>
      <c r="M107" s="97">
        <f t="shared" si="2"/>
        <v>114</v>
      </c>
      <c r="N107" s="97">
        <f t="shared" si="3"/>
        <v>0</v>
      </c>
      <c r="O107" s="97"/>
    </row>
    <row r="108" spans="1:15" x14ac:dyDescent="0.3">
      <c r="A108" s="96" t="s">
        <v>55</v>
      </c>
      <c r="B108" s="97" t="s">
        <v>66</v>
      </c>
      <c r="C108" s="97" t="s">
        <v>158</v>
      </c>
      <c r="D108" s="97">
        <v>218</v>
      </c>
      <c r="E108" s="97"/>
      <c r="F108" s="97"/>
      <c r="G108" s="97" t="s">
        <v>74</v>
      </c>
      <c r="H108" s="97"/>
      <c r="I108" s="97"/>
      <c r="J108" s="99"/>
      <c r="K108" s="99"/>
      <c r="L108" s="99"/>
      <c r="M108" s="97">
        <f t="shared" si="2"/>
        <v>0</v>
      </c>
      <c r="N108" s="97">
        <f t="shared" si="3"/>
        <v>218</v>
      </c>
      <c r="O108" s="97"/>
    </row>
    <row r="109" spans="1:15" x14ac:dyDescent="0.3">
      <c r="A109" s="96" t="s">
        <v>55</v>
      </c>
      <c r="B109" s="97" t="s">
        <v>66</v>
      </c>
      <c r="C109" s="97" t="s">
        <v>159</v>
      </c>
      <c r="D109" s="97">
        <v>87</v>
      </c>
      <c r="E109" s="97"/>
      <c r="F109" s="97"/>
      <c r="G109" s="97" t="s">
        <v>74</v>
      </c>
      <c r="H109" s="97"/>
      <c r="I109" s="97"/>
      <c r="J109" s="99"/>
      <c r="K109" s="99"/>
      <c r="L109" s="99"/>
      <c r="M109" s="97">
        <f t="shared" si="2"/>
        <v>0</v>
      </c>
      <c r="N109" s="97">
        <f t="shared" si="3"/>
        <v>87</v>
      </c>
      <c r="O109" s="97"/>
    </row>
    <row r="110" spans="1:15" x14ac:dyDescent="0.3">
      <c r="A110" s="96" t="s">
        <v>55</v>
      </c>
      <c r="B110" s="97" t="s">
        <v>66</v>
      </c>
      <c r="C110" s="97" t="s">
        <v>160</v>
      </c>
      <c r="D110" s="97">
        <v>170</v>
      </c>
      <c r="E110" s="97"/>
      <c r="F110" s="97"/>
      <c r="G110" s="97" t="s">
        <v>38</v>
      </c>
      <c r="H110" s="97"/>
      <c r="I110" s="97"/>
      <c r="J110" s="99">
        <f>VLOOKUP(C110,'[1]2026.3'!$C$3:$Q$379,13,0)</f>
        <v>46001</v>
      </c>
      <c r="K110" s="99">
        <f>VLOOKUP(C110,'[1]2026.3'!$C$3:$Q$379,14,0)</f>
        <v>45962</v>
      </c>
      <c r="L110" s="99">
        <f>VLOOKUP(C110,'[1]2026.3'!$C$3:$Q$379,15,0)</f>
        <v>47057</v>
      </c>
      <c r="M110" s="97">
        <f t="shared" si="2"/>
        <v>170</v>
      </c>
      <c r="N110" s="97">
        <f t="shared" si="3"/>
        <v>0</v>
      </c>
      <c r="O110" s="97"/>
    </row>
    <row r="111" spans="1:15" x14ac:dyDescent="0.3">
      <c r="A111" s="96" t="s">
        <v>55</v>
      </c>
      <c r="B111" s="97" t="s">
        <v>66</v>
      </c>
      <c r="C111" s="97" t="s">
        <v>161</v>
      </c>
      <c r="D111" s="97">
        <v>132</v>
      </c>
      <c r="E111" s="97"/>
      <c r="F111" s="97"/>
      <c r="G111" s="97" t="s">
        <v>74</v>
      </c>
      <c r="H111" s="97"/>
      <c r="I111" s="97"/>
      <c r="J111" s="99"/>
      <c r="K111" s="99"/>
      <c r="L111" s="99"/>
      <c r="M111" s="97">
        <f t="shared" si="2"/>
        <v>0</v>
      </c>
      <c r="N111" s="97">
        <f t="shared" si="3"/>
        <v>132</v>
      </c>
      <c r="O111" s="97"/>
    </row>
    <row r="112" spans="1:15" x14ac:dyDescent="0.3">
      <c r="A112" s="96" t="s">
        <v>55</v>
      </c>
      <c r="B112" s="97" t="s">
        <v>66</v>
      </c>
      <c r="C112" s="97" t="s">
        <v>162</v>
      </c>
      <c r="D112" s="97">
        <v>76</v>
      </c>
      <c r="E112" s="97"/>
      <c r="F112" s="97"/>
      <c r="G112" s="97" t="s">
        <v>74</v>
      </c>
      <c r="H112" s="97"/>
      <c r="I112" s="97"/>
      <c r="J112" s="99"/>
      <c r="K112" s="99"/>
      <c r="L112" s="99"/>
      <c r="M112" s="97">
        <f t="shared" si="2"/>
        <v>0</v>
      </c>
      <c r="N112" s="97">
        <f t="shared" si="3"/>
        <v>76</v>
      </c>
      <c r="O112" s="97"/>
    </row>
    <row r="113" spans="1:15" x14ac:dyDescent="0.3">
      <c r="A113" s="96" t="s">
        <v>55</v>
      </c>
      <c r="B113" s="97" t="s">
        <v>94</v>
      </c>
      <c r="C113" s="97" t="s">
        <v>163</v>
      </c>
      <c r="D113" s="97">
        <v>611.42999999999995</v>
      </c>
      <c r="E113" s="97"/>
      <c r="F113" s="97"/>
      <c r="G113" s="97" t="s">
        <v>74</v>
      </c>
      <c r="H113" s="97"/>
      <c r="I113" s="97"/>
      <c r="J113" s="99"/>
      <c r="K113" s="99"/>
      <c r="L113" s="99"/>
      <c r="M113" s="97">
        <f t="shared" si="2"/>
        <v>0</v>
      </c>
      <c r="N113" s="97">
        <f t="shared" si="3"/>
        <v>611.42999999999995</v>
      </c>
      <c r="O113" s="97"/>
    </row>
    <row r="114" spans="1:15" x14ac:dyDescent="0.3">
      <c r="A114" s="96" t="s">
        <v>55</v>
      </c>
      <c r="B114" s="97" t="s">
        <v>36</v>
      </c>
      <c r="C114" s="97" t="s">
        <v>164</v>
      </c>
      <c r="D114" s="97">
        <v>252</v>
      </c>
      <c r="E114" s="97"/>
      <c r="F114" s="97"/>
      <c r="G114" s="97" t="s">
        <v>38</v>
      </c>
      <c r="H114" s="97"/>
      <c r="I114" s="97"/>
      <c r="J114" s="99">
        <f>VLOOKUP(C114,'[1]2026.3'!$C$3:$Q$379,13,0)</f>
        <v>45890</v>
      </c>
      <c r="K114" s="99">
        <f>VLOOKUP(C114,'[1]2026.3'!$C$3:$Q$379,14,0)</f>
        <v>45901</v>
      </c>
      <c r="L114" s="99">
        <f>VLOOKUP(C114,'[1]2026.3'!$C$3:$Q$379,15,0)</f>
        <v>46996</v>
      </c>
      <c r="M114" s="97">
        <f t="shared" si="2"/>
        <v>252</v>
      </c>
      <c r="N114" s="97">
        <f t="shared" si="3"/>
        <v>0</v>
      </c>
      <c r="O114" s="97"/>
    </row>
    <row r="115" spans="1:15" x14ac:dyDescent="0.3">
      <c r="A115" s="96" t="s">
        <v>55</v>
      </c>
      <c r="B115" s="97" t="s">
        <v>36</v>
      </c>
      <c r="C115" s="97" t="s">
        <v>165</v>
      </c>
      <c r="D115" s="97">
        <v>120</v>
      </c>
      <c r="E115" s="97"/>
      <c r="F115" s="97"/>
      <c r="G115" s="97" t="s">
        <v>38</v>
      </c>
      <c r="H115" s="97"/>
      <c r="I115" s="97"/>
      <c r="J115" s="99">
        <f>VLOOKUP(C115,'[1]2026.3'!$C$3:$Q$379,13,0)</f>
        <v>45992</v>
      </c>
      <c r="K115" s="99">
        <f>VLOOKUP(C115,'[1]2026.3'!$C$3:$Q$379,14,0)</f>
        <v>45992</v>
      </c>
      <c r="L115" s="99">
        <f>VLOOKUP(C115,'[1]2026.3'!$C$3:$Q$379,15,0)</f>
        <v>47087</v>
      </c>
      <c r="M115" s="97">
        <f t="shared" si="2"/>
        <v>120</v>
      </c>
      <c r="N115" s="97">
        <f t="shared" si="3"/>
        <v>0</v>
      </c>
      <c r="O115" s="97"/>
    </row>
    <row r="116" spans="1:15" x14ac:dyDescent="0.3">
      <c r="A116" s="96" t="s">
        <v>55</v>
      </c>
      <c r="B116" s="97" t="s">
        <v>36</v>
      </c>
      <c r="C116" s="97" t="s">
        <v>166</v>
      </c>
      <c r="D116" s="97">
        <v>47</v>
      </c>
      <c r="E116" s="97"/>
      <c r="F116" s="97"/>
      <c r="G116" s="97" t="s">
        <v>74</v>
      </c>
      <c r="H116" s="97"/>
      <c r="I116" s="97"/>
      <c r="J116" s="99"/>
      <c r="K116" s="99"/>
      <c r="L116" s="99"/>
      <c r="M116" s="97">
        <f t="shared" si="2"/>
        <v>0</v>
      </c>
      <c r="N116" s="97">
        <f t="shared" si="3"/>
        <v>47</v>
      </c>
      <c r="O116" s="97"/>
    </row>
    <row r="117" spans="1:15" x14ac:dyDescent="0.3">
      <c r="A117" s="96" t="s">
        <v>55</v>
      </c>
      <c r="B117" s="97" t="s">
        <v>36</v>
      </c>
      <c r="C117" s="97" t="s">
        <v>167</v>
      </c>
      <c r="D117" s="97">
        <v>47</v>
      </c>
      <c r="E117" s="97"/>
      <c r="F117" s="97"/>
      <c r="G117" s="97" t="s">
        <v>74</v>
      </c>
      <c r="H117" s="97"/>
      <c r="I117" s="97"/>
      <c r="J117" s="99"/>
      <c r="K117" s="99"/>
      <c r="L117" s="99"/>
      <c r="M117" s="97">
        <f t="shared" si="2"/>
        <v>0</v>
      </c>
      <c r="N117" s="97">
        <f t="shared" si="3"/>
        <v>47</v>
      </c>
      <c r="O117" s="97"/>
    </row>
    <row r="118" spans="1:15" x14ac:dyDescent="0.3">
      <c r="A118" s="96" t="s">
        <v>55</v>
      </c>
      <c r="B118" s="97" t="s">
        <v>36</v>
      </c>
      <c r="C118" s="97" t="s">
        <v>168</v>
      </c>
      <c r="D118" s="97">
        <v>139</v>
      </c>
      <c r="E118" s="97"/>
      <c r="F118" s="97"/>
      <c r="G118" s="97" t="s">
        <v>74</v>
      </c>
      <c r="H118" s="97"/>
      <c r="I118" s="97"/>
      <c r="J118" s="99"/>
      <c r="K118" s="99"/>
      <c r="L118" s="99"/>
      <c r="M118" s="97">
        <f t="shared" si="2"/>
        <v>0</v>
      </c>
      <c r="N118" s="97">
        <f t="shared" si="3"/>
        <v>139</v>
      </c>
      <c r="O118" s="97"/>
    </row>
    <row r="119" spans="1:15" x14ac:dyDescent="0.3">
      <c r="A119" s="96" t="s">
        <v>55</v>
      </c>
      <c r="B119" s="97" t="s">
        <v>36</v>
      </c>
      <c r="C119" s="97" t="s">
        <v>169</v>
      </c>
      <c r="D119" s="97">
        <v>66</v>
      </c>
      <c r="E119" s="97"/>
      <c r="F119" s="97"/>
      <c r="G119" s="97" t="s">
        <v>38</v>
      </c>
      <c r="H119" s="97"/>
      <c r="I119" s="97"/>
      <c r="J119" s="99">
        <f>VLOOKUP(C119,'[1]2026.3'!$C$3:$Q$379,13,0)</f>
        <v>45856</v>
      </c>
      <c r="K119" s="99">
        <f>VLOOKUP(C119,'[1]2026.3'!$C$3:$Q$379,14,0)</f>
        <v>45870</v>
      </c>
      <c r="L119" s="99">
        <f>VLOOKUP(C119,'[1]2026.3'!$C$3:$Q$379,15,0)</f>
        <v>46965</v>
      </c>
      <c r="M119" s="97">
        <f t="shared" si="2"/>
        <v>66</v>
      </c>
      <c r="N119" s="97">
        <f t="shared" si="3"/>
        <v>0</v>
      </c>
      <c r="O119" s="97"/>
    </row>
    <row r="120" spans="1:15" x14ac:dyDescent="0.3">
      <c r="A120" s="96" t="s">
        <v>55</v>
      </c>
      <c r="B120" s="97" t="s">
        <v>36</v>
      </c>
      <c r="C120" s="97" t="s">
        <v>170</v>
      </c>
      <c r="D120" s="97">
        <v>93</v>
      </c>
      <c r="E120" s="97"/>
      <c r="F120" s="97"/>
      <c r="G120" s="97" t="s">
        <v>38</v>
      </c>
      <c r="H120" s="97"/>
      <c r="I120" s="97"/>
      <c r="J120" s="99">
        <f>VLOOKUP(C120,'[1]2026.3'!$C$3:$Q$379,13,0)</f>
        <v>45856</v>
      </c>
      <c r="K120" s="99">
        <f>VLOOKUP(C120,'[1]2026.3'!$C$3:$Q$379,14,0)</f>
        <v>45870</v>
      </c>
      <c r="L120" s="99">
        <f>VLOOKUP(C120,'[1]2026.3'!$C$3:$Q$379,15,0)</f>
        <v>46965</v>
      </c>
      <c r="M120" s="97">
        <f t="shared" si="2"/>
        <v>93</v>
      </c>
      <c r="N120" s="97">
        <f t="shared" si="3"/>
        <v>0</v>
      </c>
      <c r="O120" s="97"/>
    </row>
    <row r="121" spans="1:15" x14ac:dyDescent="0.3">
      <c r="A121" s="96" t="s">
        <v>55</v>
      </c>
      <c r="B121" s="97" t="s">
        <v>36</v>
      </c>
      <c r="C121" s="97" t="s">
        <v>171</v>
      </c>
      <c r="D121" s="97">
        <v>120</v>
      </c>
      <c r="E121" s="97"/>
      <c r="F121" s="97"/>
      <c r="G121" s="97" t="s">
        <v>38</v>
      </c>
      <c r="H121" s="97"/>
      <c r="I121" s="97"/>
      <c r="J121" s="99">
        <f>VLOOKUP(C121,'[1]2026.3'!$C$3:$Q$379,13,0)</f>
        <v>45917</v>
      </c>
      <c r="K121" s="99">
        <f>VLOOKUP(C121,'[1]2026.3'!$C$3:$Q$379,14,0)</f>
        <v>45931</v>
      </c>
      <c r="L121" s="99">
        <f>VLOOKUP(C121,'[1]2026.3'!$C$3:$Q$379,15,0)</f>
        <v>47026</v>
      </c>
      <c r="M121" s="97">
        <f t="shared" si="2"/>
        <v>120</v>
      </c>
      <c r="N121" s="97">
        <f t="shared" si="3"/>
        <v>0</v>
      </c>
      <c r="O121" s="97"/>
    </row>
    <row r="122" spans="1:15" x14ac:dyDescent="0.3">
      <c r="A122" s="96" t="s">
        <v>55</v>
      </c>
      <c r="B122" s="97" t="s">
        <v>36</v>
      </c>
      <c r="C122" s="97" t="s">
        <v>172</v>
      </c>
      <c r="D122" s="97">
        <v>218</v>
      </c>
      <c r="E122" s="97"/>
      <c r="F122" s="97"/>
      <c r="G122" s="97" t="s">
        <v>38</v>
      </c>
      <c r="H122" s="97"/>
      <c r="I122" s="97"/>
      <c r="J122" s="99">
        <f>VLOOKUP(C122,'[1]2026.3'!$C$3:$Q$379,13,0)</f>
        <v>45908</v>
      </c>
      <c r="K122" s="99">
        <f>VLOOKUP(C122,'[1]2026.3'!$C$3:$Q$379,14,0)</f>
        <v>45920</v>
      </c>
      <c r="L122" s="99">
        <f>VLOOKUP(C122,'[1]2026.3'!$C$3:$Q$379,15,0)</f>
        <v>47015</v>
      </c>
      <c r="M122" s="97">
        <f t="shared" si="2"/>
        <v>218</v>
      </c>
      <c r="N122" s="97">
        <f t="shared" si="3"/>
        <v>0</v>
      </c>
      <c r="O122" s="97"/>
    </row>
    <row r="123" spans="1:15" x14ac:dyDescent="0.3">
      <c r="A123" s="96" t="s">
        <v>55</v>
      </c>
      <c r="B123" s="97" t="s">
        <v>36</v>
      </c>
      <c r="C123" s="97" t="s">
        <v>173</v>
      </c>
      <c r="D123" s="97">
        <v>132</v>
      </c>
      <c r="E123" s="97"/>
      <c r="F123" s="97"/>
      <c r="G123" s="97" t="s">
        <v>38</v>
      </c>
      <c r="H123" s="97"/>
      <c r="I123" s="97"/>
      <c r="J123" s="99">
        <f>VLOOKUP(C123,'[1]2026.3'!$C$3:$Q$379,13,0)</f>
        <v>45965</v>
      </c>
      <c r="K123" s="99">
        <f>VLOOKUP(C123,'[1]2026.3'!$C$3:$Q$379,14,0)</f>
        <v>45976</v>
      </c>
      <c r="L123" s="99">
        <f>VLOOKUP(C123,'[1]2026.3'!$C$3:$Q$379,15,0)</f>
        <v>47071</v>
      </c>
      <c r="M123" s="97">
        <f t="shared" si="2"/>
        <v>132</v>
      </c>
      <c r="N123" s="97">
        <f t="shared" si="3"/>
        <v>0</v>
      </c>
      <c r="O123" s="97"/>
    </row>
    <row r="124" spans="1:15" x14ac:dyDescent="0.3">
      <c r="A124" s="96" t="s">
        <v>55</v>
      </c>
      <c r="B124" s="97" t="s">
        <v>36</v>
      </c>
      <c r="C124" s="97" t="s">
        <v>174</v>
      </c>
      <c r="D124" s="97">
        <v>120</v>
      </c>
      <c r="E124" s="97"/>
      <c r="F124" s="97"/>
      <c r="G124" s="97" t="s">
        <v>38</v>
      </c>
      <c r="H124" s="97"/>
      <c r="I124" s="97"/>
      <c r="J124" s="99">
        <f>VLOOKUP(C124,'[1]2026.3'!$C$3:$Q$379,13,0)</f>
        <v>45968</v>
      </c>
      <c r="K124" s="99">
        <f>VLOOKUP(C124,'[1]2026.3'!$C$3:$Q$379,14,0)</f>
        <v>45981</v>
      </c>
      <c r="L124" s="99">
        <f>VLOOKUP(C124,'[1]2026.3'!$C$3:$Q$379,15,0)</f>
        <v>47076</v>
      </c>
      <c r="M124" s="97">
        <f t="shared" si="2"/>
        <v>120</v>
      </c>
      <c r="N124" s="97">
        <f t="shared" si="3"/>
        <v>0</v>
      </c>
      <c r="O124" s="97"/>
    </row>
    <row r="125" spans="1:15" x14ac:dyDescent="0.3">
      <c r="A125" s="96" t="s">
        <v>55</v>
      </c>
      <c r="B125" s="97" t="s">
        <v>36</v>
      </c>
      <c r="C125" s="97" t="s">
        <v>175</v>
      </c>
      <c r="D125" s="97">
        <v>109</v>
      </c>
      <c r="E125" s="97"/>
      <c r="F125" s="97"/>
      <c r="G125" s="97" t="s">
        <v>74</v>
      </c>
      <c r="H125" s="97"/>
      <c r="I125" s="97"/>
      <c r="J125" s="99"/>
      <c r="K125" s="99"/>
      <c r="L125" s="99"/>
      <c r="M125" s="97">
        <f t="shared" si="2"/>
        <v>0</v>
      </c>
      <c r="N125" s="97">
        <f t="shared" si="3"/>
        <v>109</v>
      </c>
      <c r="O125" s="97"/>
    </row>
    <row r="126" spans="1:15" x14ac:dyDescent="0.3">
      <c r="A126" s="96" t="s">
        <v>55</v>
      </c>
      <c r="B126" s="97" t="s">
        <v>66</v>
      </c>
      <c r="C126" s="97" t="s">
        <v>176</v>
      </c>
      <c r="D126" s="97">
        <v>143</v>
      </c>
      <c r="E126" s="97"/>
      <c r="F126" s="97"/>
      <c r="G126" s="97" t="s">
        <v>38</v>
      </c>
      <c r="H126" s="97"/>
      <c r="I126" s="97"/>
      <c r="J126" s="99" t="e">
        <f>VLOOKUP(C126,'[1]2026.3'!$C$3:$Q$379,13,0)</f>
        <v>#REF!</v>
      </c>
      <c r="K126" s="99" t="e">
        <f>VLOOKUP(C126,'[1]2026.3'!$C$3:$Q$379,14,0)</f>
        <v>#REF!</v>
      </c>
      <c r="L126" s="99" t="e">
        <f>VLOOKUP(C126,'[1]2026.3'!$C$3:$Q$379,15,0)</f>
        <v>#REF!</v>
      </c>
      <c r="M126" s="97">
        <f t="shared" si="2"/>
        <v>143</v>
      </c>
      <c r="N126" s="97">
        <f t="shared" si="3"/>
        <v>0</v>
      </c>
      <c r="O126" s="97"/>
    </row>
    <row r="127" spans="1:15" x14ac:dyDescent="0.3">
      <c r="A127" s="96" t="s">
        <v>55</v>
      </c>
      <c r="B127" s="97" t="s">
        <v>66</v>
      </c>
      <c r="C127" s="97" t="s">
        <v>177</v>
      </c>
      <c r="D127" s="97">
        <v>193</v>
      </c>
      <c r="E127" s="97"/>
      <c r="F127" s="97"/>
      <c r="G127" s="97" t="s">
        <v>38</v>
      </c>
      <c r="H127" s="97"/>
      <c r="I127" s="97"/>
      <c r="J127" s="99" t="e">
        <f>VLOOKUP(C127,'[1]2026.3'!$C$3:$Q$379,13,0)</f>
        <v>#REF!</v>
      </c>
      <c r="K127" s="99" t="e">
        <f>VLOOKUP(C127,'[1]2026.3'!$C$3:$Q$379,14,0)</f>
        <v>#REF!</v>
      </c>
      <c r="L127" s="99" t="e">
        <f>VLOOKUP(C127,'[1]2026.3'!$C$3:$Q$379,15,0)</f>
        <v>#REF!</v>
      </c>
      <c r="M127" s="97">
        <f t="shared" si="2"/>
        <v>193</v>
      </c>
      <c r="N127" s="97">
        <f t="shared" si="3"/>
        <v>0</v>
      </c>
      <c r="O127" s="97"/>
    </row>
    <row r="128" spans="1:15" x14ac:dyDescent="0.3">
      <c r="A128" s="96" t="s">
        <v>55</v>
      </c>
      <c r="B128" s="97" t="s">
        <v>66</v>
      </c>
      <c r="C128" s="97" t="s">
        <v>178</v>
      </c>
      <c r="D128" s="97">
        <f>127+91</f>
        <v>218</v>
      </c>
      <c r="E128" s="97"/>
      <c r="F128" s="97"/>
      <c r="G128" s="97" t="s">
        <v>38</v>
      </c>
      <c r="H128" s="97"/>
      <c r="I128" s="97"/>
      <c r="J128" s="99">
        <f>VLOOKUP(C128,'[1]2026.3'!$C$3:$Q$379,13,0)</f>
        <v>45997</v>
      </c>
      <c r="K128" s="99">
        <f>VLOOKUP(C128,'[1]2026.3'!$C$3:$Q$379,14,0)</f>
        <v>45992</v>
      </c>
      <c r="L128" s="99">
        <f>VLOOKUP(C128,'[1]2026.3'!$C$3:$Q$379,15,0)</f>
        <v>46721</v>
      </c>
      <c r="M128" s="97">
        <f t="shared" si="2"/>
        <v>218</v>
      </c>
      <c r="N128" s="97">
        <f t="shared" si="3"/>
        <v>0</v>
      </c>
      <c r="O128" s="97"/>
    </row>
    <row r="129" spans="1:16" x14ac:dyDescent="0.3">
      <c r="A129" s="96" t="s">
        <v>55</v>
      </c>
      <c r="B129" s="97" t="s">
        <v>66</v>
      </c>
      <c r="C129" s="97" t="s">
        <v>179</v>
      </c>
      <c r="D129" s="97">
        <v>170</v>
      </c>
      <c r="E129" s="97"/>
      <c r="F129" s="97"/>
      <c r="G129" s="97" t="s">
        <v>74</v>
      </c>
      <c r="H129" s="97"/>
      <c r="I129" s="97"/>
      <c r="J129" s="99"/>
      <c r="K129" s="99"/>
      <c r="L129" s="99"/>
      <c r="M129" s="97">
        <f t="shared" si="2"/>
        <v>0</v>
      </c>
      <c r="N129" s="97">
        <f t="shared" si="3"/>
        <v>170</v>
      </c>
      <c r="O129" s="97"/>
    </row>
    <row r="130" spans="1:16" x14ac:dyDescent="0.3">
      <c r="A130" s="96" t="s">
        <v>55</v>
      </c>
      <c r="B130" s="97" t="s">
        <v>66</v>
      </c>
      <c r="C130" s="97" t="s">
        <v>180</v>
      </c>
      <c r="D130" s="97">
        <v>173</v>
      </c>
      <c r="E130" s="97"/>
      <c r="F130" s="97"/>
      <c r="G130" s="97" t="s">
        <v>74</v>
      </c>
      <c r="H130" s="97"/>
      <c r="I130" s="97" t="s">
        <v>181</v>
      </c>
      <c r="J130" s="99"/>
      <c r="K130" s="99"/>
      <c r="L130" s="99"/>
      <c r="M130" s="97">
        <f t="shared" ref="M130:M176" si="4">IF(G130="已租",D130,0)</f>
        <v>0</v>
      </c>
      <c r="N130" s="97">
        <f t="shared" ref="N130:N193" si="5">IF(G130="未出租",D130,0)</f>
        <v>173</v>
      </c>
      <c r="O130" s="97"/>
    </row>
    <row r="131" spans="1:16" x14ac:dyDescent="0.3">
      <c r="A131" s="96" t="s">
        <v>55</v>
      </c>
      <c r="B131" s="97" t="s">
        <v>66</v>
      </c>
      <c r="C131" s="97" t="s">
        <v>182</v>
      </c>
      <c r="D131" s="97">
        <v>170</v>
      </c>
      <c r="E131" s="97"/>
      <c r="F131" s="97"/>
      <c r="G131" s="97" t="s">
        <v>38</v>
      </c>
      <c r="H131" s="97"/>
      <c r="I131" s="97"/>
      <c r="J131" s="99">
        <f>VLOOKUP(C131,'[1]2026.3'!$C$3:$Q$379,13,0)</f>
        <v>46021</v>
      </c>
      <c r="K131" s="99">
        <f>VLOOKUP(C131,'[1]2026.3'!$C$3:$Q$379,14,0)</f>
        <v>46023</v>
      </c>
      <c r="L131" s="99">
        <f>VLOOKUP(C131,'[1]2026.3'!$C$3:$Q$379,15,0)</f>
        <v>46387</v>
      </c>
      <c r="M131" s="97">
        <f t="shared" si="4"/>
        <v>170</v>
      </c>
      <c r="N131" s="97">
        <f t="shared" si="5"/>
        <v>0</v>
      </c>
      <c r="O131" s="97"/>
    </row>
    <row r="132" spans="1:16" x14ac:dyDescent="0.3">
      <c r="A132" s="96" t="s">
        <v>55</v>
      </c>
      <c r="B132" s="97" t="s">
        <v>66</v>
      </c>
      <c r="C132" s="97" t="s">
        <v>183</v>
      </c>
      <c r="D132" s="97">
        <v>125</v>
      </c>
      <c r="E132" s="97"/>
      <c r="F132" s="97"/>
      <c r="G132" s="97" t="s">
        <v>38</v>
      </c>
      <c r="H132" s="97"/>
      <c r="I132" s="97"/>
      <c r="J132" s="99">
        <f>VLOOKUP(C132,'[1]2026.3'!$C$3:$Q$379,13,0)</f>
        <v>45962</v>
      </c>
      <c r="K132" s="99">
        <f>VLOOKUP(C132,'[1]2026.3'!$C$3:$Q$379,14,0)</f>
        <v>45962</v>
      </c>
      <c r="L132" s="99">
        <f>VLOOKUP(C132,'[1]2026.3'!$C$3:$Q$379,15,0)</f>
        <v>47057</v>
      </c>
      <c r="M132" s="97">
        <f t="shared" si="4"/>
        <v>125</v>
      </c>
      <c r="N132" s="97">
        <f t="shared" si="5"/>
        <v>0</v>
      </c>
      <c r="O132" s="97"/>
    </row>
    <row r="133" spans="1:16" x14ac:dyDescent="0.3">
      <c r="A133" s="96" t="s">
        <v>55</v>
      </c>
      <c r="B133" s="97" t="s">
        <v>66</v>
      </c>
      <c r="C133" s="97" t="s">
        <v>184</v>
      </c>
      <c r="D133" s="97">
        <v>127</v>
      </c>
      <c r="E133" s="97"/>
      <c r="F133" s="97"/>
      <c r="G133" s="97" t="s">
        <v>38</v>
      </c>
      <c r="H133" s="97"/>
      <c r="I133" s="97"/>
      <c r="J133" s="99">
        <f>VLOOKUP(C133,'[1]2026.3'!$C$3:$Q$379,13,0)</f>
        <v>46001</v>
      </c>
      <c r="K133" s="99">
        <f>VLOOKUP(C133,'[1]2026.3'!$C$3:$Q$379,14,0)</f>
        <v>45962</v>
      </c>
      <c r="L133" s="99">
        <f>VLOOKUP(C133,'[1]2026.3'!$C$3:$Q$379,15,0)</f>
        <v>47057</v>
      </c>
      <c r="M133" s="97">
        <f t="shared" si="4"/>
        <v>127</v>
      </c>
      <c r="N133" s="97">
        <f t="shared" si="5"/>
        <v>0</v>
      </c>
      <c r="O133" s="97"/>
    </row>
    <row r="134" spans="1:16" x14ac:dyDescent="0.3">
      <c r="A134" s="96" t="s">
        <v>55</v>
      </c>
      <c r="B134" s="97" t="s">
        <v>66</v>
      </c>
      <c r="C134" s="97" t="s">
        <v>185</v>
      </c>
      <c r="D134" s="97">
        <v>135</v>
      </c>
      <c r="E134" s="97"/>
      <c r="F134" s="97"/>
      <c r="G134" s="97" t="s">
        <v>38</v>
      </c>
      <c r="H134" s="97"/>
      <c r="I134" s="97"/>
      <c r="J134" s="99">
        <f>VLOOKUP(C134,'[1]2026.3'!$C$3:$Q$379,13,0)</f>
        <v>45856</v>
      </c>
      <c r="K134" s="99">
        <f>VLOOKUP(C134,'[1]2026.3'!$C$3:$Q$379,14,0)</f>
        <v>45870</v>
      </c>
      <c r="L134" s="99">
        <f>VLOOKUP(C134,'[1]2026.3'!$C$3:$Q$379,15,0)</f>
        <v>46965</v>
      </c>
      <c r="M134" s="97">
        <f t="shared" si="4"/>
        <v>135</v>
      </c>
      <c r="N134" s="97">
        <f t="shared" si="5"/>
        <v>0</v>
      </c>
      <c r="O134" s="97"/>
    </row>
    <row r="135" spans="1:16" x14ac:dyDescent="0.3">
      <c r="A135" s="96" t="s">
        <v>55</v>
      </c>
      <c r="B135" s="97" t="s">
        <v>66</v>
      </c>
      <c r="C135" s="97" t="s">
        <v>185</v>
      </c>
      <c r="D135" s="97">
        <v>124</v>
      </c>
      <c r="E135" s="97"/>
      <c r="F135" s="97"/>
      <c r="G135" s="97" t="s">
        <v>38</v>
      </c>
      <c r="H135" s="97"/>
      <c r="I135" s="97"/>
      <c r="J135" s="99">
        <f>VLOOKUP(C135,'[1]2026.3'!$C$3:$Q$379,13,0)</f>
        <v>45856</v>
      </c>
      <c r="K135" s="99">
        <f>VLOOKUP(C135,'[1]2026.3'!$C$3:$Q$379,14,0)</f>
        <v>45870</v>
      </c>
      <c r="L135" s="99">
        <f>VLOOKUP(C135,'[1]2026.3'!$C$3:$Q$379,15,0)</f>
        <v>46965</v>
      </c>
      <c r="M135" s="97">
        <f t="shared" si="4"/>
        <v>124</v>
      </c>
      <c r="N135" s="97">
        <f t="shared" si="5"/>
        <v>0</v>
      </c>
      <c r="O135" s="97"/>
    </row>
    <row r="136" spans="1:16" x14ac:dyDescent="0.3">
      <c r="A136" s="96" t="s">
        <v>55</v>
      </c>
      <c r="B136" s="97" t="s">
        <v>66</v>
      </c>
      <c r="C136" s="97" t="s">
        <v>185</v>
      </c>
      <c r="D136" s="97">
        <v>68</v>
      </c>
      <c r="E136" s="97"/>
      <c r="F136" s="97"/>
      <c r="G136" s="97" t="s">
        <v>38</v>
      </c>
      <c r="H136" s="97"/>
      <c r="I136" s="97"/>
      <c r="J136" s="99">
        <f>VLOOKUP(C136,'[1]2026.3'!$C$3:$Q$379,13,0)</f>
        <v>45856</v>
      </c>
      <c r="K136" s="99">
        <f>VLOOKUP(C136,'[1]2026.3'!$C$3:$Q$379,14,0)</f>
        <v>45870</v>
      </c>
      <c r="L136" s="99">
        <f>VLOOKUP(C136,'[1]2026.3'!$C$3:$Q$379,15,0)</f>
        <v>46965</v>
      </c>
      <c r="M136" s="97">
        <f t="shared" si="4"/>
        <v>68</v>
      </c>
      <c r="N136" s="97">
        <f t="shared" si="5"/>
        <v>0</v>
      </c>
      <c r="O136" s="97"/>
    </row>
    <row r="137" spans="1:16" x14ac:dyDescent="0.3">
      <c r="A137" s="96" t="s">
        <v>55</v>
      </c>
      <c r="B137" s="97" t="s">
        <v>66</v>
      </c>
      <c r="C137" s="97" t="s">
        <v>186</v>
      </c>
      <c r="D137" s="97">
        <v>304</v>
      </c>
      <c r="E137" s="97"/>
      <c r="F137" s="97"/>
      <c r="G137" s="97" t="s">
        <v>74</v>
      </c>
      <c r="H137" s="97"/>
      <c r="I137" s="97"/>
      <c r="J137" s="99"/>
      <c r="K137" s="99"/>
      <c r="L137" s="99"/>
      <c r="M137" s="97">
        <f t="shared" si="4"/>
        <v>0</v>
      </c>
      <c r="N137" s="97">
        <f t="shared" si="5"/>
        <v>304</v>
      </c>
      <c r="O137" s="97"/>
    </row>
    <row r="138" spans="1:16" x14ac:dyDescent="0.3">
      <c r="A138" s="96" t="s">
        <v>55</v>
      </c>
      <c r="B138" s="97" t="s">
        <v>66</v>
      </c>
      <c r="C138" s="97" t="s">
        <v>187</v>
      </c>
      <c r="D138" s="97">
        <v>233</v>
      </c>
      <c r="E138" s="97"/>
      <c r="F138" s="97"/>
      <c r="G138" s="97" t="s">
        <v>74</v>
      </c>
      <c r="H138" s="97"/>
      <c r="I138" s="97"/>
      <c r="J138" s="99"/>
      <c r="K138" s="99"/>
      <c r="L138" s="99"/>
      <c r="M138" s="97">
        <f t="shared" si="4"/>
        <v>0</v>
      </c>
      <c r="N138" s="97">
        <f t="shared" si="5"/>
        <v>233</v>
      </c>
      <c r="O138" s="97"/>
    </row>
    <row r="139" spans="1:16" x14ac:dyDescent="0.3">
      <c r="A139" s="96" t="s">
        <v>55</v>
      </c>
      <c r="B139" s="97" t="s">
        <v>66</v>
      </c>
      <c r="C139" s="97" t="s">
        <v>188</v>
      </c>
      <c r="D139" s="97">
        <v>150</v>
      </c>
      <c r="E139" s="97"/>
      <c r="F139" s="97"/>
      <c r="G139" s="97" t="s">
        <v>74</v>
      </c>
      <c r="H139" s="97"/>
      <c r="I139" s="97"/>
      <c r="J139" s="99"/>
      <c r="K139" s="99"/>
      <c r="L139" s="99"/>
      <c r="M139" s="97">
        <f t="shared" si="4"/>
        <v>0</v>
      </c>
      <c r="N139" s="97">
        <f t="shared" si="5"/>
        <v>150</v>
      </c>
      <c r="O139" s="97"/>
    </row>
    <row r="140" spans="1:16" x14ac:dyDescent="0.3">
      <c r="A140" s="96" t="s">
        <v>55</v>
      </c>
      <c r="B140" s="97" t="s">
        <v>66</v>
      </c>
      <c r="C140" s="97" t="s">
        <v>189</v>
      </c>
      <c r="D140" s="97">
        <v>227</v>
      </c>
      <c r="E140" s="97"/>
      <c r="F140" s="97"/>
      <c r="G140" s="97" t="s">
        <v>74</v>
      </c>
      <c r="H140" s="97"/>
      <c r="I140" s="97"/>
      <c r="J140" s="99"/>
      <c r="K140" s="99"/>
      <c r="L140" s="99"/>
      <c r="M140" s="97">
        <f t="shared" si="4"/>
        <v>0</v>
      </c>
      <c r="N140" s="97">
        <f t="shared" si="5"/>
        <v>227</v>
      </c>
      <c r="O140" s="97"/>
    </row>
    <row r="141" spans="1:16" x14ac:dyDescent="0.3">
      <c r="A141" s="96" t="s">
        <v>55</v>
      </c>
      <c r="B141" s="97" t="s">
        <v>36</v>
      </c>
      <c r="C141" s="97" t="s">
        <v>190</v>
      </c>
      <c r="D141" s="97">
        <v>114</v>
      </c>
      <c r="E141" s="97"/>
      <c r="F141" s="97"/>
      <c r="G141" s="97" t="s">
        <v>74</v>
      </c>
      <c r="H141" s="97"/>
      <c r="I141" s="97"/>
      <c r="J141" s="99"/>
      <c r="K141" s="99"/>
      <c r="L141" s="99"/>
      <c r="M141" s="97">
        <f t="shared" si="4"/>
        <v>0</v>
      </c>
      <c r="N141" s="97">
        <f t="shared" si="5"/>
        <v>114</v>
      </c>
      <c r="O141" s="97" t="s">
        <v>191</v>
      </c>
      <c r="P141" t="s">
        <v>192</v>
      </c>
    </row>
    <row r="142" spans="1:16" x14ac:dyDescent="0.3">
      <c r="A142" s="96" t="s">
        <v>55</v>
      </c>
      <c r="B142" s="97" t="s">
        <v>36</v>
      </c>
      <c r="C142" s="97" t="s">
        <v>193</v>
      </c>
      <c r="D142" s="97">
        <v>114</v>
      </c>
      <c r="E142" s="97"/>
      <c r="F142" s="97"/>
      <c r="G142" s="97" t="s">
        <v>38</v>
      </c>
      <c r="H142" s="97"/>
      <c r="I142" s="97"/>
      <c r="J142" s="99">
        <f>VLOOKUP(C142,'[1]2026.3'!$C$3:$Q$379,13,0)</f>
        <v>45978</v>
      </c>
      <c r="K142" s="99">
        <f>VLOOKUP(C142,'[1]2026.3'!$C$3:$Q$379,14,0)</f>
        <v>45992</v>
      </c>
      <c r="L142" s="99">
        <f>VLOOKUP(C142,'[1]2026.3'!$C$3:$Q$379,15,0)</f>
        <v>47087</v>
      </c>
      <c r="M142" s="97">
        <f t="shared" si="4"/>
        <v>114</v>
      </c>
      <c r="N142" s="97">
        <f t="shared" si="5"/>
        <v>0</v>
      </c>
      <c r="O142" s="97"/>
    </row>
    <row r="143" spans="1:16" x14ac:dyDescent="0.3">
      <c r="A143" s="96" t="s">
        <v>55</v>
      </c>
      <c r="B143" s="97" t="s">
        <v>36</v>
      </c>
      <c r="C143" s="97" t="s">
        <v>194</v>
      </c>
      <c r="D143" s="97">
        <v>46</v>
      </c>
      <c r="E143" s="97"/>
      <c r="F143" s="97"/>
      <c r="G143" s="97" t="s">
        <v>74</v>
      </c>
      <c r="H143" s="97"/>
      <c r="I143" s="97"/>
      <c r="J143" s="99"/>
      <c r="K143" s="99"/>
      <c r="L143" s="99"/>
      <c r="M143" s="97">
        <f t="shared" si="4"/>
        <v>0</v>
      </c>
      <c r="N143" s="97">
        <f t="shared" si="5"/>
        <v>46</v>
      </c>
      <c r="O143" s="97"/>
    </row>
    <row r="144" spans="1:16" x14ac:dyDescent="0.3">
      <c r="A144" s="96" t="s">
        <v>55</v>
      </c>
      <c r="B144" s="97" t="s">
        <v>36</v>
      </c>
      <c r="C144" s="97" t="s">
        <v>195</v>
      </c>
      <c r="D144" s="97">
        <v>46</v>
      </c>
      <c r="E144" s="97"/>
      <c r="F144" s="97"/>
      <c r="G144" s="97" t="s">
        <v>74</v>
      </c>
      <c r="H144" s="97"/>
      <c r="I144" s="97"/>
      <c r="J144" s="99"/>
      <c r="K144" s="99"/>
      <c r="L144" s="99"/>
      <c r="M144" s="97">
        <f t="shared" si="4"/>
        <v>0</v>
      </c>
      <c r="N144" s="97">
        <f t="shared" si="5"/>
        <v>46</v>
      </c>
      <c r="O144" s="97"/>
    </row>
    <row r="145" spans="1:15" x14ac:dyDescent="0.3">
      <c r="A145" s="96" t="s">
        <v>55</v>
      </c>
      <c r="B145" s="97" t="s">
        <v>36</v>
      </c>
      <c r="C145" s="97" t="s">
        <v>196</v>
      </c>
      <c r="D145" s="97">
        <v>46</v>
      </c>
      <c r="E145" s="97"/>
      <c r="F145" s="97"/>
      <c r="G145" s="97" t="s">
        <v>74</v>
      </c>
      <c r="H145" s="97"/>
      <c r="I145" s="97"/>
      <c r="J145" s="99"/>
      <c r="K145" s="99"/>
      <c r="L145" s="99"/>
      <c r="M145" s="97">
        <f t="shared" si="4"/>
        <v>0</v>
      </c>
      <c r="N145" s="97">
        <f t="shared" si="5"/>
        <v>46</v>
      </c>
      <c r="O145" s="97"/>
    </row>
    <row r="146" spans="1:15" x14ac:dyDescent="0.3">
      <c r="A146" s="96" t="s">
        <v>55</v>
      </c>
      <c r="B146" s="97" t="s">
        <v>36</v>
      </c>
      <c r="C146" s="97" t="s">
        <v>197</v>
      </c>
      <c r="D146" s="97">
        <v>46</v>
      </c>
      <c r="E146" s="97"/>
      <c r="F146" s="97"/>
      <c r="G146" s="97" t="s">
        <v>74</v>
      </c>
      <c r="H146" s="97"/>
      <c r="I146" s="97"/>
      <c r="J146" s="99"/>
      <c r="K146" s="99"/>
      <c r="L146" s="99"/>
      <c r="M146" s="97">
        <f t="shared" si="4"/>
        <v>0</v>
      </c>
      <c r="N146" s="97">
        <f t="shared" si="5"/>
        <v>46</v>
      </c>
      <c r="O146" s="97"/>
    </row>
    <row r="147" spans="1:15" x14ac:dyDescent="0.3">
      <c r="A147" s="96" t="s">
        <v>55</v>
      </c>
      <c r="B147" s="97" t="s">
        <v>36</v>
      </c>
      <c r="C147" s="97" t="s">
        <v>198</v>
      </c>
      <c r="D147" s="97">
        <v>46</v>
      </c>
      <c r="E147" s="97"/>
      <c r="F147" s="97"/>
      <c r="G147" s="97" t="s">
        <v>74</v>
      </c>
      <c r="H147" s="97"/>
      <c r="I147" s="97"/>
      <c r="J147" s="99"/>
      <c r="K147" s="99"/>
      <c r="L147" s="99"/>
      <c r="M147" s="97">
        <f t="shared" si="4"/>
        <v>0</v>
      </c>
      <c r="N147" s="97">
        <f t="shared" si="5"/>
        <v>46</v>
      </c>
      <c r="O147" s="97"/>
    </row>
    <row r="148" spans="1:15" x14ac:dyDescent="0.3">
      <c r="A148" s="96" t="s">
        <v>55</v>
      </c>
      <c r="B148" s="97" t="s">
        <v>36</v>
      </c>
      <c r="C148" s="97" t="s">
        <v>199</v>
      </c>
      <c r="D148" s="97">
        <v>46</v>
      </c>
      <c r="E148" s="97"/>
      <c r="F148" s="97"/>
      <c r="G148" s="97" t="s">
        <v>74</v>
      </c>
      <c r="H148" s="97"/>
      <c r="I148" s="97"/>
      <c r="J148" s="99"/>
      <c r="K148" s="99"/>
      <c r="L148" s="99"/>
      <c r="M148" s="97">
        <f t="shared" si="4"/>
        <v>0</v>
      </c>
      <c r="N148" s="97">
        <f t="shared" si="5"/>
        <v>46</v>
      </c>
      <c r="O148" s="97"/>
    </row>
    <row r="149" spans="1:15" x14ac:dyDescent="0.3">
      <c r="A149" s="96" t="s">
        <v>55</v>
      </c>
      <c r="B149" s="97" t="s">
        <v>36</v>
      </c>
      <c r="C149" s="97" t="s">
        <v>200</v>
      </c>
      <c r="D149" s="97">
        <v>46</v>
      </c>
      <c r="E149" s="97"/>
      <c r="F149" s="97"/>
      <c r="G149" s="97" t="s">
        <v>38</v>
      </c>
      <c r="H149" s="97"/>
      <c r="I149" s="97"/>
      <c r="J149" s="99">
        <f>VLOOKUP(C149,'[1]2026.3'!$C$3:$Q$379,13,0)</f>
        <v>46016</v>
      </c>
      <c r="K149" s="99">
        <f>VLOOKUP(C149,'[1]2026.3'!$C$3:$Q$379,14,0)</f>
        <v>45931</v>
      </c>
      <c r="L149" s="99">
        <f>VLOOKUP(C149,'[1]2026.3'!$C$3:$Q$379,15,0)</f>
        <v>47026</v>
      </c>
      <c r="M149" s="97">
        <f t="shared" si="4"/>
        <v>46</v>
      </c>
      <c r="N149" s="97">
        <f t="shared" si="5"/>
        <v>0</v>
      </c>
      <c r="O149" s="97"/>
    </row>
    <row r="150" spans="1:15" x14ac:dyDescent="0.3">
      <c r="A150" s="96" t="s">
        <v>55</v>
      </c>
      <c r="B150" s="97" t="s">
        <v>36</v>
      </c>
      <c r="C150" s="97" t="s">
        <v>201</v>
      </c>
      <c r="D150" s="97">
        <v>46</v>
      </c>
      <c r="E150" s="97"/>
      <c r="F150" s="97"/>
      <c r="G150" s="97" t="s">
        <v>38</v>
      </c>
      <c r="H150" s="97"/>
      <c r="I150" s="97"/>
      <c r="J150" s="99">
        <f>VLOOKUP(C150,'[1]2026.3'!$C$3:$Q$379,13,0)</f>
        <v>46016</v>
      </c>
      <c r="K150" s="99">
        <f>VLOOKUP(C150,'[1]2026.3'!$C$3:$Q$379,14,0)</f>
        <v>45931</v>
      </c>
      <c r="L150" s="99">
        <f>VLOOKUP(C150,'[1]2026.3'!$C$3:$Q$379,15,0)</f>
        <v>47026</v>
      </c>
      <c r="M150" s="97">
        <f t="shared" si="4"/>
        <v>46</v>
      </c>
      <c r="N150" s="97">
        <f t="shared" si="5"/>
        <v>0</v>
      </c>
      <c r="O150" s="97"/>
    </row>
    <row r="151" spans="1:15" x14ac:dyDescent="0.3">
      <c r="A151" s="96" t="s">
        <v>55</v>
      </c>
      <c r="B151" s="97" t="s">
        <v>36</v>
      </c>
      <c r="C151" s="97" t="s">
        <v>202</v>
      </c>
      <c r="D151" s="97">
        <v>46</v>
      </c>
      <c r="E151" s="97"/>
      <c r="F151" s="97"/>
      <c r="G151" s="97" t="s">
        <v>38</v>
      </c>
      <c r="H151" s="97"/>
      <c r="I151" s="97"/>
      <c r="J151" s="99">
        <f>VLOOKUP(C151,'[1]2026.3'!$C$3:$Q$379,13,0)</f>
        <v>46016</v>
      </c>
      <c r="K151" s="99">
        <f>VLOOKUP(C151,'[1]2026.3'!$C$3:$Q$379,14,0)</f>
        <v>45931</v>
      </c>
      <c r="L151" s="99">
        <f>VLOOKUP(C151,'[1]2026.3'!$C$3:$Q$379,15,0)</f>
        <v>47026</v>
      </c>
      <c r="M151" s="97">
        <f t="shared" si="4"/>
        <v>46</v>
      </c>
      <c r="N151" s="97">
        <f t="shared" si="5"/>
        <v>0</v>
      </c>
      <c r="O151" s="97"/>
    </row>
    <row r="152" spans="1:15" x14ac:dyDescent="0.3">
      <c r="A152" s="96" t="s">
        <v>55</v>
      </c>
      <c r="B152" s="97" t="s">
        <v>36</v>
      </c>
      <c r="C152" s="97" t="s">
        <v>203</v>
      </c>
      <c r="D152" s="97">
        <v>46</v>
      </c>
      <c r="E152" s="97"/>
      <c r="F152" s="97"/>
      <c r="G152" s="97" t="s">
        <v>38</v>
      </c>
      <c r="H152" s="97"/>
      <c r="I152" s="97"/>
      <c r="J152" s="99">
        <f>VLOOKUP(C152,'[1]2026.3'!$C$3:$Q$379,13,0)</f>
        <v>45945</v>
      </c>
      <c r="K152" s="99">
        <f>VLOOKUP(C152,'[1]2026.3'!$C$3:$Q$379,14,0)</f>
        <v>45931</v>
      </c>
      <c r="L152" s="99">
        <f>VLOOKUP(C152,'[1]2026.3'!$C$3:$Q$379,15,0)</f>
        <v>47026</v>
      </c>
      <c r="M152" s="97">
        <f t="shared" si="4"/>
        <v>46</v>
      </c>
      <c r="N152" s="97">
        <f t="shared" si="5"/>
        <v>0</v>
      </c>
      <c r="O152" s="97"/>
    </row>
    <row r="153" spans="1:15" x14ac:dyDescent="0.3">
      <c r="A153" s="96" t="s">
        <v>55</v>
      </c>
      <c r="B153" s="97" t="s">
        <v>36</v>
      </c>
      <c r="C153" s="97" t="s">
        <v>204</v>
      </c>
      <c r="D153" s="97">
        <v>56</v>
      </c>
      <c r="E153" s="97"/>
      <c r="F153" s="97"/>
      <c r="G153" s="97" t="s">
        <v>38</v>
      </c>
      <c r="H153" s="97"/>
      <c r="I153" s="97"/>
      <c r="J153" s="99">
        <f>VLOOKUP(C153,'[1]2026.3'!$C$3:$Q$379,13,0)</f>
        <v>45945</v>
      </c>
      <c r="K153" s="99">
        <f>VLOOKUP(C153,'[1]2026.3'!$C$3:$Q$379,14,0)</f>
        <v>45931</v>
      </c>
      <c r="L153" s="99">
        <f>VLOOKUP(C153,'[1]2026.3'!$C$3:$Q$379,15,0)</f>
        <v>47026</v>
      </c>
      <c r="M153" s="97">
        <f t="shared" si="4"/>
        <v>56</v>
      </c>
      <c r="N153" s="97">
        <f t="shared" si="5"/>
        <v>0</v>
      </c>
      <c r="O153" s="97"/>
    </row>
    <row r="154" spans="1:15" x14ac:dyDescent="0.3">
      <c r="A154" s="96" t="s">
        <v>55</v>
      </c>
      <c r="B154" s="97" t="s">
        <v>36</v>
      </c>
      <c r="C154" s="97" t="s">
        <v>205</v>
      </c>
      <c r="D154" s="97">
        <v>56</v>
      </c>
      <c r="E154" s="97"/>
      <c r="F154" s="97"/>
      <c r="G154" s="97" t="s">
        <v>38</v>
      </c>
      <c r="H154" s="97"/>
      <c r="I154" s="97"/>
      <c r="J154" s="99">
        <f>VLOOKUP(C154,'[1]2026.3'!$C$3:$Q$379,13,0)</f>
        <v>45945</v>
      </c>
      <c r="K154" s="99">
        <f>VLOOKUP(C154,'[1]2026.3'!$C$3:$Q$379,14,0)</f>
        <v>45931</v>
      </c>
      <c r="L154" s="99">
        <f>VLOOKUP(C154,'[1]2026.3'!$C$3:$Q$379,15,0)</f>
        <v>47026</v>
      </c>
      <c r="M154" s="97">
        <f t="shared" si="4"/>
        <v>56</v>
      </c>
      <c r="N154" s="97">
        <f t="shared" si="5"/>
        <v>0</v>
      </c>
      <c r="O154" s="97"/>
    </row>
    <row r="155" spans="1:15" x14ac:dyDescent="0.3">
      <c r="A155" s="96" t="s">
        <v>55</v>
      </c>
      <c r="B155" s="97" t="s">
        <v>36</v>
      </c>
      <c r="C155" s="97" t="s">
        <v>206</v>
      </c>
      <c r="D155" s="97">
        <v>46</v>
      </c>
      <c r="E155" s="97"/>
      <c r="F155" s="97"/>
      <c r="G155" s="97" t="s">
        <v>74</v>
      </c>
      <c r="H155" s="97"/>
      <c r="I155" s="97"/>
      <c r="J155" s="99"/>
      <c r="K155" s="99"/>
      <c r="L155" s="99"/>
      <c r="M155" s="97">
        <f t="shared" si="4"/>
        <v>0</v>
      </c>
      <c r="N155" s="97">
        <f t="shared" si="5"/>
        <v>46</v>
      </c>
      <c r="O155" s="97"/>
    </row>
    <row r="156" spans="1:15" x14ac:dyDescent="0.3">
      <c r="A156" s="96" t="s">
        <v>55</v>
      </c>
      <c r="B156" s="97" t="s">
        <v>36</v>
      </c>
      <c r="C156" s="97" t="s">
        <v>207</v>
      </c>
      <c r="D156" s="97">
        <v>46</v>
      </c>
      <c r="E156" s="97"/>
      <c r="F156" s="97"/>
      <c r="G156" s="97" t="s">
        <v>74</v>
      </c>
      <c r="H156" s="97"/>
      <c r="I156" s="97"/>
      <c r="J156" s="99"/>
      <c r="K156" s="99"/>
      <c r="L156" s="99"/>
      <c r="M156" s="97">
        <f t="shared" si="4"/>
        <v>0</v>
      </c>
      <c r="N156" s="97">
        <f t="shared" si="5"/>
        <v>46</v>
      </c>
      <c r="O156" s="97"/>
    </row>
    <row r="157" spans="1:15" x14ac:dyDescent="0.3">
      <c r="A157" s="96" t="s">
        <v>55</v>
      </c>
      <c r="B157" s="97" t="s">
        <v>36</v>
      </c>
      <c r="C157" s="97" t="s">
        <v>208</v>
      </c>
      <c r="D157" s="97">
        <v>46</v>
      </c>
      <c r="E157" s="97"/>
      <c r="F157" s="97"/>
      <c r="G157" s="97" t="s">
        <v>74</v>
      </c>
      <c r="H157" s="97"/>
      <c r="I157" s="97"/>
      <c r="J157" s="99"/>
      <c r="K157" s="99"/>
      <c r="L157" s="99"/>
      <c r="M157" s="97">
        <f t="shared" si="4"/>
        <v>0</v>
      </c>
      <c r="N157" s="97">
        <f t="shared" si="5"/>
        <v>46</v>
      </c>
      <c r="O157" s="97"/>
    </row>
    <row r="158" spans="1:15" x14ac:dyDescent="0.3">
      <c r="A158" s="96" t="s">
        <v>55</v>
      </c>
      <c r="B158" s="97" t="s">
        <v>36</v>
      </c>
      <c r="C158" s="97" t="s">
        <v>209</v>
      </c>
      <c r="D158" s="97">
        <v>46</v>
      </c>
      <c r="E158" s="97"/>
      <c r="F158" s="97"/>
      <c r="G158" s="97" t="s">
        <v>74</v>
      </c>
      <c r="H158" s="97"/>
      <c r="I158" s="97"/>
      <c r="J158" s="99"/>
      <c r="K158" s="99"/>
      <c r="L158" s="99"/>
      <c r="M158" s="97">
        <f t="shared" si="4"/>
        <v>0</v>
      </c>
      <c r="N158" s="97">
        <f t="shared" si="5"/>
        <v>46</v>
      </c>
      <c r="O158" s="97"/>
    </row>
    <row r="159" spans="1:15" x14ac:dyDescent="0.3">
      <c r="A159" s="96" t="s">
        <v>55</v>
      </c>
      <c r="B159" s="97" t="s">
        <v>36</v>
      </c>
      <c r="C159" s="97" t="s">
        <v>210</v>
      </c>
      <c r="D159" s="97">
        <v>46</v>
      </c>
      <c r="E159" s="97"/>
      <c r="F159" s="97"/>
      <c r="G159" s="97" t="s">
        <v>74</v>
      </c>
      <c r="H159" s="97"/>
      <c r="I159" s="97"/>
      <c r="J159" s="99"/>
      <c r="K159" s="99"/>
      <c r="L159" s="99"/>
      <c r="M159" s="97">
        <f t="shared" si="4"/>
        <v>0</v>
      </c>
      <c r="N159" s="97">
        <f t="shared" si="5"/>
        <v>46</v>
      </c>
      <c r="O159" s="97"/>
    </row>
    <row r="160" spans="1:15" x14ac:dyDescent="0.3">
      <c r="A160" s="96" t="s">
        <v>55</v>
      </c>
      <c r="B160" s="97" t="s">
        <v>36</v>
      </c>
      <c r="C160" s="97" t="s">
        <v>211</v>
      </c>
      <c r="D160" s="97">
        <v>46</v>
      </c>
      <c r="E160" s="97"/>
      <c r="F160" s="97"/>
      <c r="G160" s="97" t="s">
        <v>74</v>
      </c>
      <c r="H160" s="97"/>
      <c r="I160" s="97"/>
      <c r="J160" s="99"/>
      <c r="K160" s="99"/>
      <c r="L160" s="99"/>
      <c r="M160" s="97">
        <f t="shared" si="4"/>
        <v>0</v>
      </c>
      <c r="N160" s="97">
        <f t="shared" si="5"/>
        <v>46</v>
      </c>
      <c r="O160" s="97"/>
    </row>
    <row r="161" spans="1:15" x14ac:dyDescent="0.3">
      <c r="A161" s="96" t="s">
        <v>55</v>
      </c>
      <c r="B161" s="97" t="s">
        <v>36</v>
      </c>
      <c r="C161" s="97" t="s">
        <v>212</v>
      </c>
      <c r="D161" s="97">
        <v>46</v>
      </c>
      <c r="E161" s="97"/>
      <c r="F161" s="97"/>
      <c r="G161" s="97" t="s">
        <v>74</v>
      </c>
      <c r="H161" s="97"/>
      <c r="I161" s="97"/>
      <c r="J161" s="99"/>
      <c r="K161" s="99"/>
      <c r="L161" s="99"/>
      <c r="M161" s="97">
        <f t="shared" si="4"/>
        <v>0</v>
      </c>
      <c r="N161" s="97">
        <f t="shared" si="5"/>
        <v>46</v>
      </c>
      <c r="O161" s="97"/>
    </row>
    <row r="162" spans="1:15" x14ac:dyDescent="0.3">
      <c r="A162" s="96" t="s">
        <v>55</v>
      </c>
      <c r="B162" s="97" t="s">
        <v>36</v>
      </c>
      <c r="C162" s="97" t="s">
        <v>213</v>
      </c>
      <c r="D162" s="97">
        <v>46</v>
      </c>
      <c r="E162" s="97"/>
      <c r="F162" s="97"/>
      <c r="G162" s="97" t="s">
        <v>74</v>
      </c>
      <c r="H162" s="97"/>
      <c r="I162" s="97"/>
      <c r="J162" s="99"/>
      <c r="K162" s="99"/>
      <c r="L162" s="99"/>
      <c r="M162" s="97">
        <f t="shared" si="4"/>
        <v>0</v>
      </c>
      <c r="N162" s="97">
        <f t="shared" si="5"/>
        <v>46</v>
      </c>
      <c r="O162" s="97"/>
    </row>
    <row r="163" spans="1:15" x14ac:dyDescent="0.3">
      <c r="A163" s="96" t="s">
        <v>55</v>
      </c>
      <c r="B163" s="97" t="s">
        <v>36</v>
      </c>
      <c r="C163" s="97" t="s">
        <v>214</v>
      </c>
      <c r="D163" s="97">
        <v>46</v>
      </c>
      <c r="E163" s="97"/>
      <c r="F163" s="97"/>
      <c r="G163" s="97" t="s">
        <v>38</v>
      </c>
      <c r="H163" s="97"/>
      <c r="I163" s="97"/>
      <c r="J163" s="99">
        <f>VLOOKUP(C163,'[1]2026.3'!$C$3:$Q$379,13,0)</f>
        <v>45940</v>
      </c>
      <c r="K163" s="99">
        <f>VLOOKUP(C163,'[1]2026.3'!$C$3:$Q$379,14,0)</f>
        <v>45931</v>
      </c>
      <c r="L163" s="99">
        <f>VLOOKUP(C163,'[1]2026.3'!$C$3:$Q$379,15,0)</f>
        <v>47026</v>
      </c>
      <c r="M163" s="97">
        <f t="shared" si="4"/>
        <v>46</v>
      </c>
      <c r="N163" s="97">
        <f t="shared" si="5"/>
        <v>0</v>
      </c>
      <c r="O163" s="97"/>
    </row>
    <row r="164" spans="1:15" x14ac:dyDescent="0.3">
      <c r="A164" s="96" t="s">
        <v>55</v>
      </c>
      <c r="B164" s="97" t="s">
        <v>36</v>
      </c>
      <c r="C164" s="97" t="s">
        <v>215</v>
      </c>
      <c r="D164" s="97">
        <v>46</v>
      </c>
      <c r="E164" s="97"/>
      <c r="F164" s="97"/>
      <c r="G164" s="97" t="s">
        <v>38</v>
      </c>
      <c r="H164" s="97"/>
      <c r="I164" s="97"/>
      <c r="J164" s="99">
        <f>VLOOKUP(C164,'[1]2026.3'!$C$3:$Q$379,13,0)</f>
        <v>45940</v>
      </c>
      <c r="K164" s="99">
        <f>VLOOKUP(C164,'[1]2026.3'!$C$3:$Q$379,14,0)</f>
        <v>45931</v>
      </c>
      <c r="L164" s="99">
        <f>VLOOKUP(C164,'[1]2026.3'!$C$3:$Q$379,15,0)</f>
        <v>47026</v>
      </c>
      <c r="M164" s="97">
        <f t="shared" si="4"/>
        <v>46</v>
      </c>
      <c r="N164" s="97">
        <f t="shared" si="5"/>
        <v>0</v>
      </c>
      <c r="O164" s="97"/>
    </row>
    <row r="165" spans="1:15" x14ac:dyDescent="0.3">
      <c r="A165" s="96" t="s">
        <v>55</v>
      </c>
      <c r="B165" s="97" t="s">
        <v>36</v>
      </c>
      <c r="C165" s="97" t="s">
        <v>216</v>
      </c>
      <c r="D165" s="97">
        <v>56</v>
      </c>
      <c r="E165" s="97"/>
      <c r="F165" s="97"/>
      <c r="G165" s="97" t="s">
        <v>38</v>
      </c>
      <c r="H165" s="97"/>
      <c r="I165" s="97"/>
      <c r="J165" s="99">
        <f>VLOOKUP(C165,'[1]2026.3'!$C$3:$Q$379,13,0)</f>
        <v>45940</v>
      </c>
      <c r="K165" s="99">
        <f>VLOOKUP(C165,'[1]2026.3'!$C$3:$Q$379,14,0)</f>
        <v>45931</v>
      </c>
      <c r="L165" s="99">
        <f>VLOOKUP(C165,'[1]2026.3'!$C$3:$Q$379,15,0)</f>
        <v>47026</v>
      </c>
      <c r="M165" s="97">
        <f t="shared" si="4"/>
        <v>56</v>
      </c>
      <c r="N165" s="97">
        <f t="shared" si="5"/>
        <v>0</v>
      </c>
      <c r="O165" s="97"/>
    </row>
    <row r="166" spans="1:15" x14ac:dyDescent="0.3">
      <c r="A166" s="96" t="s">
        <v>55</v>
      </c>
      <c r="B166" s="97" t="s">
        <v>36</v>
      </c>
      <c r="C166" s="97" t="s">
        <v>217</v>
      </c>
      <c r="D166" s="97">
        <v>56</v>
      </c>
      <c r="E166" s="97"/>
      <c r="F166" s="97"/>
      <c r="G166" s="97" t="s">
        <v>38</v>
      </c>
      <c r="H166" s="97"/>
      <c r="I166" s="97"/>
      <c r="J166" s="99">
        <f>VLOOKUP(C166,'[1]2026.3'!$C$3:$Q$379,13,0)</f>
        <v>45940</v>
      </c>
      <c r="K166" s="99">
        <f>VLOOKUP(C166,'[1]2026.3'!$C$3:$Q$379,14,0)</f>
        <v>45931</v>
      </c>
      <c r="L166" s="99">
        <f>VLOOKUP(C166,'[1]2026.3'!$C$3:$Q$379,15,0)</f>
        <v>47026</v>
      </c>
      <c r="M166" s="97">
        <f t="shared" si="4"/>
        <v>56</v>
      </c>
      <c r="N166" s="97">
        <f t="shared" si="5"/>
        <v>0</v>
      </c>
      <c r="O166" s="97"/>
    </row>
    <row r="167" spans="1:15" x14ac:dyDescent="0.3">
      <c r="A167" s="96" t="s">
        <v>55</v>
      </c>
      <c r="B167" s="97" t="s">
        <v>66</v>
      </c>
      <c r="C167" s="97" t="s">
        <v>218</v>
      </c>
      <c r="D167" s="97">
        <v>171</v>
      </c>
      <c r="E167" s="97"/>
      <c r="F167" s="97"/>
      <c r="G167" s="97" t="s">
        <v>38</v>
      </c>
      <c r="H167" s="97"/>
      <c r="I167" s="97"/>
      <c r="J167" s="99">
        <f>VLOOKUP(C167,'[1]2026.3'!$C$3:$Q$379,13,0)</f>
        <v>46023</v>
      </c>
      <c r="K167" s="99">
        <f>VLOOKUP(C167,'[1]2026.3'!$C$3:$Q$379,14,0)</f>
        <v>46023</v>
      </c>
      <c r="L167" s="99">
        <f>VLOOKUP(C167,'[1]2026.3'!$C$3:$Q$379,15,0)</f>
        <v>46387</v>
      </c>
      <c r="M167" s="97">
        <f t="shared" si="4"/>
        <v>171</v>
      </c>
      <c r="N167" s="97">
        <f t="shared" si="5"/>
        <v>0</v>
      </c>
      <c r="O167" s="97"/>
    </row>
    <row r="168" spans="1:15" x14ac:dyDescent="0.3">
      <c r="A168" s="96" t="s">
        <v>55</v>
      </c>
      <c r="B168" s="97" t="s">
        <v>66</v>
      </c>
      <c r="C168" s="97" t="s">
        <v>219</v>
      </c>
      <c r="D168" s="97">
        <v>322</v>
      </c>
      <c r="E168" s="97"/>
      <c r="F168" s="97"/>
      <c r="G168" s="97" t="s">
        <v>38</v>
      </c>
      <c r="H168" s="97"/>
      <c r="I168" s="97"/>
      <c r="J168" s="99">
        <f>VLOOKUP(C168,'[1]2026.3'!$C$3:$Q$379,13,0)</f>
        <v>46023</v>
      </c>
      <c r="K168" s="99">
        <f>VLOOKUP(C168,'[1]2026.3'!$C$3:$Q$379,14,0)</f>
        <v>46023</v>
      </c>
      <c r="L168" s="99">
        <f>VLOOKUP(C168,'[1]2026.3'!$C$3:$Q$379,15,0)</f>
        <v>46387</v>
      </c>
      <c r="M168" s="97">
        <f t="shared" si="4"/>
        <v>322</v>
      </c>
      <c r="N168" s="97">
        <f t="shared" si="5"/>
        <v>0</v>
      </c>
      <c r="O168" s="97"/>
    </row>
    <row r="169" spans="1:15" x14ac:dyDescent="0.3">
      <c r="A169" s="96" t="s">
        <v>55</v>
      </c>
      <c r="B169" s="97" t="s">
        <v>66</v>
      </c>
      <c r="C169" s="97" t="s">
        <v>220</v>
      </c>
      <c r="D169" s="97">
        <v>190</v>
      </c>
      <c r="E169" s="97"/>
      <c r="F169" s="97"/>
      <c r="G169" s="97" t="s">
        <v>38</v>
      </c>
      <c r="H169" s="97"/>
      <c r="I169" s="97"/>
      <c r="J169" s="99">
        <f>VLOOKUP(C169,'[1]2026.3'!$C$3:$Q$379,13,0)</f>
        <v>46023</v>
      </c>
      <c r="K169" s="99">
        <f>VLOOKUP(C169,'[1]2026.3'!$C$3:$Q$379,14,0)</f>
        <v>46023</v>
      </c>
      <c r="L169" s="99">
        <f>VLOOKUP(C169,'[1]2026.3'!$C$3:$Q$379,15,0)</f>
        <v>46387</v>
      </c>
      <c r="M169" s="97">
        <f t="shared" si="4"/>
        <v>190</v>
      </c>
      <c r="N169" s="97">
        <f t="shared" si="5"/>
        <v>0</v>
      </c>
      <c r="O169" s="97"/>
    </row>
    <row r="170" spans="1:15" x14ac:dyDescent="0.3">
      <c r="A170" s="96" t="s">
        <v>55</v>
      </c>
      <c r="B170" s="97" t="s">
        <v>66</v>
      </c>
      <c r="C170" s="97" t="s">
        <v>221</v>
      </c>
      <c r="D170" s="97">
        <v>249</v>
      </c>
      <c r="E170" s="97"/>
      <c r="F170" s="97"/>
      <c r="G170" s="97" t="s">
        <v>38</v>
      </c>
      <c r="H170" s="97"/>
      <c r="I170" s="97"/>
      <c r="J170" s="99">
        <f>VLOOKUP(C170,'[1]2026.3'!$C$3:$Q$379,13,0)</f>
        <v>46023</v>
      </c>
      <c r="K170" s="99">
        <f>VLOOKUP(C170,'[1]2026.3'!$C$3:$Q$379,14,0)</f>
        <v>46023</v>
      </c>
      <c r="L170" s="99">
        <f>VLOOKUP(C170,'[1]2026.3'!$C$3:$Q$379,15,0)</f>
        <v>46387</v>
      </c>
      <c r="M170" s="97">
        <f t="shared" si="4"/>
        <v>249</v>
      </c>
      <c r="N170" s="97">
        <f t="shared" si="5"/>
        <v>0</v>
      </c>
      <c r="O170" s="97"/>
    </row>
    <row r="171" spans="1:15" x14ac:dyDescent="0.3">
      <c r="A171" s="96" t="s">
        <v>55</v>
      </c>
      <c r="B171" s="97" t="s">
        <v>66</v>
      </c>
      <c r="C171" s="97" t="s">
        <v>222</v>
      </c>
      <c r="D171" s="97">
        <v>274</v>
      </c>
      <c r="E171" s="97"/>
      <c r="F171" s="97"/>
      <c r="G171" s="97" t="s">
        <v>74</v>
      </c>
      <c r="H171" s="97"/>
      <c r="I171" s="97"/>
      <c r="J171" s="99"/>
      <c r="K171" s="99"/>
      <c r="L171" s="99"/>
      <c r="M171" s="97">
        <f t="shared" si="4"/>
        <v>0</v>
      </c>
      <c r="N171" s="97">
        <f t="shared" si="5"/>
        <v>274</v>
      </c>
      <c r="O171" s="97"/>
    </row>
    <row r="172" spans="1:15" x14ac:dyDescent="0.3">
      <c r="A172" s="96" t="s">
        <v>55</v>
      </c>
      <c r="B172" s="97" t="s">
        <v>66</v>
      </c>
      <c r="C172" s="97" t="s">
        <v>223</v>
      </c>
      <c r="D172" s="97">
        <v>182</v>
      </c>
      <c r="E172" s="97"/>
      <c r="F172" s="97"/>
      <c r="G172" s="97" t="s">
        <v>74</v>
      </c>
      <c r="H172" s="97"/>
      <c r="I172" s="97"/>
      <c r="J172" s="99"/>
      <c r="K172" s="99"/>
      <c r="L172" s="99"/>
      <c r="M172" s="97">
        <f t="shared" si="4"/>
        <v>0</v>
      </c>
      <c r="N172" s="97">
        <f t="shared" si="5"/>
        <v>182</v>
      </c>
      <c r="O172" s="97"/>
    </row>
    <row r="173" spans="1:15" x14ac:dyDescent="0.3">
      <c r="A173" s="96" t="s">
        <v>55</v>
      </c>
      <c r="B173" s="97" t="s">
        <v>66</v>
      </c>
      <c r="C173" s="97" t="s">
        <v>224</v>
      </c>
      <c r="D173" s="97">
        <v>182</v>
      </c>
      <c r="E173" s="97"/>
      <c r="F173" s="97"/>
      <c r="G173" s="97" t="s">
        <v>74</v>
      </c>
      <c r="H173" s="97"/>
      <c r="I173" s="97"/>
      <c r="J173" s="99"/>
      <c r="K173" s="99"/>
      <c r="L173" s="99"/>
      <c r="M173" s="97">
        <f t="shared" si="4"/>
        <v>0</v>
      </c>
      <c r="N173" s="97">
        <f t="shared" si="5"/>
        <v>182</v>
      </c>
      <c r="O173" s="97"/>
    </row>
    <row r="174" spans="1:15" x14ac:dyDescent="0.3">
      <c r="A174" s="96" t="s">
        <v>55</v>
      </c>
      <c r="B174" s="97" t="s">
        <v>66</v>
      </c>
      <c r="C174" s="97" t="s">
        <v>225</v>
      </c>
      <c r="D174" s="97">
        <v>221</v>
      </c>
      <c r="E174" s="97"/>
      <c r="F174" s="97"/>
      <c r="G174" s="97" t="s">
        <v>74</v>
      </c>
      <c r="H174" s="97"/>
      <c r="I174" s="97"/>
      <c r="J174" s="99"/>
      <c r="K174" s="99"/>
      <c r="L174" s="99"/>
      <c r="M174" s="97">
        <f t="shared" si="4"/>
        <v>0</v>
      </c>
      <c r="N174" s="97">
        <f t="shared" si="5"/>
        <v>221</v>
      </c>
      <c r="O174" s="97"/>
    </row>
    <row r="175" spans="1:15" x14ac:dyDescent="0.3">
      <c r="A175" s="96" t="s">
        <v>55</v>
      </c>
      <c r="B175" s="97" t="s">
        <v>66</v>
      </c>
      <c r="C175" s="97" t="s">
        <v>226</v>
      </c>
      <c r="D175" s="97">
        <v>153</v>
      </c>
      <c r="E175" s="97"/>
      <c r="F175" s="97"/>
      <c r="G175" s="97" t="s">
        <v>38</v>
      </c>
      <c r="H175" s="97"/>
      <c r="I175" s="97"/>
      <c r="J175" s="99"/>
      <c r="K175" s="99">
        <f>VLOOKUP(C175,'[1]2026.3'!$C$3:$Q$379,14,0)</f>
        <v>46048</v>
      </c>
      <c r="L175" s="99">
        <f>VLOOKUP(C175,'[1]2026.3'!$C$3:$Q$379,15,0)</f>
        <v>46413</v>
      </c>
      <c r="M175" s="97">
        <f t="shared" si="4"/>
        <v>153</v>
      </c>
      <c r="N175" s="97">
        <f t="shared" si="5"/>
        <v>0</v>
      </c>
      <c r="O175" s="97"/>
    </row>
    <row r="176" spans="1:15" x14ac:dyDescent="0.3">
      <c r="A176" s="96" t="s">
        <v>55</v>
      </c>
      <c r="B176" s="97" t="s">
        <v>66</v>
      </c>
      <c r="C176" s="97" t="s">
        <v>227</v>
      </c>
      <c r="D176" s="97">
        <v>219</v>
      </c>
      <c r="E176" s="97"/>
      <c r="F176" s="97"/>
      <c r="G176" s="97" t="s">
        <v>38</v>
      </c>
      <c r="H176" s="97"/>
      <c r="I176" s="97"/>
      <c r="J176" s="99"/>
      <c r="K176" s="99">
        <f>VLOOKUP(C176,'[1]2026.3'!$C$3:$Q$379,14,0)</f>
        <v>46048</v>
      </c>
      <c r="L176" s="99">
        <f>VLOOKUP(C176,'[1]2026.3'!$C$3:$Q$379,15,0)</f>
        <v>46413</v>
      </c>
      <c r="M176" s="97">
        <f t="shared" si="4"/>
        <v>219</v>
      </c>
      <c r="N176" s="97">
        <f t="shared" si="5"/>
        <v>0</v>
      </c>
      <c r="O176" s="97"/>
    </row>
    <row r="177" spans="1:16" x14ac:dyDescent="0.3">
      <c r="A177" s="96" t="s">
        <v>55</v>
      </c>
      <c r="B177" s="97" t="s">
        <v>66</v>
      </c>
      <c r="C177" s="97" t="s">
        <v>228</v>
      </c>
      <c r="D177" s="97">
        <v>132</v>
      </c>
      <c r="E177" s="97"/>
      <c r="F177" s="97"/>
      <c r="G177" s="97" t="s">
        <v>38</v>
      </c>
      <c r="H177" s="97"/>
      <c r="I177" s="97" t="s">
        <v>76</v>
      </c>
      <c r="J177" s="99">
        <v>46100</v>
      </c>
      <c r="K177" s="99">
        <v>46113</v>
      </c>
      <c r="L177" s="99">
        <v>46843</v>
      </c>
      <c r="M177" s="97">
        <v>132</v>
      </c>
      <c r="N177" s="97">
        <f t="shared" si="5"/>
        <v>0</v>
      </c>
      <c r="O177" s="97" t="s">
        <v>229</v>
      </c>
      <c r="P177" t="s">
        <v>230</v>
      </c>
    </row>
    <row r="178" spans="1:16" x14ac:dyDescent="0.3">
      <c r="A178" s="96" t="s">
        <v>55</v>
      </c>
      <c r="B178" s="97" t="s">
        <v>66</v>
      </c>
      <c r="C178" s="97" t="s">
        <v>231</v>
      </c>
      <c r="D178" s="97">
        <v>200</v>
      </c>
      <c r="E178" s="97"/>
      <c r="F178" s="97"/>
      <c r="G178" s="97" t="s">
        <v>38</v>
      </c>
      <c r="H178" s="97"/>
      <c r="I178" s="97"/>
      <c r="J178" s="99">
        <v>46098</v>
      </c>
      <c r="K178" s="99"/>
      <c r="L178" s="99"/>
      <c r="M178" s="97">
        <f t="shared" ref="M178:M241" si="6">IF(G178="已租",D178,0)</f>
        <v>200</v>
      </c>
      <c r="N178" s="97">
        <f t="shared" si="5"/>
        <v>0</v>
      </c>
      <c r="O178" s="97"/>
    </row>
    <row r="179" spans="1:16" x14ac:dyDescent="0.3">
      <c r="A179" s="96" t="s">
        <v>55</v>
      </c>
      <c r="B179" s="97" t="s">
        <v>66</v>
      </c>
      <c r="C179" s="97" t="s">
        <v>232</v>
      </c>
      <c r="D179" s="97">
        <v>138</v>
      </c>
      <c r="E179" s="97"/>
      <c r="F179" s="97"/>
      <c r="G179" s="97" t="s">
        <v>38</v>
      </c>
      <c r="H179" s="97"/>
      <c r="I179" s="97"/>
      <c r="J179" s="99">
        <f>VLOOKUP(C179,'[1]2026.3'!$C$3:$Q$379,13,0)</f>
        <v>46022</v>
      </c>
      <c r="K179" s="99">
        <f>VLOOKUP(C179,'[1]2026.3'!$C$3:$Q$379,14,0)</f>
        <v>46023</v>
      </c>
      <c r="L179" s="99">
        <f>VLOOKUP(C179,'[1]2026.3'!$C$3:$Q$379,15,0)</f>
        <v>47118</v>
      </c>
      <c r="M179" s="97">
        <f t="shared" si="6"/>
        <v>138</v>
      </c>
      <c r="N179" s="97">
        <f t="shared" si="5"/>
        <v>0</v>
      </c>
      <c r="O179" s="97"/>
    </row>
    <row r="180" spans="1:16" x14ac:dyDescent="0.3">
      <c r="A180" s="96" t="s">
        <v>55</v>
      </c>
      <c r="B180" s="97" t="s">
        <v>66</v>
      </c>
      <c r="C180" s="97" t="s">
        <v>233</v>
      </c>
      <c r="D180" s="97">
        <v>167</v>
      </c>
      <c r="E180" s="97"/>
      <c r="F180" s="97"/>
      <c r="G180" s="97" t="s">
        <v>38</v>
      </c>
      <c r="H180" s="97"/>
      <c r="I180" s="97" t="s">
        <v>234</v>
      </c>
      <c r="J180" s="99" t="s">
        <v>235</v>
      </c>
      <c r="K180" s="99" t="s">
        <v>236</v>
      </c>
      <c r="L180" s="99" t="s">
        <v>237</v>
      </c>
      <c r="M180" s="97">
        <f t="shared" si="6"/>
        <v>167</v>
      </c>
      <c r="N180" s="97">
        <f t="shared" si="5"/>
        <v>0</v>
      </c>
      <c r="O180" s="97"/>
    </row>
    <row r="181" spans="1:16" x14ac:dyDescent="0.3">
      <c r="A181" s="96" t="s">
        <v>55</v>
      </c>
      <c r="B181" s="97" t="s">
        <v>66</v>
      </c>
      <c r="C181" s="97" t="s">
        <v>238</v>
      </c>
      <c r="D181" s="97">
        <v>352</v>
      </c>
      <c r="E181" s="97"/>
      <c r="F181" s="97"/>
      <c r="G181" s="97" t="s">
        <v>38</v>
      </c>
      <c r="H181" s="97"/>
      <c r="I181" s="97"/>
      <c r="J181" s="99"/>
      <c r="K181" s="99">
        <f>VLOOKUP(C181,'[1]2026.3'!$C$3:$Q$379,14,0)</f>
        <v>46042</v>
      </c>
      <c r="L181" s="99">
        <f>VLOOKUP(C181,'[1]2026.3'!$C$3:$Q$379,15,0)</f>
        <v>46771</v>
      </c>
      <c r="M181" s="97">
        <f t="shared" si="6"/>
        <v>352</v>
      </c>
      <c r="N181" s="97">
        <f t="shared" si="5"/>
        <v>0</v>
      </c>
      <c r="O181" s="97"/>
    </row>
    <row r="182" spans="1:16" ht="58" customHeight="1" x14ac:dyDescent="0.3">
      <c r="A182" s="96" t="s">
        <v>55</v>
      </c>
      <c r="B182" s="97" t="s">
        <v>66</v>
      </c>
      <c r="C182" s="97" t="s">
        <v>239</v>
      </c>
      <c r="D182" s="97">
        <v>2660</v>
      </c>
      <c r="E182" s="97"/>
      <c r="F182" s="97"/>
      <c r="G182" s="97" t="s">
        <v>38</v>
      </c>
      <c r="H182" s="97"/>
      <c r="I182" s="97" t="s">
        <v>240</v>
      </c>
      <c r="J182" s="99"/>
      <c r="K182" s="99">
        <f>VLOOKUP(C182,'[1]2026.3'!$C$3:$Q$381,14,0)</f>
        <v>46023</v>
      </c>
      <c r="L182" s="99">
        <f>VLOOKUP(C182,'[1]2026.3'!$C$3:$Q$381,15,0)</f>
        <v>47118</v>
      </c>
      <c r="M182" s="97">
        <f t="shared" si="6"/>
        <v>2660</v>
      </c>
      <c r="N182" s="97">
        <f t="shared" si="5"/>
        <v>0</v>
      </c>
      <c r="O182" s="97"/>
    </row>
    <row r="183" spans="1:16" x14ac:dyDescent="0.3">
      <c r="A183" s="96" t="s">
        <v>55</v>
      </c>
      <c r="B183" s="97" t="s">
        <v>36</v>
      </c>
      <c r="C183" s="97" t="s">
        <v>241</v>
      </c>
      <c r="D183" s="97">
        <v>65</v>
      </c>
      <c r="E183" s="97"/>
      <c r="F183" s="97"/>
      <c r="G183" s="97" t="s">
        <v>74</v>
      </c>
      <c r="H183" s="97"/>
      <c r="I183" s="97"/>
      <c r="J183" s="99"/>
      <c r="K183" s="99"/>
      <c r="L183" s="99"/>
      <c r="M183" s="97">
        <f t="shared" si="6"/>
        <v>0</v>
      </c>
      <c r="N183" s="97">
        <f t="shared" si="5"/>
        <v>65</v>
      </c>
      <c r="O183" s="97"/>
    </row>
    <row r="184" spans="1:16" x14ac:dyDescent="0.3">
      <c r="A184" s="96" t="s">
        <v>55</v>
      </c>
      <c r="B184" s="97" t="s">
        <v>36</v>
      </c>
      <c r="C184" s="97" t="s">
        <v>242</v>
      </c>
      <c r="D184" s="97">
        <v>114</v>
      </c>
      <c r="E184" s="97"/>
      <c r="F184" s="97"/>
      <c r="G184" s="97" t="s">
        <v>74</v>
      </c>
      <c r="H184" s="97" t="s">
        <v>82</v>
      </c>
      <c r="I184" s="97"/>
      <c r="J184" s="99"/>
      <c r="K184" s="99"/>
      <c r="L184" s="99"/>
      <c r="M184" s="97">
        <f t="shared" si="6"/>
        <v>0</v>
      </c>
      <c r="N184" s="97">
        <f t="shared" si="5"/>
        <v>114</v>
      </c>
      <c r="O184" s="97" t="s">
        <v>191</v>
      </c>
      <c r="P184" t="s">
        <v>192</v>
      </c>
    </row>
    <row r="185" spans="1:16" x14ac:dyDescent="0.3">
      <c r="A185" s="96" t="s">
        <v>55</v>
      </c>
      <c r="B185" s="97" t="s">
        <v>36</v>
      </c>
      <c r="C185" s="97" t="s">
        <v>243</v>
      </c>
      <c r="D185" s="97">
        <v>46</v>
      </c>
      <c r="E185" s="97"/>
      <c r="F185" s="97"/>
      <c r="G185" s="97" t="s">
        <v>38</v>
      </c>
      <c r="H185" s="97"/>
      <c r="I185" s="97"/>
      <c r="J185" s="99">
        <f>VLOOKUP(C185,'[1]2026.3'!$C$3:$Q$379,13,0)</f>
        <v>45952</v>
      </c>
      <c r="K185" s="99">
        <f>VLOOKUP(C185,'[1]2026.3'!$C$3:$Q$379,14,0)</f>
        <v>45962</v>
      </c>
      <c r="L185" s="99">
        <f>VLOOKUP(C185,'[1]2026.3'!$C$3:$Q$379,15,0)</f>
        <v>47057</v>
      </c>
      <c r="M185" s="97">
        <f t="shared" si="6"/>
        <v>46</v>
      </c>
      <c r="N185" s="97">
        <f t="shared" si="5"/>
        <v>0</v>
      </c>
      <c r="O185" s="97"/>
    </row>
    <row r="186" spans="1:16" x14ac:dyDescent="0.3">
      <c r="A186" s="96" t="s">
        <v>55</v>
      </c>
      <c r="B186" s="97" t="s">
        <v>36</v>
      </c>
      <c r="C186" s="97" t="s">
        <v>244</v>
      </c>
      <c r="D186" s="97">
        <v>46</v>
      </c>
      <c r="E186" s="97"/>
      <c r="F186" s="97"/>
      <c r="G186" s="97" t="s">
        <v>38</v>
      </c>
      <c r="H186" s="97"/>
      <c r="I186" s="97"/>
      <c r="J186" s="99">
        <f>VLOOKUP(C186,'[1]2026.3'!$C$3:$Q$379,13,0)</f>
        <v>45952</v>
      </c>
      <c r="K186" s="99">
        <f>VLOOKUP(C186,'[1]2026.3'!$C$3:$Q$379,14,0)</f>
        <v>45962</v>
      </c>
      <c r="L186" s="99">
        <f>VLOOKUP(C186,'[1]2026.3'!$C$3:$Q$379,15,0)</f>
        <v>47057</v>
      </c>
      <c r="M186" s="97">
        <f t="shared" si="6"/>
        <v>46</v>
      </c>
      <c r="N186" s="97">
        <f t="shared" si="5"/>
        <v>0</v>
      </c>
      <c r="O186" s="97"/>
    </row>
    <row r="187" spans="1:16" x14ac:dyDescent="0.3">
      <c r="A187" s="96" t="s">
        <v>55</v>
      </c>
      <c r="B187" s="97" t="s">
        <v>36</v>
      </c>
      <c r="C187" s="97" t="s">
        <v>245</v>
      </c>
      <c r="D187" s="97">
        <v>46</v>
      </c>
      <c r="E187" s="97"/>
      <c r="F187" s="97"/>
      <c r="G187" s="97" t="s">
        <v>38</v>
      </c>
      <c r="H187" s="97"/>
      <c r="I187" s="97"/>
      <c r="J187" s="99">
        <f>VLOOKUP(C187,'[1]2026.3'!$C$3:$Q$379,13,0)</f>
        <v>45952</v>
      </c>
      <c r="K187" s="99">
        <f>VLOOKUP(C187,'[1]2026.3'!$C$3:$Q$379,14,0)</f>
        <v>45962</v>
      </c>
      <c r="L187" s="99">
        <f>VLOOKUP(C187,'[1]2026.3'!$C$3:$Q$379,15,0)</f>
        <v>47057</v>
      </c>
      <c r="M187" s="97">
        <f t="shared" si="6"/>
        <v>46</v>
      </c>
      <c r="N187" s="97">
        <f t="shared" si="5"/>
        <v>0</v>
      </c>
      <c r="O187" s="97"/>
    </row>
    <row r="188" spans="1:16" x14ac:dyDescent="0.3">
      <c r="A188" s="96" t="s">
        <v>55</v>
      </c>
      <c r="B188" s="97" t="s">
        <v>36</v>
      </c>
      <c r="C188" s="97" t="s">
        <v>246</v>
      </c>
      <c r="D188" s="97">
        <v>46</v>
      </c>
      <c r="E188" s="97"/>
      <c r="F188" s="97"/>
      <c r="G188" s="97" t="s">
        <v>38</v>
      </c>
      <c r="H188" s="97"/>
      <c r="I188" s="97"/>
      <c r="J188" s="99">
        <f>VLOOKUP(C188,'[1]2026.3'!$C$3:$Q$379,13,0)</f>
        <v>45952</v>
      </c>
      <c r="K188" s="99">
        <f>VLOOKUP(C188,'[1]2026.3'!$C$3:$Q$379,14,0)</f>
        <v>45962</v>
      </c>
      <c r="L188" s="99">
        <f>VLOOKUP(C188,'[1]2026.3'!$C$3:$Q$379,15,0)</f>
        <v>47057</v>
      </c>
      <c r="M188" s="97">
        <f t="shared" si="6"/>
        <v>46</v>
      </c>
      <c r="N188" s="97">
        <f t="shared" si="5"/>
        <v>0</v>
      </c>
      <c r="O188" s="97"/>
    </row>
    <row r="189" spans="1:16" x14ac:dyDescent="0.3">
      <c r="A189" s="96" t="s">
        <v>55</v>
      </c>
      <c r="B189" s="97" t="s">
        <v>36</v>
      </c>
      <c r="C189" s="97" t="s">
        <v>247</v>
      </c>
      <c r="D189" s="97">
        <v>46</v>
      </c>
      <c r="E189" s="97"/>
      <c r="F189" s="97"/>
      <c r="G189" s="97" t="s">
        <v>74</v>
      </c>
      <c r="H189" s="97"/>
      <c r="I189" s="97"/>
      <c r="J189" s="99"/>
      <c r="K189" s="99"/>
      <c r="L189" s="99"/>
      <c r="M189" s="97">
        <f t="shared" si="6"/>
        <v>0</v>
      </c>
      <c r="N189" s="97">
        <f t="shared" si="5"/>
        <v>46</v>
      </c>
      <c r="O189" s="97"/>
    </row>
    <row r="190" spans="1:16" x14ac:dyDescent="0.3">
      <c r="A190" s="96" t="s">
        <v>55</v>
      </c>
      <c r="B190" s="97" t="s">
        <v>36</v>
      </c>
      <c r="C190" s="97" t="s">
        <v>248</v>
      </c>
      <c r="D190" s="97">
        <v>46</v>
      </c>
      <c r="E190" s="97"/>
      <c r="F190" s="97"/>
      <c r="G190" s="97" t="s">
        <v>74</v>
      </c>
      <c r="H190" s="97"/>
      <c r="I190" s="97"/>
      <c r="J190" s="99"/>
      <c r="K190" s="99"/>
      <c r="L190" s="99"/>
      <c r="M190" s="97">
        <f t="shared" si="6"/>
        <v>0</v>
      </c>
      <c r="N190" s="97">
        <f t="shared" si="5"/>
        <v>46</v>
      </c>
      <c r="O190" s="97"/>
    </row>
    <row r="191" spans="1:16" x14ac:dyDescent="0.3">
      <c r="A191" s="96" t="s">
        <v>55</v>
      </c>
      <c r="B191" s="97" t="s">
        <v>36</v>
      </c>
      <c r="C191" s="97" t="s">
        <v>249</v>
      </c>
      <c r="D191" s="97">
        <v>46</v>
      </c>
      <c r="E191" s="97"/>
      <c r="F191" s="97"/>
      <c r="G191" s="97" t="s">
        <v>74</v>
      </c>
      <c r="H191" s="97"/>
      <c r="I191" s="97"/>
      <c r="J191" s="99"/>
      <c r="K191" s="99"/>
      <c r="L191" s="99"/>
      <c r="M191" s="97">
        <f t="shared" si="6"/>
        <v>0</v>
      </c>
      <c r="N191" s="97">
        <f t="shared" si="5"/>
        <v>46</v>
      </c>
      <c r="O191" s="97"/>
    </row>
    <row r="192" spans="1:16" x14ac:dyDescent="0.3">
      <c r="A192" s="96" t="s">
        <v>55</v>
      </c>
      <c r="B192" s="97" t="s">
        <v>36</v>
      </c>
      <c r="C192" s="97" t="s">
        <v>250</v>
      </c>
      <c r="D192" s="97">
        <v>46</v>
      </c>
      <c r="E192" s="97"/>
      <c r="F192" s="97"/>
      <c r="G192" s="97" t="s">
        <v>74</v>
      </c>
      <c r="H192" s="97"/>
      <c r="I192" s="97"/>
      <c r="J192" s="99"/>
      <c r="K192" s="99"/>
      <c r="L192" s="99"/>
      <c r="M192" s="97">
        <f t="shared" si="6"/>
        <v>0</v>
      </c>
      <c r="N192" s="97">
        <f t="shared" si="5"/>
        <v>46</v>
      </c>
      <c r="O192" s="97"/>
    </row>
    <row r="193" spans="1:15" x14ac:dyDescent="0.3">
      <c r="A193" s="96" t="s">
        <v>55</v>
      </c>
      <c r="B193" s="97" t="s">
        <v>36</v>
      </c>
      <c r="C193" s="97" t="s">
        <v>251</v>
      </c>
      <c r="D193" s="97">
        <v>46</v>
      </c>
      <c r="E193" s="97"/>
      <c r="F193" s="97"/>
      <c r="G193" s="97" t="s">
        <v>74</v>
      </c>
      <c r="H193" s="97"/>
      <c r="I193" s="97"/>
      <c r="J193" s="99"/>
      <c r="K193" s="99"/>
      <c r="L193" s="99"/>
      <c r="M193" s="97">
        <f t="shared" si="6"/>
        <v>0</v>
      </c>
      <c r="N193" s="97">
        <f t="shared" si="5"/>
        <v>46</v>
      </c>
      <c r="O193" s="97"/>
    </row>
    <row r="194" spans="1:15" x14ac:dyDescent="0.3">
      <c r="A194" s="96" t="s">
        <v>55</v>
      </c>
      <c r="B194" s="97" t="s">
        <v>36</v>
      </c>
      <c r="C194" s="98" t="s">
        <v>252</v>
      </c>
      <c r="D194" s="97">
        <v>46</v>
      </c>
      <c r="E194" s="97"/>
      <c r="F194" s="97"/>
      <c r="G194" s="97" t="s">
        <v>38</v>
      </c>
      <c r="H194" s="97"/>
      <c r="I194" s="97"/>
      <c r="J194" s="99">
        <f>VLOOKUP(C194,'[1]2026.3'!$C$3:$Q$379,13,0)</f>
        <v>45931</v>
      </c>
      <c r="K194" s="99">
        <f>VLOOKUP(C194,'[1]2026.3'!$C$3:$Q$379,14,0)</f>
        <v>45931</v>
      </c>
      <c r="L194" s="99">
        <f>VLOOKUP(C194,'[1]2026.3'!$C$3:$Q$379,15,0)</f>
        <v>47026</v>
      </c>
      <c r="M194" s="97">
        <f t="shared" si="6"/>
        <v>46</v>
      </c>
      <c r="N194" s="97">
        <f t="shared" ref="N194:N257" si="7">IF(G194="未出租",D194,0)</f>
        <v>0</v>
      </c>
      <c r="O194" s="97"/>
    </row>
    <row r="195" spans="1:15" x14ac:dyDescent="0.3">
      <c r="A195" s="96" t="s">
        <v>55</v>
      </c>
      <c r="B195" s="97" t="s">
        <v>36</v>
      </c>
      <c r="C195" s="98" t="s">
        <v>252</v>
      </c>
      <c r="D195" s="97">
        <v>56</v>
      </c>
      <c r="E195" s="97"/>
      <c r="F195" s="97"/>
      <c r="G195" s="97" t="s">
        <v>38</v>
      </c>
      <c r="H195" s="97"/>
      <c r="I195" s="97"/>
      <c r="J195" s="99">
        <f>VLOOKUP(C195,'[1]2026.3'!$C$3:$Q$379,13,0)</f>
        <v>45931</v>
      </c>
      <c r="K195" s="99">
        <f>VLOOKUP(C195,'[1]2026.3'!$C$3:$Q$379,14,0)</f>
        <v>45931</v>
      </c>
      <c r="L195" s="99">
        <f>VLOOKUP(C195,'[1]2026.3'!$C$3:$Q$379,15,0)</f>
        <v>47026</v>
      </c>
      <c r="M195" s="97">
        <f t="shared" si="6"/>
        <v>56</v>
      </c>
      <c r="N195" s="97">
        <f t="shared" si="7"/>
        <v>0</v>
      </c>
      <c r="O195" s="97"/>
    </row>
    <row r="196" spans="1:15" x14ac:dyDescent="0.3">
      <c r="A196" s="96" t="s">
        <v>55</v>
      </c>
      <c r="B196" s="97" t="s">
        <v>36</v>
      </c>
      <c r="C196" s="98" t="s">
        <v>252</v>
      </c>
      <c r="D196" s="97">
        <v>56</v>
      </c>
      <c r="E196" s="97"/>
      <c r="F196" s="97"/>
      <c r="G196" s="97" t="s">
        <v>38</v>
      </c>
      <c r="H196" s="97"/>
      <c r="I196" s="97"/>
      <c r="J196" s="99">
        <f>VLOOKUP(C196,'[1]2026.3'!$C$3:$Q$379,13,0)</f>
        <v>45931</v>
      </c>
      <c r="K196" s="99">
        <f>VLOOKUP(C196,'[1]2026.3'!$C$3:$Q$379,14,0)</f>
        <v>45931</v>
      </c>
      <c r="L196" s="99">
        <f>VLOOKUP(C196,'[1]2026.3'!$C$3:$Q$379,15,0)</f>
        <v>47026</v>
      </c>
      <c r="M196" s="97">
        <f t="shared" si="6"/>
        <v>56</v>
      </c>
      <c r="N196" s="97">
        <f t="shared" si="7"/>
        <v>0</v>
      </c>
      <c r="O196" s="97"/>
    </row>
    <row r="197" spans="1:15" x14ac:dyDescent="0.3">
      <c r="A197" s="96" t="s">
        <v>55</v>
      </c>
      <c r="B197" s="97" t="s">
        <v>36</v>
      </c>
      <c r="C197" s="97" t="s">
        <v>253</v>
      </c>
      <c r="D197" s="97">
        <v>46</v>
      </c>
      <c r="E197" s="97"/>
      <c r="F197" s="97"/>
      <c r="G197" s="97" t="s">
        <v>74</v>
      </c>
      <c r="H197" s="97"/>
      <c r="I197" s="97"/>
      <c r="J197" s="99"/>
      <c r="K197" s="99"/>
      <c r="L197" s="99"/>
      <c r="M197" s="97">
        <f t="shared" si="6"/>
        <v>0</v>
      </c>
      <c r="N197" s="97">
        <f t="shared" si="7"/>
        <v>46</v>
      </c>
      <c r="O197" s="97"/>
    </row>
    <row r="198" spans="1:15" x14ac:dyDescent="0.3">
      <c r="A198" s="96" t="s">
        <v>55</v>
      </c>
      <c r="B198" s="97" t="s">
        <v>36</v>
      </c>
      <c r="C198" s="97" t="s">
        <v>254</v>
      </c>
      <c r="D198" s="97">
        <v>46</v>
      </c>
      <c r="E198" s="97"/>
      <c r="F198" s="97"/>
      <c r="G198" s="97" t="s">
        <v>74</v>
      </c>
      <c r="H198" s="97"/>
      <c r="I198" s="97"/>
      <c r="J198" s="99"/>
      <c r="K198" s="99"/>
      <c r="L198" s="99"/>
      <c r="M198" s="97">
        <f t="shared" si="6"/>
        <v>0</v>
      </c>
      <c r="N198" s="97">
        <f t="shared" si="7"/>
        <v>46</v>
      </c>
      <c r="O198" s="97"/>
    </row>
    <row r="199" spans="1:15" x14ac:dyDescent="0.3">
      <c r="A199" s="96" t="s">
        <v>55</v>
      </c>
      <c r="B199" s="97" t="s">
        <v>36</v>
      </c>
      <c r="C199" s="97" t="s">
        <v>255</v>
      </c>
      <c r="D199" s="97">
        <v>46</v>
      </c>
      <c r="E199" s="97"/>
      <c r="F199" s="97"/>
      <c r="G199" s="97" t="s">
        <v>74</v>
      </c>
      <c r="H199" s="97"/>
      <c r="I199" s="97"/>
      <c r="J199" s="99"/>
      <c r="K199" s="99"/>
      <c r="L199" s="99"/>
      <c r="M199" s="97">
        <f t="shared" si="6"/>
        <v>0</v>
      </c>
      <c r="N199" s="97">
        <f t="shared" si="7"/>
        <v>46</v>
      </c>
      <c r="O199" s="97"/>
    </row>
    <row r="200" spans="1:15" x14ac:dyDescent="0.3">
      <c r="A200" s="96" t="s">
        <v>55</v>
      </c>
      <c r="B200" s="97" t="s">
        <v>36</v>
      </c>
      <c r="C200" s="97" t="s">
        <v>256</v>
      </c>
      <c r="D200" s="97">
        <v>46</v>
      </c>
      <c r="E200" s="97"/>
      <c r="F200" s="97"/>
      <c r="G200" s="97" t="s">
        <v>74</v>
      </c>
      <c r="H200" s="97"/>
      <c r="I200" s="97"/>
      <c r="J200" s="99"/>
      <c r="K200" s="99"/>
      <c r="L200" s="99"/>
      <c r="M200" s="97">
        <f t="shared" si="6"/>
        <v>0</v>
      </c>
      <c r="N200" s="97">
        <f t="shared" si="7"/>
        <v>46</v>
      </c>
      <c r="O200" s="97"/>
    </row>
    <row r="201" spans="1:15" x14ac:dyDescent="0.3">
      <c r="A201" s="96" t="s">
        <v>55</v>
      </c>
      <c r="B201" s="97" t="s">
        <v>36</v>
      </c>
      <c r="C201" s="97" t="s">
        <v>257</v>
      </c>
      <c r="D201" s="97">
        <v>46</v>
      </c>
      <c r="E201" s="97"/>
      <c r="F201" s="97"/>
      <c r="G201" s="97" t="s">
        <v>74</v>
      </c>
      <c r="H201" s="97"/>
      <c r="I201" s="97"/>
      <c r="J201" s="99"/>
      <c r="K201" s="99"/>
      <c r="L201" s="99"/>
      <c r="M201" s="97">
        <f t="shared" si="6"/>
        <v>0</v>
      </c>
      <c r="N201" s="97">
        <f t="shared" si="7"/>
        <v>46</v>
      </c>
      <c r="O201" s="97"/>
    </row>
    <row r="202" spans="1:15" x14ac:dyDescent="0.3">
      <c r="A202" s="96" t="s">
        <v>55</v>
      </c>
      <c r="B202" s="97" t="s">
        <v>36</v>
      </c>
      <c r="C202" s="98" t="s">
        <v>258</v>
      </c>
      <c r="D202" s="97">
        <v>92</v>
      </c>
      <c r="E202" s="97"/>
      <c r="F202" s="97"/>
      <c r="G202" s="97" t="s">
        <v>74</v>
      </c>
      <c r="H202" s="97"/>
      <c r="I202" s="97"/>
      <c r="J202" s="99"/>
      <c r="K202" s="99"/>
      <c r="L202" s="99"/>
      <c r="M202" s="97">
        <f t="shared" si="6"/>
        <v>0</v>
      </c>
      <c r="N202" s="97">
        <f t="shared" si="7"/>
        <v>92</v>
      </c>
      <c r="O202" s="97"/>
    </row>
    <row r="203" spans="1:15" x14ac:dyDescent="0.3">
      <c r="A203" s="96" t="s">
        <v>55</v>
      </c>
      <c r="B203" s="97" t="s">
        <v>36</v>
      </c>
      <c r="C203" s="97" t="s">
        <v>259</v>
      </c>
      <c r="D203" s="97">
        <v>46</v>
      </c>
      <c r="E203" s="97"/>
      <c r="F203" s="97"/>
      <c r="G203" s="97" t="s">
        <v>38</v>
      </c>
      <c r="H203" s="97"/>
      <c r="I203" s="97"/>
      <c r="J203" s="99">
        <f>VLOOKUP(C203,'[1]2026.3'!$C$3:$Q$379,13,0)</f>
        <v>45954</v>
      </c>
      <c r="K203" s="99">
        <f>VLOOKUP(C203,'[1]2026.3'!$C$3:$Q$379,14,0)</f>
        <v>45870</v>
      </c>
      <c r="L203" s="99">
        <f>VLOOKUP(C203,'[1]2026.3'!$C$3:$Q$379,15,0)</f>
        <v>46965</v>
      </c>
      <c r="M203" s="97">
        <f t="shared" si="6"/>
        <v>46</v>
      </c>
      <c r="N203" s="97">
        <f t="shared" si="7"/>
        <v>0</v>
      </c>
      <c r="O203" s="97"/>
    </row>
    <row r="204" spans="1:15" x14ac:dyDescent="0.3">
      <c r="A204" s="96" t="s">
        <v>55</v>
      </c>
      <c r="B204" s="97" t="s">
        <v>36</v>
      </c>
      <c r="C204" s="97" t="s">
        <v>260</v>
      </c>
      <c r="D204" s="97">
        <v>150</v>
      </c>
      <c r="E204" s="97"/>
      <c r="F204" s="97"/>
      <c r="G204" s="97" t="s">
        <v>38</v>
      </c>
      <c r="H204" s="97"/>
      <c r="I204" s="97"/>
      <c r="J204" s="99">
        <f>VLOOKUP(C204,'[1]2026.3'!$C$3:$Q$379,13,0)</f>
        <v>45931</v>
      </c>
      <c r="K204" s="99">
        <f>VLOOKUP(C204,'[1]2026.3'!$C$3:$Q$379,14,0)</f>
        <v>45931</v>
      </c>
      <c r="L204" s="99">
        <f>VLOOKUP(C204,'[1]2026.3'!$C$3:$Q$379,15,0)</f>
        <v>47026</v>
      </c>
      <c r="M204" s="97">
        <f t="shared" si="6"/>
        <v>150</v>
      </c>
      <c r="N204" s="97">
        <f t="shared" si="7"/>
        <v>0</v>
      </c>
      <c r="O204" s="97"/>
    </row>
    <row r="205" spans="1:15" x14ac:dyDescent="0.3">
      <c r="A205" s="96" t="s">
        <v>55</v>
      </c>
      <c r="B205" s="97" t="s">
        <v>36</v>
      </c>
      <c r="C205" s="98" t="s">
        <v>261</v>
      </c>
      <c r="D205" s="97">
        <v>46</v>
      </c>
      <c r="E205" s="97"/>
      <c r="F205" s="97"/>
      <c r="G205" s="97" t="s">
        <v>38</v>
      </c>
      <c r="H205" s="97"/>
      <c r="I205" s="97"/>
      <c r="J205" s="99">
        <f>VLOOKUP(C205,'[1]2026.3'!$C$3:$Q$379,13,0)</f>
        <v>46044</v>
      </c>
      <c r="K205" s="99">
        <f>VLOOKUP(C205,'[1]2026.3'!$C$3:$Q$379,14,0)</f>
        <v>46054</v>
      </c>
      <c r="L205" s="99">
        <f>VLOOKUP(C205,'[1]2026.3'!$C$3:$Q$379,15,0)</f>
        <v>47149</v>
      </c>
      <c r="M205" s="97">
        <f t="shared" si="6"/>
        <v>46</v>
      </c>
      <c r="N205" s="97">
        <f t="shared" si="7"/>
        <v>0</v>
      </c>
      <c r="O205" s="97"/>
    </row>
    <row r="206" spans="1:15" x14ac:dyDescent="0.3">
      <c r="A206" s="96" t="s">
        <v>55</v>
      </c>
      <c r="B206" s="97" t="s">
        <v>36</v>
      </c>
      <c r="C206" s="98" t="s">
        <v>261</v>
      </c>
      <c r="D206" s="97">
        <v>46</v>
      </c>
      <c r="E206" s="97"/>
      <c r="F206" s="97"/>
      <c r="G206" s="97" t="s">
        <v>38</v>
      </c>
      <c r="H206" s="97"/>
      <c r="I206" s="97"/>
      <c r="J206" s="99">
        <f>VLOOKUP(C206,'[1]2026.3'!$C$3:$Q$379,13,0)</f>
        <v>46044</v>
      </c>
      <c r="K206" s="99">
        <f>VLOOKUP(C206,'[1]2026.3'!$C$3:$Q$379,14,0)</f>
        <v>46054</v>
      </c>
      <c r="L206" s="99">
        <f>VLOOKUP(C206,'[1]2026.3'!$C$3:$Q$379,15,0)</f>
        <v>47149</v>
      </c>
      <c r="M206" s="97">
        <f t="shared" si="6"/>
        <v>46</v>
      </c>
      <c r="N206" s="97">
        <f t="shared" si="7"/>
        <v>0</v>
      </c>
      <c r="O206" s="97"/>
    </row>
    <row r="207" spans="1:15" x14ac:dyDescent="0.3">
      <c r="A207" s="96" t="s">
        <v>55</v>
      </c>
      <c r="B207" s="97" t="s">
        <v>36</v>
      </c>
      <c r="C207" s="98" t="s">
        <v>261</v>
      </c>
      <c r="D207" s="97">
        <v>46</v>
      </c>
      <c r="E207" s="97"/>
      <c r="F207" s="97"/>
      <c r="G207" s="97" t="s">
        <v>38</v>
      </c>
      <c r="H207" s="97"/>
      <c r="I207" s="97"/>
      <c r="J207" s="99">
        <f>VLOOKUP(C207,'[1]2026.3'!$C$3:$Q$379,13,0)</f>
        <v>46044</v>
      </c>
      <c r="K207" s="99">
        <f>VLOOKUP(C207,'[1]2026.3'!$C$3:$Q$379,14,0)</f>
        <v>46054</v>
      </c>
      <c r="L207" s="99">
        <f>VLOOKUP(C207,'[1]2026.3'!$C$3:$Q$379,15,0)</f>
        <v>47149</v>
      </c>
      <c r="M207" s="97">
        <f t="shared" si="6"/>
        <v>46</v>
      </c>
      <c r="N207" s="97">
        <f t="shared" si="7"/>
        <v>0</v>
      </c>
      <c r="O207" s="97"/>
    </row>
    <row r="208" spans="1:15" x14ac:dyDescent="0.3">
      <c r="A208" s="96" t="s">
        <v>55</v>
      </c>
      <c r="B208" s="97" t="s">
        <v>36</v>
      </c>
      <c r="C208" s="97" t="s">
        <v>262</v>
      </c>
      <c r="D208" s="97">
        <v>46</v>
      </c>
      <c r="E208" s="97"/>
      <c r="F208" s="97"/>
      <c r="G208" s="97" t="s">
        <v>74</v>
      </c>
      <c r="H208" s="97"/>
      <c r="I208" s="97"/>
      <c r="J208" s="99"/>
      <c r="K208" s="99"/>
      <c r="L208" s="99"/>
      <c r="M208" s="97">
        <f t="shared" si="6"/>
        <v>0</v>
      </c>
      <c r="N208" s="97">
        <f t="shared" si="7"/>
        <v>46</v>
      </c>
      <c r="O208" s="97"/>
    </row>
    <row r="209" spans="1:15" x14ac:dyDescent="0.3">
      <c r="A209" s="96" t="s">
        <v>55</v>
      </c>
      <c r="B209" s="97" t="s">
        <v>36</v>
      </c>
      <c r="C209" s="97" t="s">
        <v>263</v>
      </c>
      <c r="D209" s="97">
        <v>46</v>
      </c>
      <c r="E209" s="97"/>
      <c r="F209" s="97"/>
      <c r="G209" s="97" t="s">
        <v>74</v>
      </c>
      <c r="H209" s="97"/>
      <c r="I209" s="97"/>
      <c r="J209" s="99"/>
      <c r="K209" s="99"/>
      <c r="L209" s="99"/>
      <c r="M209" s="97">
        <f t="shared" si="6"/>
        <v>0</v>
      </c>
      <c r="N209" s="97">
        <f t="shared" si="7"/>
        <v>46</v>
      </c>
      <c r="O209" s="97"/>
    </row>
    <row r="210" spans="1:15" x14ac:dyDescent="0.3">
      <c r="A210" s="96" t="s">
        <v>55</v>
      </c>
      <c r="B210" s="97" t="s">
        <v>36</v>
      </c>
      <c r="C210" s="97" t="s">
        <v>264</v>
      </c>
      <c r="D210" s="97">
        <v>46</v>
      </c>
      <c r="E210" s="97"/>
      <c r="F210" s="97"/>
      <c r="G210" s="97" t="s">
        <v>74</v>
      </c>
      <c r="H210" s="97"/>
      <c r="I210" s="97"/>
      <c r="J210" s="99"/>
      <c r="K210" s="99"/>
      <c r="L210" s="99"/>
      <c r="M210" s="97">
        <f t="shared" si="6"/>
        <v>0</v>
      </c>
      <c r="N210" s="97">
        <f t="shared" si="7"/>
        <v>46</v>
      </c>
      <c r="O210" s="97"/>
    </row>
    <row r="211" spans="1:15" x14ac:dyDescent="0.3">
      <c r="A211" s="96" t="s">
        <v>55</v>
      </c>
      <c r="B211" s="97" t="s">
        <v>36</v>
      </c>
      <c r="C211" s="97" t="s">
        <v>265</v>
      </c>
      <c r="D211" s="97">
        <v>46</v>
      </c>
      <c r="E211" s="97"/>
      <c r="F211" s="97"/>
      <c r="G211" s="97" t="s">
        <v>74</v>
      </c>
      <c r="H211" s="97"/>
      <c r="I211" s="97"/>
      <c r="J211" s="99"/>
      <c r="K211" s="99"/>
      <c r="L211" s="99"/>
      <c r="M211" s="97">
        <f t="shared" si="6"/>
        <v>0</v>
      </c>
      <c r="N211" s="97">
        <f t="shared" si="7"/>
        <v>46</v>
      </c>
      <c r="O211" s="97"/>
    </row>
    <row r="212" spans="1:15" x14ac:dyDescent="0.3">
      <c r="A212" s="96" t="s">
        <v>55</v>
      </c>
      <c r="B212" s="97" t="s">
        <v>36</v>
      </c>
      <c r="C212" s="97" t="s">
        <v>266</v>
      </c>
      <c r="D212" s="97">
        <v>46</v>
      </c>
      <c r="E212" s="97"/>
      <c r="F212" s="97"/>
      <c r="G212" s="97" t="s">
        <v>74</v>
      </c>
      <c r="H212" s="97"/>
      <c r="I212" s="97"/>
      <c r="J212" s="99"/>
      <c r="K212" s="99"/>
      <c r="L212" s="99"/>
      <c r="M212" s="97">
        <f t="shared" si="6"/>
        <v>0</v>
      </c>
      <c r="N212" s="97">
        <f t="shared" si="7"/>
        <v>46</v>
      </c>
      <c r="O212" s="97"/>
    </row>
    <row r="213" spans="1:15" x14ac:dyDescent="0.3">
      <c r="A213" s="96" t="s">
        <v>55</v>
      </c>
      <c r="B213" s="97" t="s">
        <v>36</v>
      </c>
      <c r="C213" s="97" t="s">
        <v>267</v>
      </c>
      <c r="D213" s="97">
        <v>88</v>
      </c>
      <c r="E213" s="97"/>
      <c r="F213" s="97"/>
      <c r="G213" s="97" t="s">
        <v>38</v>
      </c>
      <c r="H213" s="97"/>
      <c r="I213" s="97"/>
      <c r="J213" s="99">
        <f>VLOOKUP(C213,'[1]2026.3'!$C$3:$Q$379,13,0)</f>
        <v>45848</v>
      </c>
      <c r="K213" s="99">
        <f>VLOOKUP(C213,'[1]2026.3'!$C$3:$Q$379,14,0)</f>
        <v>45931</v>
      </c>
      <c r="L213" s="99">
        <f>VLOOKUP(C213,'[1]2026.3'!$C$3:$Q$379,15,0)</f>
        <v>47026</v>
      </c>
      <c r="M213" s="97">
        <f t="shared" si="6"/>
        <v>88</v>
      </c>
      <c r="N213" s="97">
        <f t="shared" si="7"/>
        <v>0</v>
      </c>
      <c r="O213" s="97"/>
    </row>
    <row r="214" spans="1:15" x14ac:dyDescent="0.3">
      <c r="A214" s="96" t="s">
        <v>55</v>
      </c>
      <c r="B214" s="97" t="s">
        <v>36</v>
      </c>
      <c r="C214" s="97" t="s">
        <v>268</v>
      </c>
      <c r="D214" s="97">
        <v>107</v>
      </c>
      <c r="E214" s="97"/>
      <c r="F214" s="97"/>
      <c r="G214" s="97" t="s">
        <v>38</v>
      </c>
      <c r="H214" s="97"/>
      <c r="I214" s="97"/>
      <c r="J214" s="99">
        <f>VLOOKUP(C214,'[1]2026.3'!$C$3:$Q$379,13,0)</f>
        <v>45848</v>
      </c>
      <c r="K214" s="99">
        <f>VLOOKUP(C214,'[1]2026.3'!$C$3:$Q$379,14,0)</f>
        <v>45931</v>
      </c>
      <c r="L214" s="99">
        <f>VLOOKUP(C214,'[1]2026.3'!$C$3:$Q$379,15,0)</f>
        <v>47026</v>
      </c>
      <c r="M214" s="97">
        <f t="shared" si="6"/>
        <v>107</v>
      </c>
      <c r="N214" s="97">
        <f t="shared" si="7"/>
        <v>0</v>
      </c>
      <c r="O214" s="97"/>
    </row>
    <row r="215" spans="1:15" x14ac:dyDescent="0.3">
      <c r="A215" s="96" t="s">
        <v>55</v>
      </c>
      <c r="B215" s="97" t="s">
        <v>36</v>
      </c>
      <c r="C215" s="97" t="s">
        <v>269</v>
      </c>
      <c r="D215" s="97">
        <v>46</v>
      </c>
      <c r="E215" s="97"/>
      <c r="F215" s="97"/>
      <c r="G215" s="97" t="s">
        <v>74</v>
      </c>
      <c r="H215" s="97"/>
      <c r="I215" s="97"/>
      <c r="J215" s="99"/>
      <c r="K215" s="99"/>
      <c r="L215" s="99"/>
      <c r="M215" s="97">
        <f t="shared" si="6"/>
        <v>0</v>
      </c>
      <c r="N215" s="97">
        <f t="shared" si="7"/>
        <v>46</v>
      </c>
      <c r="O215" s="97"/>
    </row>
    <row r="216" spans="1:15" x14ac:dyDescent="0.3">
      <c r="A216" s="96" t="s">
        <v>55</v>
      </c>
      <c r="B216" s="97" t="s">
        <v>36</v>
      </c>
      <c r="C216" s="97" t="s">
        <v>270</v>
      </c>
      <c r="D216" s="97">
        <v>46</v>
      </c>
      <c r="E216" s="97"/>
      <c r="F216" s="97"/>
      <c r="G216" s="97" t="s">
        <v>74</v>
      </c>
      <c r="H216" s="97"/>
      <c r="I216" s="97"/>
      <c r="J216" s="99"/>
      <c r="K216" s="99"/>
      <c r="L216" s="99"/>
      <c r="M216" s="97">
        <f t="shared" si="6"/>
        <v>0</v>
      </c>
      <c r="N216" s="97">
        <f t="shared" si="7"/>
        <v>46</v>
      </c>
      <c r="O216" s="97"/>
    </row>
    <row r="217" spans="1:15" x14ac:dyDescent="0.3">
      <c r="A217" s="96" t="s">
        <v>55</v>
      </c>
      <c r="B217" s="97" t="s">
        <v>36</v>
      </c>
      <c r="C217" s="97" t="s">
        <v>271</v>
      </c>
      <c r="D217" s="97">
        <v>46</v>
      </c>
      <c r="E217" s="97"/>
      <c r="F217" s="97"/>
      <c r="G217" s="97" t="s">
        <v>74</v>
      </c>
      <c r="H217" s="97"/>
      <c r="I217" s="97"/>
      <c r="J217" s="99"/>
      <c r="K217" s="99"/>
      <c r="L217" s="99"/>
      <c r="M217" s="97">
        <f t="shared" si="6"/>
        <v>0</v>
      </c>
      <c r="N217" s="97">
        <f t="shared" si="7"/>
        <v>46</v>
      </c>
      <c r="O217" s="97"/>
    </row>
    <row r="218" spans="1:15" x14ac:dyDescent="0.3">
      <c r="A218" s="96" t="s">
        <v>55</v>
      </c>
      <c r="B218" s="97" t="s">
        <v>36</v>
      </c>
      <c r="C218" s="97" t="s">
        <v>272</v>
      </c>
      <c r="D218" s="97">
        <v>46</v>
      </c>
      <c r="E218" s="97"/>
      <c r="F218" s="97"/>
      <c r="G218" s="97" t="s">
        <v>74</v>
      </c>
      <c r="H218" s="97"/>
      <c r="I218" s="97"/>
      <c r="J218" s="99"/>
      <c r="K218" s="99"/>
      <c r="L218" s="99"/>
      <c r="M218" s="97">
        <f t="shared" si="6"/>
        <v>0</v>
      </c>
      <c r="N218" s="97">
        <f t="shared" si="7"/>
        <v>46</v>
      </c>
      <c r="O218" s="97"/>
    </row>
    <row r="219" spans="1:15" x14ac:dyDescent="0.3">
      <c r="A219" s="96" t="s">
        <v>55</v>
      </c>
      <c r="B219" s="97" t="s">
        <v>36</v>
      </c>
      <c r="C219" s="97" t="s">
        <v>273</v>
      </c>
      <c r="D219" s="97">
        <v>46</v>
      </c>
      <c r="E219" s="97"/>
      <c r="F219" s="97"/>
      <c r="G219" s="97" t="s">
        <v>74</v>
      </c>
      <c r="H219" s="97"/>
      <c r="I219" s="97"/>
      <c r="J219" s="99"/>
      <c r="K219" s="99"/>
      <c r="L219" s="99"/>
      <c r="M219" s="97">
        <f t="shared" si="6"/>
        <v>0</v>
      </c>
      <c r="N219" s="97">
        <f t="shared" si="7"/>
        <v>46</v>
      </c>
      <c r="O219" s="97"/>
    </row>
    <row r="220" spans="1:15" x14ac:dyDescent="0.3">
      <c r="A220" s="96" t="s">
        <v>55</v>
      </c>
      <c r="B220" s="97" t="s">
        <v>36</v>
      </c>
      <c r="C220" s="97" t="s">
        <v>274</v>
      </c>
      <c r="D220" s="97">
        <v>46</v>
      </c>
      <c r="E220" s="97"/>
      <c r="F220" s="97"/>
      <c r="G220" s="97" t="s">
        <v>74</v>
      </c>
      <c r="H220" s="97"/>
      <c r="I220" s="97"/>
      <c r="J220" s="99"/>
      <c r="K220" s="99"/>
      <c r="L220" s="99"/>
      <c r="M220" s="97">
        <f t="shared" si="6"/>
        <v>0</v>
      </c>
      <c r="N220" s="97">
        <f t="shared" si="7"/>
        <v>46</v>
      </c>
      <c r="O220" s="97"/>
    </row>
    <row r="221" spans="1:15" x14ac:dyDescent="0.3">
      <c r="A221" s="96" t="s">
        <v>55</v>
      </c>
      <c r="B221" s="97" t="s">
        <v>36</v>
      </c>
      <c r="C221" s="97" t="s">
        <v>275</v>
      </c>
      <c r="D221" s="97">
        <v>46</v>
      </c>
      <c r="E221" s="97"/>
      <c r="F221" s="97"/>
      <c r="G221" s="97" t="s">
        <v>74</v>
      </c>
      <c r="H221" s="97"/>
      <c r="I221" s="97"/>
      <c r="J221" s="99"/>
      <c r="K221" s="99"/>
      <c r="L221" s="99"/>
      <c r="M221" s="97">
        <f t="shared" si="6"/>
        <v>0</v>
      </c>
      <c r="N221" s="97">
        <f t="shared" si="7"/>
        <v>46</v>
      </c>
      <c r="O221" s="97"/>
    </row>
    <row r="222" spans="1:15" x14ac:dyDescent="0.3">
      <c r="A222" s="96" t="s">
        <v>55</v>
      </c>
      <c r="B222" s="97" t="s">
        <v>36</v>
      </c>
      <c r="C222" s="97" t="s">
        <v>276</v>
      </c>
      <c r="D222" s="97">
        <v>88</v>
      </c>
      <c r="E222" s="97"/>
      <c r="F222" s="97"/>
      <c r="G222" s="97" t="s">
        <v>38</v>
      </c>
      <c r="H222" s="97"/>
      <c r="I222" s="97"/>
      <c r="J222" s="99">
        <f>VLOOKUP(C222,'[1]2026.3'!$C$3:$Q$379,13,0)</f>
        <v>45848</v>
      </c>
      <c r="K222" s="99">
        <f>VLOOKUP(C222,'[1]2026.3'!$C$3:$Q$379,14,0)</f>
        <v>45931</v>
      </c>
      <c r="L222" s="99">
        <f>VLOOKUP(C222,'[1]2026.3'!$C$3:$Q$379,15,0)</f>
        <v>47026</v>
      </c>
      <c r="M222" s="97">
        <f t="shared" si="6"/>
        <v>88</v>
      </c>
      <c r="N222" s="97">
        <f t="shared" si="7"/>
        <v>0</v>
      </c>
      <c r="O222" s="97"/>
    </row>
    <row r="223" spans="1:15" x14ac:dyDescent="0.3">
      <c r="A223" s="96" t="s">
        <v>55</v>
      </c>
      <c r="B223" s="97" t="s">
        <v>36</v>
      </c>
      <c r="C223" s="97" t="s">
        <v>277</v>
      </c>
      <c r="D223" s="97">
        <v>105</v>
      </c>
      <c r="E223" s="97"/>
      <c r="F223" s="97"/>
      <c r="G223" s="97" t="s">
        <v>38</v>
      </c>
      <c r="H223" s="97"/>
      <c r="I223" s="97"/>
      <c r="J223" s="99">
        <f>VLOOKUP(C223,'[1]2026.3'!$C$3:$Q$379,13,0)</f>
        <v>45848</v>
      </c>
      <c r="K223" s="99">
        <f>VLOOKUP(C223,'[1]2026.3'!$C$3:$Q$379,14,0)</f>
        <v>45931</v>
      </c>
      <c r="L223" s="99">
        <f>VLOOKUP(C223,'[1]2026.3'!$C$3:$Q$379,15,0)</f>
        <v>47026</v>
      </c>
      <c r="M223" s="97">
        <f t="shared" si="6"/>
        <v>105</v>
      </c>
      <c r="N223" s="97">
        <f t="shared" si="7"/>
        <v>0</v>
      </c>
      <c r="O223" s="97"/>
    </row>
    <row r="224" spans="1:15" x14ac:dyDescent="0.3">
      <c r="A224" s="96" t="s">
        <v>55</v>
      </c>
      <c r="B224" s="97" t="s">
        <v>36</v>
      </c>
      <c r="C224" s="97" t="s">
        <v>278</v>
      </c>
      <c r="D224" s="97">
        <v>46</v>
      </c>
      <c r="E224" s="97"/>
      <c r="F224" s="97"/>
      <c r="G224" s="97" t="s">
        <v>74</v>
      </c>
      <c r="H224" s="97"/>
      <c r="I224" s="97"/>
      <c r="J224" s="99"/>
      <c r="K224" s="99"/>
      <c r="L224" s="99"/>
      <c r="M224" s="97">
        <f t="shared" si="6"/>
        <v>0</v>
      </c>
      <c r="N224" s="97">
        <f t="shared" si="7"/>
        <v>46</v>
      </c>
      <c r="O224" s="97"/>
    </row>
    <row r="225" spans="1:15" x14ac:dyDescent="0.3">
      <c r="A225" s="96" t="s">
        <v>55</v>
      </c>
      <c r="B225" s="97" t="s">
        <v>36</v>
      </c>
      <c r="C225" s="97" t="s">
        <v>279</v>
      </c>
      <c r="D225" s="97">
        <v>46</v>
      </c>
      <c r="E225" s="97"/>
      <c r="F225" s="97"/>
      <c r="G225" s="97" t="s">
        <v>74</v>
      </c>
      <c r="H225" s="97"/>
      <c r="I225" s="97"/>
      <c r="J225" s="99"/>
      <c r="K225" s="99"/>
      <c r="L225" s="99"/>
      <c r="M225" s="97">
        <f t="shared" si="6"/>
        <v>0</v>
      </c>
      <c r="N225" s="97">
        <f t="shared" si="7"/>
        <v>46</v>
      </c>
      <c r="O225" s="97"/>
    </row>
    <row r="226" spans="1:15" x14ac:dyDescent="0.3">
      <c r="A226" s="96" t="s">
        <v>55</v>
      </c>
      <c r="B226" s="97" t="s">
        <v>36</v>
      </c>
      <c r="C226" s="97" t="s">
        <v>280</v>
      </c>
      <c r="D226" s="97">
        <v>46</v>
      </c>
      <c r="E226" s="97"/>
      <c r="F226" s="97"/>
      <c r="G226" s="97" t="s">
        <v>74</v>
      </c>
      <c r="H226" s="97"/>
      <c r="I226" s="97"/>
      <c r="J226" s="99">
        <f>VLOOKUP(C226,'[1]2026.3'!$C$3:$Q$379,13,0)</f>
        <v>45935</v>
      </c>
      <c r="K226" s="99">
        <f>VLOOKUP(C226,'[1]2026.3'!$C$3:$Q$379,14,0)</f>
        <v>45992</v>
      </c>
      <c r="L226" s="99">
        <f>VLOOKUP(C226,'[1]2026.3'!$C$3:$Q$379,15,0)</f>
        <v>46081</v>
      </c>
      <c r="M226" s="97">
        <f t="shared" si="6"/>
        <v>0</v>
      </c>
      <c r="N226" s="97">
        <f t="shared" si="7"/>
        <v>46</v>
      </c>
      <c r="O226" s="97"/>
    </row>
    <row r="227" spans="1:15" x14ac:dyDescent="0.3">
      <c r="A227" s="96" t="s">
        <v>55</v>
      </c>
      <c r="B227" s="97" t="s">
        <v>36</v>
      </c>
      <c r="C227" s="97" t="s">
        <v>281</v>
      </c>
      <c r="D227" s="97">
        <v>46</v>
      </c>
      <c r="E227" s="97"/>
      <c r="F227" s="97"/>
      <c r="G227" s="97" t="s">
        <v>74</v>
      </c>
      <c r="H227" s="97"/>
      <c r="I227" s="97"/>
      <c r="J227" s="99">
        <f>VLOOKUP(C227,'[1]2026.3'!$C$3:$Q$379,13,0)</f>
        <v>45935</v>
      </c>
      <c r="K227" s="99">
        <f>VLOOKUP(C227,'[1]2026.3'!$C$3:$Q$379,14,0)</f>
        <v>45992</v>
      </c>
      <c r="L227" s="99">
        <f>VLOOKUP(C227,'[1]2026.3'!$C$3:$Q$379,15,0)</f>
        <v>46081</v>
      </c>
      <c r="M227" s="97">
        <f t="shared" si="6"/>
        <v>0</v>
      </c>
      <c r="N227" s="97">
        <f t="shared" si="7"/>
        <v>46</v>
      </c>
      <c r="O227" s="97"/>
    </row>
    <row r="228" spans="1:15" x14ac:dyDescent="0.3">
      <c r="A228" s="96" t="s">
        <v>55</v>
      </c>
      <c r="B228" s="97" t="s">
        <v>36</v>
      </c>
      <c r="C228" s="97" t="s">
        <v>282</v>
      </c>
      <c r="D228" s="97">
        <v>46</v>
      </c>
      <c r="E228" s="97"/>
      <c r="F228" s="97"/>
      <c r="G228" s="97" t="s">
        <v>74</v>
      </c>
      <c r="H228" s="97"/>
      <c r="I228" s="97"/>
      <c r="J228" s="99">
        <f>VLOOKUP(C228,'[1]2026.3'!$C$3:$Q$379,13,0)</f>
        <v>45935</v>
      </c>
      <c r="K228" s="99">
        <f>VLOOKUP(C228,'[1]2026.3'!$C$3:$Q$379,14,0)</f>
        <v>45992</v>
      </c>
      <c r="L228" s="99">
        <f>VLOOKUP(C228,'[1]2026.3'!$C$3:$Q$379,15,0)</f>
        <v>46081</v>
      </c>
      <c r="M228" s="97">
        <f t="shared" si="6"/>
        <v>0</v>
      </c>
      <c r="N228" s="97">
        <f t="shared" si="7"/>
        <v>46</v>
      </c>
      <c r="O228" s="97"/>
    </row>
    <row r="229" spans="1:15" x14ac:dyDescent="0.3">
      <c r="A229" s="96" t="s">
        <v>55</v>
      </c>
      <c r="B229" s="97" t="s">
        <v>36</v>
      </c>
      <c r="C229" s="97" t="s">
        <v>283</v>
      </c>
      <c r="D229" s="97">
        <v>181</v>
      </c>
      <c r="E229" s="97"/>
      <c r="F229" s="97"/>
      <c r="G229" s="97" t="s">
        <v>38</v>
      </c>
      <c r="H229" s="97"/>
      <c r="I229" s="97"/>
      <c r="J229" s="99">
        <f>VLOOKUP(C229,'[1]2026.3'!$C$3:$Q$379,13,0)</f>
        <v>45931</v>
      </c>
      <c r="K229" s="99">
        <f>VLOOKUP(C229,'[1]2026.3'!$C$3:$Q$379,14,0)</f>
        <v>45931</v>
      </c>
      <c r="L229" s="99">
        <f>VLOOKUP(C229,'[1]2026.3'!$C$3:$Q$379,15,0)</f>
        <v>47026</v>
      </c>
      <c r="M229" s="97">
        <f t="shared" si="6"/>
        <v>181</v>
      </c>
      <c r="N229" s="97">
        <f t="shared" si="7"/>
        <v>0</v>
      </c>
      <c r="O229" s="97"/>
    </row>
    <row r="230" spans="1:15" x14ac:dyDescent="0.3">
      <c r="A230" s="96" t="s">
        <v>55</v>
      </c>
      <c r="B230" s="97" t="s">
        <v>36</v>
      </c>
      <c r="C230" s="97" t="s">
        <v>284</v>
      </c>
      <c r="D230" s="97">
        <v>97</v>
      </c>
      <c r="E230" s="97"/>
      <c r="F230" s="97"/>
      <c r="G230" s="97" t="s">
        <v>38</v>
      </c>
      <c r="H230" s="97"/>
      <c r="I230" s="97"/>
      <c r="J230" s="99">
        <f>VLOOKUP(C230,'[1]2026.3'!$C$3:$Q$379,13,0)</f>
        <v>45849</v>
      </c>
      <c r="K230" s="99">
        <f>VLOOKUP(C230,'[1]2026.3'!$C$3:$Q$379,14,0)</f>
        <v>45931</v>
      </c>
      <c r="L230" s="99">
        <f>VLOOKUP(C230,'[1]2026.3'!$C$3:$Q$379,15,0)</f>
        <v>47026</v>
      </c>
      <c r="M230" s="97">
        <f t="shared" si="6"/>
        <v>97</v>
      </c>
      <c r="N230" s="97">
        <f t="shared" si="7"/>
        <v>0</v>
      </c>
      <c r="O230" s="97"/>
    </row>
    <row r="231" spans="1:15" x14ac:dyDescent="0.3">
      <c r="A231" s="96" t="s">
        <v>55</v>
      </c>
      <c r="B231" s="97" t="s">
        <v>36</v>
      </c>
      <c r="C231" s="98" t="s">
        <v>285</v>
      </c>
      <c r="D231" s="97">
        <v>46</v>
      </c>
      <c r="E231" s="97"/>
      <c r="F231" s="97"/>
      <c r="G231" s="97" t="s">
        <v>38</v>
      </c>
      <c r="H231" s="97"/>
      <c r="I231" s="97"/>
      <c r="J231" s="99">
        <f>VLOOKUP(C231,'[1]2026.3'!$C$3:$Q$379,13,0)</f>
        <v>46013</v>
      </c>
      <c r="K231" s="99">
        <f>VLOOKUP(C231,'[1]2026.3'!$C$3:$Q$379,14,0)</f>
        <v>46013</v>
      </c>
      <c r="L231" s="99">
        <f>VLOOKUP(C231,'[1]2026.3'!$C$3:$Q$379,15,0)</f>
        <v>47108</v>
      </c>
      <c r="M231" s="97">
        <f t="shared" si="6"/>
        <v>46</v>
      </c>
      <c r="N231" s="97">
        <f t="shared" si="7"/>
        <v>0</v>
      </c>
      <c r="O231" s="97"/>
    </row>
    <row r="232" spans="1:15" x14ac:dyDescent="0.3">
      <c r="A232" s="96" t="s">
        <v>55</v>
      </c>
      <c r="B232" s="97" t="s">
        <v>36</v>
      </c>
      <c r="C232" s="98" t="s">
        <v>285</v>
      </c>
      <c r="D232" s="97">
        <v>46</v>
      </c>
      <c r="E232" s="97"/>
      <c r="F232" s="97"/>
      <c r="G232" s="97" t="s">
        <v>38</v>
      </c>
      <c r="H232" s="97"/>
      <c r="I232" s="97"/>
      <c r="J232" s="99">
        <f>VLOOKUP(C232,'[1]2026.3'!$C$3:$Q$379,13,0)</f>
        <v>46013</v>
      </c>
      <c r="K232" s="99">
        <f>VLOOKUP(C232,'[1]2026.3'!$C$3:$Q$379,14,0)</f>
        <v>46013</v>
      </c>
      <c r="L232" s="99">
        <f>VLOOKUP(C232,'[1]2026.3'!$C$3:$Q$379,15,0)</f>
        <v>47108</v>
      </c>
      <c r="M232" s="97">
        <f t="shared" si="6"/>
        <v>46</v>
      </c>
      <c r="N232" s="97">
        <f t="shared" si="7"/>
        <v>0</v>
      </c>
      <c r="O232" s="97"/>
    </row>
    <row r="233" spans="1:15" x14ac:dyDescent="0.3">
      <c r="A233" s="96" t="s">
        <v>55</v>
      </c>
      <c r="B233" s="97" t="s">
        <v>36</v>
      </c>
      <c r="C233" s="98" t="s">
        <v>286</v>
      </c>
      <c r="D233" s="97">
        <v>46</v>
      </c>
      <c r="E233" s="97"/>
      <c r="F233" s="97"/>
      <c r="G233" s="97" t="s">
        <v>74</v>
      </c>
      <c r="H233" s="97"/>
      <c r="I233" s="97"/>
      <c r="J233" s="99"/>
      <c r="K233" s="99"/>
      <c r="L233" s="99"/>
      <c r="M233" s="97">
        <f t="shared" si="6"/>
        <v>0</v>
      </c>
      <c r="N233" s="97">
        <f t="shared" si="7"/>
        <v>46</v>
      </c>
      <c r="O233" s="97"/>
    </row>
    <row r="234" spans="1:15" x14ac:dyDescent="0.3">
      <c r="A234" s="96" t="s">
        <v>55</v>
      </c>
      <c r="B234" s="97" t="s">
        <v>36</v>
      </c>
      <c r="C234" s="97" t="s">
        <v>287</v>
      </c>
      <c r="D234" s="97">
        <v>46</v>
      </c>
      <c r="E234" s="97"/>
      <c r="F234" s="97"/>
      <c r="G234" s="97" t="s">
        <v>74</v>
      </c>
      <c r="H234" s="97"/>
      <c r="I234" s="97"/>
      <c r="J234" s="99"/>
      <c r="K234" s="99"/>
      <c r="L234" s="99"/>
      <c r="M234" s="97">
        <f t="shared" si="6"/>
        <v>0</v>
      </c>
      <c r="N234" s="97">
        <f t="shared" si="7"/>
        <v>46</v>
      </c>
      <c r="O234" s="97"/>
    </row>
    <row r="235" spans="1:15" x14ac:dyDescent="0.3">
      <c r="A235" s="96" t="s">
        <v>55</v>
      </c>
      <c r="B235" s="97" t="s">
        <v>36</v>
      </c>
      <c r="C235" s="97" t="s">
        <v>288</v>
      </c>
      <c r="D235" s="97">
        <v>46</v>
      </c>
      <c r="E235" s="97"/>
      <c r="F235" s="97"/>
      <c r="G235" s="97" t="s">
        <v>74</v>
      </c>
      <c r="H235" s="97"/>
      <c r="I235" s="97"/>
      <c r="J235" s="99"/>
      <c r="K235" s="99"/>
      <c r="L235" s="99"/>
      <c r="M235" s="97">
        <f t="shared" si="6"/>
        <v>0</v>
      </c>
      <c r="N235" s="97">
        <f t="shared" si="7"/>
        <v>46</v>
      </c>
      <c r="O235" s="97"/>
    </row>
    <row r="236" spans="1:15" x14ac:dyDescent="0.3">
      <c r="A236" s="96" t="s">
        <v>55</v>
      </c>
      <c r="B236" s="97" t="s">
        <v>36</v>
      </c>
      <c r="C236" s="97" t="s">
        <v>289</v>
      </c>
      <c r="D236" s="97">
        <v>46</v>
      </c>
      <c r="E236" s="97"/>
      <c r="F236" s="97"/>
      <c r="G236" s="97" t="s">
        <v>74</v>
      </c>
      <c r="H236" s="97"/>
      <c r="I236" s="97"/>
      <c r="J236" s="99"/>
      <c r="K236" s="99"/>
      <c r="L236" s="99"/>
      <c r="M236" s="97">
        <f t="shared" si="6"/>
        <v>0</v>
      </c>
      <c r="N236" s="97">
        <f t="shared" si="7"/>
        <v>46</v>
      </c>
      <c r="O236" s="97"/>
    </row>
    <row r="237" spans="1:15" x14ac:dyDescent="0.3">
      <c r="A237" s="96" t="s">
        <v>55</v>
      </c>
      <c r="B237" s="97" t="s">
        <v>36</v>
      </c>
      <c r="C237" s="97" t="s">
        <v>290</v>
      </c>
      <c r="D237" s="97">
        <v>46</v>
      </c>
      <c r="E237" s="97"/>
      <c r="F237" s="97"/>
      <c r="G237" s="97" t="s">
        <v>74</v>
      </c>
      <c r="H237" s="97"/>
      <c r="I237" s="97"/>
      <c r="J237" s="99"/>
      <c r="K237" s="99"/>
      <c r="L237" s="99"/>
      <c r="M237" s="97">
        <f t="shared" si="6"/>
        <v>0</v>
      </c>
      <c r="N237" s="97">
        <f t="shared" si="7"/>
        <v>46</v>
      </c>
      <c r="O237" s="97"/>
    </row>
    <row r="238" spans="1:15" x14ac:dyDescent="0.3">
      <c r="A238" s="96" t="s">
        <v>55</v>
      </c>
      <c r="B238" s="97" t="s">
        <v>36</v>
      </c>
      <c r="C238" s="97" t="s">
        <v>291</v>
      </c>
      <c r="D238" s="97">
        <v>46</v>
      </c>
      <c r="E238" s="97"/>
      <c r="F238" s="97"/>
      <c r="G238" s="97" t="s">
        <v>74</v>
      </c>
      <c r="H238" s="97"/>
      <c r="I238" s="97"/>
      <c r="J238" s="99"/>
      <c r="K238" s="99"/>
      <c r="L238" s="99"/>
      <c r="M238" s="97">
        <f t="shared" si="6"/>
        <v>0</v>
      </c>
      <c r="N238" s="97">
        <f t="shared" si="7"/>
        <v>46</v>
      </c>
      <c r="O238" s="97"/>
    </row>
    <row r="239" spans="1:15" x14ac:dyDescent="0.3">
      <c r="A239" s="96" t="s">
        <v>55</v>
      </c>
      <c r="B239" s="97" t="s">
        <v>36</v>
      </c>
      <c r="C239" s="97" t="s">
        <v>292</v>
      </c>
      <c r="D239" s="97">
        <v>46</v>
      </c>
      <c r="E239" s="97"/>
      <c r="F239" s="97"/>
      <c r="G239" s="97" t="s">
        <v>74</v>
      </c>
      <c r="H239" s="97"/>
      <c r="I239" s="97"/>
      <c r="J239" s="99"/>
      <c r="K239" s="99"/>
      <c r="L239" s="99"/>
      <c r="M239" s="97">
        <f t="shared" si="6"/>
        <v>0</v>
      </c>
      <c r="N239" s="97">
        <f t="shared" si="7"/>
        <v>46</v>
      </c>
      <c r="O239" s="97"/>
    </row>
    <row r="240" spans="1:15" x14ac:dyDescent="0.3">
      <c r="A240" s="96" t="s">
        <v>55</v>
      </c>
      <c r="B240" s="97" t="s">
        <v>36</v>
      </c>
      <c r="C240" s="97" t="s">
        <v>293</v>
      </c>
      <c r="D240" s="97">
        <v>150</v>
      </c>
      <c r="E240" s="97"/>
      <c r="F240" s="97"/>
      <c r="G240" s="97" t="s">
        <v>38</v>
      </c>
      <c r="H240" s="97"/>
      <c r="I240" s="97"/>
      <c r="J240" s="99">
        <f>VLOOKUP(C240,'[1]2026.3'!$C$3:$Q$379,13,0)</f>
        <v>45848</v>
      </c>
      <c r="K240" s="99">
        <f>VLOOKUP(C240,'[1]2026.3'!$C$3:$Q$379,14,0)</f>
        <v>45931</v>
      </c>
      <c r="L240" s="99">
        <f>VLOOKUP(C240,'[1]2026.3'!$C$3:$Q$379,15,0)</f>
        <v>47026</v>
      </c>
      <c r="M240" s="97">
        <f t="shared" si="6"/>
        <v>150</v>
      </c>
      <c r="N240" s="97">
        <f t="shared" si="7"/>
        <v>0</v>
      </c>
      <c r="O240" s="97"/>
    </row>
    <row r="241" spans="1:15" x14ac:dyDescent="0.3">
      <c r="A241" s="96" t="s">
        <v>55</v>
      </c>
      <c r="B241" s="97" t="s">
        <v>36</v>
      </c>
      <c r="C241" s="97" t="s">
        <v>294</v>
      </c>
      <c r="D241" s="97">
        <v>61</v>
      </c>
      <c r="E241" s="97"/>
      <c r="F241" s="97"/>
      <c r="G241" s="97" t="s">
        <v>38</v>
      </c>
      <c r="H241" s="97"/>
      <c r="I241" s="97"/>
      <c r="J241" s="99">
        <f>VLOOKUP(C241,'[1]2026.3'!$C$3:$Q$379,13,0)</f>
        <v>46039</v>
      </c>
      <c r="K241" s="99">
        <f>VLOOKUP(C241,'[1]2026.3'!$C$3:$Q$379,14,0)</f>
        <v>46054</v>
      </c>
      <c r="L241" s="99">
        <f>VLOOKUP(C241,'[1]2026.3'!$C$3:$Q$379,15,0)</f>
        <v>47149</v>
      </c>
      <c r="M241" s="97">
        <f t="shared" si="6"/>
        <v>61</v>
      </c>
      <c r="N241" s="97">
        <f t="shared" si="7"/>
        <v>0</v>
      </c>
      <c r="O241" s="97"/>
    </row>
    <row r="242" spans="1:15" x14ac:dyDescent="0.3">
      <c r="A242" s="96" t="s">
        <v>55</v>
      </c>
      <c r="B242" s="97" t="s">
        <v>36</v>
      </c>
      <c r="C242" s="97" t="s">
        <v>295</v>
      </c>
      <c r="D242" s="97">
        <v>103</v>
      </c>
      <c r="E242" s="97"/>
      <c r="F242" s="97"/>
      <c r="G242" s="97" t="s">
        <v>38</v>
      </c>
      <c r="H242" s="97"/>
      <c r="I242" s="97"/>
      <c r="J242" s="99">
        <v>46092</v>
      </c>
      <c r="K242" s="99"/>
      <c r="L242" s="99"/>
      <c r="M242" s="97">
        <f t="shared" ref="M242:M305" si="8">IF(G242="已租",D242,0)</f>
        <v>103</v>
      </c>
      <c r="N242" s="97">
        <f t="shared" si="7"/>
        <v>0</v>
      </c>
      <c r="O242" s="97"/>
    </row>
    <row r="243" spans="1:15" x14ac:dyDescent="0.3">
      <c r="A243" s="96" t="s">
        <v>55</v>
      </c>
      <c r="B243" s="97" t="s">
        <v>36</v>
      </c>
      <c r="C243" s="97" t="s">
        <v>296</v>
      </c>
      <c r="D243" s="97">
        <v>139</v>
      </c>
      <c r="E243" s="97"/>
      <c r="F243" s="97"/>
      <c r="G243" s="97" t="s">
        <v>74</v>
      </c>
      <c r="H243" s="97"/>
      <c r="I243" s="97"/>
      <c r="J243" s="99"/>
      <c r="K243" s="99"/>
      <c r="L243" s="99"/>
      <c r="M243" s="97">
        <f t="shared" si="8"/>
        <v>0</v>
      </c>
      <c r="N243" s="97">
        <f t="shared" si="7"/>
        <v>139</v>
      </c>
      <c r="O243" s="97"/>
    </row>
    <row r="244" spans="1:15" x14ac:dyDescent="0.3">
      <c r="A244" s="96" t="s">
        <v>55</v>
      </c>
      <c r="B244" s="97" t="s">
        <v>36</v>
      </c>
      <c r="C244" s="97" t="s">
        <v>297</v>
      </c>
      <c r="D244" s="97">
        <v>73</v>
      </c>
      <c r="E244" s="97"/>
      <c r="F244" s="97"/>
      <c r="G244" s="97" t="s">
        <v>74</v>
      </c>
      <c r="H244" s="97"/>
      <c r="I244" s="97"/>
      <c r="J244" s="99"/>
      <c r="K244" s="99"/>
      <c r="L244" s="99"/>
      <c r="M244" s="97">
        <f t="shared" si="8"/>
        <v>0</v>
      </c>
      <c r="N244" s="97">
        <f t="shared" si="7"/>
        <v>73</v>
      </c>
      <c r="O244" s="97"/>
    </row>
    <row r="245" spans="1:15" x14ac:dyDescent="0.3">
      <c r="A245" s="96" t="s">
        <v>55</v>
      </c>
      <c r="B245" s="97" t="s">
        <v>36</v>
      </c>
      <c r="C245" s="97" t="s">
        <v>298</v>
      </c>
      <c r="D245" s="97">
        <v>120</v>
      </c>
      <c r="E245" s="97"/>
      <c r="F245" s="97"/>
      <c r="G245" s="97" t="s">
        <v>74</v>
      </c>
      <c r="H245" s="97"/>
      <c r="I245" s="97"/>
      <c r="J245" s="99"/>
      <c r="K245" s="99"/>
      <c r="L245" s="99"/>
      <c r="M245" s="97">
        <f t="shared" si="8"/>
        <v>0</v>
      </c>
      <c r="N245" s="97">
        <f t="shared" si="7"/>
        <v>120</v>
      </c>
      <c r="O245" s="97"/>
    </row>
    <row r="246" spans="1:15" x14ac:dyDescent="0.3">
      <c r="A246" s="96" t="s">
        <v>55</v>
      </c>
      <c r="B246" s="97" t="s">
        <v>36</v>
      </c>
      <c r="C246" s="97" t="s">
        <v>299</v>
      </c>
      <c r="D246" s="97">
        <v>272</v>
      </c>
      <c r="E246" s="97"/>
      <c r="F246" s="97"/>
      <c r="G246" s="97" t="s">
        <v>38</v>
      </c>
      <c r="H246" s="97"/>
      <c r="I246" s="97"/>
      <c r="J246" s="99">
        <f>VLOOKUP(C246,'[1]2026.3'!$C$3:$Q$379,13,0)</f>
        <v>46040</v>
      </c>
      <c r="K246" s="99">
        <f>VLOOKUP(C246,'[1]2026.3'!$C$3:$Q$379,14,0)</f>
        <v>46054</v>
      </c>
      <c r="L246" s="99">
        <f>VLOOKUP(C246,'[1]2026.3'!$C$3:$Q$379,15,0)</f>
        <v>47149</v>
      </c>
      <c r="M246" s="97">
        <f t="shared" si="8"/>
        <v>272</v>
      </c>
      <c r="N246" s="97">
        <f t="shared" si="7"/>
        <v>0</v>
      </c>
      <c r="O246" s="97"/>
    </row>
    <row r="247" spans="1:15" x14ac:dyDescent="0.3">
      <c r="A247" s="96" t="s">
        <v>55</v>
      </c>
      <c r="B247" s="97" t="s">
        <v>36</v>
      </c>
      <c r="C247" s="97" t="s">
        <v>300</v>
      </c>
      <c r="D247" s="97">
        <v>272</v>
      </c>
      <c r="E247" s="97"/>
      <c r="F247" s="97"/>
      <c r="G247" s="97" t="s">
        <v>38</v>
      </c>
      <c r="H247" s="97"/>
      <c r="I247" s="97"/>
      <c r="J247" s="99">
        <f>VLOOKUP(C247,'[1]2026.3'!$C$3:$Q$379,13,0)</f>
        <v>45992</v>
      </c>
      <c r="K247" s="99">
        <f>VLOOKUP(C247,'[1]2026.3'!$C$3:$Q$379,14,0)</f>
        <v>45992</v>
      </c>
      <c r="L247" s="99">
        <f>VLOOKUP(C247,'[1]2026.3'!$C$3:$Q$379,15,0)</f>
        <v>47087</v>
      </c>
      <c r="M247" s="97">
        <f t="shared" si="8"/>
        <v>272</v>
      </c>
      <c r="N247" s="97">
        <f t="shared" si="7"/>
        <v>0</v>
      </c>
      <c r="O247" s="97"/>
    </row>
    <row r="248" spans="1:15" x14ac:dyDescent="0.3">
      <c r="A248" s="96" t="s">
        <v>55</v>
      </c>
      <c r="B248" s="97" t="s">
        <v>36</v>
      </c>
      <c r="C248" s="98" t="s">
        <v>301</v>
      </c>
      <c r="D248" s="97">
        <v>136</v>
      </c>
      <c r="E248" s="97"/>
      <c r="F248" s="97"/>
      <c r="G248" s="97" t="s">
        <v>38</v>
      </c>
      <c r="H248" s="97"/>
      <c r="I248" s="97"/>
      <c r="J248" s="99">
        <f>VLOOKUP(C248,'[1]2026.3'!$C$3:$Q$379,13,0)</f>
        <v>45992</v>
      </c>
      <c r="K248" s="99">
        <f>VLOOKUP(C248,'[1]2026.3'!$C$3:$Q$379,14,0)</f>
        <v>45992</v>
      </c>
      <c r="L248" s="99">
        <f>VLOOKUP(C248,'[1]2026.3'!$C$3:$Q$379,15,0)</f>
        <v>47087</v>
      </c>
      <c r="M248" s="97">
        <f t="shared" si="8"/>
        <v>136</v>
      </c>
      <c r="N248" s="97">
        <f t="shared" si="7"/>
        <v>0</v>
      </c>
      <c r="O248" s="97"/>
    </row>
    <row r="249" spans="1:15" x14ac:dyDescent="0.3">
      <c r="A249" s="96" t="s">
        <v>55</v>
      </c>
      <c r="B249" s="97" t="s">
        <v>36</v>
      </c>
      <c r="C249" s="98" t="s">
        <v>301</v>
      </c>
      <c r="D249" s="97">
        <v>222</v>
      </c>
      <c r="E249" s="97"/>
      <c r="F249" s="97"/>
      <c r="G249" s="97" t="s">
        <v>38</v>
      </c>
      <c r="H249" s="97"/>
      <c r="I249" s="97"/>
      <c r="J249" s="99">
        <f>VLOOKUP(C249,'[1]2026.3'!$C$3:$Q$379,13,0)</f>
        <v>45992</v>
      </c>
      <c r="K249" s="99">
        <f>VLOOKUP(C249,'[1]2026.3'!$C$3:$Q$379,14,0)</f>
        <v>45992</v>
      </c>
      <c r="L249" s="99">
        <f>VLOOKUP(C249,'[1]2026.3'!$C$3:$Q$379,15,0)</f>
        <v>47087</v>
      </c>
      <c r="M249" s="97">
        <f t="shared" si="8"/>
        <v>222</v>
      </c>
      <c r="N249" s="97">
        <f t="shared" si="7"/>
        <v>0</v>
      </c>
      <c r="O249" s="97"/>
    </row>
    <row r="250" spans="1:15" x14ac:dyDescent="0.3">
      <c r="A250" s="96" t="s">
        <v>55</v>
      </c>
      <c r="B250" s="97" t="s">
        <v>36</v>
      </c>
      <c r="C250" s="97" t="s">
        <v>302</v>
      </c>
      <c r="D250" s="97">
        <v>160</v>
      </c>
      <c r="E250" s="97"/>
      <c r="F250" s="97"/>
      <c r="G250" s="97" t="s">
        <v>38</v>
      </c>
      <c r="H250" s="97"/>
      <c r="I250" s="97"/>
      <c r="J250" s="99">
        <f>VLOOKUP(C250,'[1]2026.3'!$C$3:$Q$379,13,0)</f>
        <v>46002</v>
      </c>
      <c r="K250" s="99">
        <f>VLOOKUP(C250,'[1]2026.3'!$C$3:$Q$379,14,0)</f>
        <v>46006</v>
      </c>
      <c r="L250" s="99">
        <f>VLOOKUP(C250,'[1]2026.3'!$C$3:$Q$379,15,0)</f>
        <v>47101</v>
      </c>
      <c r="M250" s="97">
        <f t="shared" si="8"/>
        <v>160</v>
      </c>
      <c r="N250" s="97">
        <f t="shared" si="7"/>
        <v>0</v>
      </c>
      <c r="O250" s="97"/>
    </row>
    <row r="251" spans="1:15" x14ac:dyDescent="0.3">
      <c r="A251" s="96" t="s">
        <v>55</v>
      </c>
      <c r="B251" s="97" t="s">
        <v>36</v>
      </c>
      <c r="C251" s="97" t="s">
        <v>303</v>
      </c>
      <c r="D251" s="97">
        <v>225</v>
      </c>
      <c r="E251" s="97"/>
      <c r="F251" s="97"/>
      <c r="G251" s="97" t="s">
        <v>38</v>
      </c>
      <c r="H251" s="97"/>
      <c r="I251" s="97"/>
      <c r="J251" s="99">
        <f>VLOOKUP(C251,'[1]2026.3'!$C$3:$Q$379,13,0)</f>
        <v>45941</v>
      </c>
      <c r="K251" s="99">
        <f>VLOOKUP(C251,'[1]2026.3'!$C$3:$Q$379,14,0)</f>
        <v>45962</v>
      </c>
      <c r="L251" s="99">
        <f>VLOOKUP(C251,'[1]2026.3'!$C$3:$Q$379,15,0)</f>
        <v>47057</v>
      </c>
      <c r="M251" s="97">
        <f t="shared" si="8"/>
        <v>225</v>
      </c>
      <c r="N251" s="97">
        <f t="shared" si="7"/>
        <v>0</v>
      </c>
      <c r="O251" s="97"/>
    </row>
    <row r="252" spans="1:15" x14ac:dyDescent="0.3">
      <c r="A252" s="96" t="s">
        <v>55</v>
      </c>
      <c r="B252" s="97" t="s">
        <v>36</v>
      </c>
      <c r="C252" s="98" t="s">
        <v>304</v>
      </c>
      <c r="D252" s="97">
        <v>225</v>
      </c>
      <c r="E252" s="97"/>
      <c r="F252" s="97"/>
      <c r="G252" s="97" t="s">
        <v>38</v>
      </c>
      <c r="H252" s="97"/>
      <c r="I252" s="97"/>
      <c r="J252" s="99">
        <f>VLOOKUP(C252,'[1]2026.3'!$C$3:$Q$379,13,0)</f>
        <v>45995</v>
      </c>
      <c r="K252" s="99">
        <f>VLOOKUP(C252,'[1]2026.3'!$C$3:$Q$379,14,0)</f>
        <v>46001</v>
      </c>
      <c r="L252" s="99">
        <f>VLOOKUP(C252,'[1]2026.3'!$C$3:$Q$379,15,0)</f>
        <v>48191</v>
      </c>
      <c r="M252" s="97">
        <f t="shared" si="8"/>
        <v>225</v>
      </c>
      <c r="N252" s="97">
        <f t="shared" si="7"/>
        <v>0</v>
      </c>
      <c r="O252" s="97"/>
    </row>
    <row r="253" spans="1:15" x14ac:dyDescent="0.3">
      <c r="A253" s="96" t="s">
        <v>55</v>
      </c>
      <c r="B253" s="97" t="s">
        <v>36</v>
      </c>
      <c r="C253" s="98" t="s">
        <v>304</v>
      </c>
      <c r="D253" s="97">
        <v>165</v>
      </c>
      <c r="E253" s="97"/>
      <c r="F253" s="97"/>
      <c r="G253" s="97" t="s">
        <v>38</v>
      </c>
      <c r="H253" s="97"/>
      <c r="I253" s="97"/>
      <c r="J253" s="99">
        <f>VLOOKUP(C253,'[1]2026.3'!$C$3:$Q$379,13,0)</f>
        <v>45995</v>
      </c>
      <c r="K253" s="99">
        <f>VLOOKUP(C253,'[1]2026.3'!$C$3:$Q$379,14,0)</f>
        <v>46001</v>
      </c>
      <c r="L253" s="99">
        <f>VLOOKUP(C253,'[1]2026.3'!$C$3:$Q$379,15,0)</f>
        <v>48191</v>
      </c>
      <c r="M253" s="97">
        <f t="shared" si="8"/>
        <v>165</v>
      </c>
      <c r="N253" s="97">
        <f t="shared" si="7"/>
        <v>0</v>
      </c>
      <c r="O253" s="97"/>
    </row>
    <row r="254" spans="1:15" x14ac:dyDescent="0.3">
      <c r="A254" s="96" t="s">
        <v>55</v>
      </c>
      <c r="B254" s="97" t="s">
        <v>36</v>
      </c>
      <c r="C254" s="98" t="s">
        <v>304</v>
      </c>
      <c r="D254" s="97">
        <v>236</v>
      </c>
      <c r="E254" s="97"/>
      <c r="F254" s="97"/>
      <c r="G254" s="97" t="s">
        <v>38</v>
      </c>
      <c r="H254" s="97"/>
      <c r="I254" s="97"/>
      <c r="J254" s="99">
        <f>VLOOKUP(C254,'[1]2026.3'!$C$3:$Q$379,13,0)</f>
        <v>45995</v>
      </c>
      <c r="K254" s="99">
        <f>VLOOKUP(C254,'[1]2026.3'!$C$3:$Q$379,14,0)</f>
        <v>46001</v>
      </c>
      <c r="L254" s="99">
        <f>VLOOKUP(C254,'[1]2026.3'!$C$3:$Q$379,15,0)</f>
        <v>48191</v>
      </c>
      <c r="M254" s="97">
        <f t="shared" si="8"/>
        <v>236</v>
      </c>
      <c r="N254" s="97">
        <f t="shared" si="7"/>
        <v>0</v>
      </c>
      <c r="O254" s="97"/>
    </row>
    <row r="255" spans="1:15" x14ac:dyDescent="0.3">
      <c r="A255" s="96" t="s">
        <v>55</v>
      </c>
      <c r="B255" s="97" t="s">
        <v>36</v>
      </c>
      <c r="C255" s="97" t="s">
        <v>305</v>
      </c>
      <c r="D255" s="97">
        <v>305</v>
      </c>
      <c r="E255" s="97"/>
      <c r="F255" s="97"/>
      <c r="G255" s="97" t="s">
        <v>38</v>
      </c>
      <c r="H255" s="97"/>
      <c r="I255" s="97"/>
      <c r="J255" s="99">
        <f>VLOOKUP(C255,'[1]2026.3'!$C$3:$Q$379,13,0)</f>
        <v>45940</v>
      </c>
      <c r="K255" s="99">
        <f>VLOOKUP(C255,'[1]2026.3'!$C$3:$Q$379,14,0)</f>
        <v>45931</v>
      </c>
      <c r="L255" s="99">
        <f>VLOOKUP(C255,'[1]2026.3'!$C$3:$Q$379,15,0)</f>
        <v>47026</v>
      </c>
      <c r="M255" s="97">
        <f t="shared" si="8"/>
        <v>305</v>
      </c>
      <c r="N255" s="97">
        <f t="shared" si="7"/>
        <v>0</v>
      </c>
      <c r="O255" s="97"/>
    </row>
    <row r="256" spans="1:15" x14ac:dyDescent="0.3">
      <c r="A256" s="96" t="s">
        <v>55</v>
      </c>
      <c r="B256" s="97" t="s">
        <v>36</v>
      </c>
      <c r="C256" s="97" t="s">
        <v>306</v>
      </c>
      <c r="D256" s="97">
        <v>216</v>
      </c>
      <c r="E256" s="97"/>
      <c r="F256" s="97"/>
      <c r="G256" s="97" t="s">
        <v>38</v>
      </c>
      <c r="H256" s="97"/>
      <c r="I256" s="97"/>
      <c r="J256" s="99">
        <f>VLOOKUP(C256,'[1]2026.3'!$C$3:$Q$379,13,0)</f>
        <v>45992</v>
      </c>
      <c r="K256" s="99">
        <f>VLOOKUP(C256,'[1]2026.3'!$C$3:$Q$379,14,0)</f>
        <v>45931</v>
      </c>
      <c r="L256" s="99">
        <f>VLOOKUP(C256,'[1]2026.3'!$C$3:$Q$379,15,0)</f>
        <v>47026</v>
      </c>
      <c r="M256" s="97">
        <f t="shared" si="8"/>
        <v>216</v>
      </c>
      <c r="N256" s="97">
        <f t="shared" si="7"/>
        <v>0</v>
      </c>
      <c r="O256" s="97"/>
    </row>
    <row r="257" spans="1:15" x14ac:dyDescent="0.3">
      <c r="A257" s="96" t="s">
        <v>55</v>
      </c>
      <c r="B257" s="97" t="s">
        <v>36</v>
      </c>
      <c r="C257" s="97" t="s">
        <v>307</v>
      </c>
      <c r="D257" s="97">
        <v>129</v>
      </c>
      <c r="E257" s="97"/>
      <c r="F257" s="97"/>
      <c r="G257" s="97" t="s">
        <v>74</v>
      </c>
      <c r="H257" s="97"/>
      <c r="I257" s="97"/>
      <c r="J257" s="99"/>
      <c r="K257" s="99"/>
      <c r="L257" s="99"/>
      <c r="M257" s="97">
        <f t="shared" si="8"/>
        <v>0</v>
      </c>
      <c r="N257" s="97">
        <f t="shared" si="7"/>
        <v>129</v>
      </c>
      <c r="O257" s="97"/>
    </row>
    <row r="258" spans="1:15" x14ac:dyDescent="0.3">
      <c r="A258" s="96" t="s">
        <v>55</v>
      </c>
      <c r="B258" s="97" t="s">
        <v>36</v>
      </c>
      <c r="C258" s="97" t="s">
        <v>308</v>
      </c>
      <c r="D258" s="97">
        <v>269</v>
      </c>
      <c r="E258" s="97"/>
      <c r="F258" s="97"/>
      <c r="G258" s="97" t="s">
        <v>38</v>
      </c>
      <c r="H258" s="97"/>
      <c r="I258" s="97"/>
      <c r="J258" s="99">
        <f>VLOOKUP(C258,'[1]2026.3'!$C$3:$Q$379,13,0)</f>
        <v>46037</v>
      </c>
      <c r="K258" s="99">
        <f>VLOOKUP(C258,'[1]2026.3'!$C$3:$Q$379,14,0)</f>
        <v>46023</v>
      </c>
      <c r="L258" s="99">
        <f>VLOOKUP(C258,'[1]2026.3'!$C$3:$Q$379,15,0)</f>
        <v>47118</v>
      </c>
      <c r="M258" s="97">
        <f t="shared" si="8"/>
        <v>269</v>
      </c>
      <c r="N258" s="97">
        <f t="shared" ref="N258:N321" si="9">IF(G258="未出租",D258,0)</f>
        <v>0</v>
      </c>
      <c r="O258" s="97"/>
    </row>
    <row r="259" spans="1:15" x14ac:dyDescent="0.3">
      <c r="A259" s="96" t="s">
        <v>55</v>
      </c>
      <c r="B259" s="97" t="s">
        <v>66</v>
      </c>
      <c r="C259" s="97" t="s">
        <v>309</v>
      </c>
      <c r="D259" s="97">
        <v>119</v>
      </c>
      <c r="E259" s="97"/>
      <c r="F259" s="97"/>
      <c r="G259" s="97" t="s">
        <v>74</v>
      </c>
      <c r="H259" s="97"/>
      <c r="I259" s="97"/>
      <c r="J259" s="99"/>
      <c r="K259" s="99"/>
      <c r="L259" s="99"/>
      <c r="M259" s="97">
        <f t="shared" si="8"/>
        <v>0</v>
      </c>
      <c r="N259" s="97">
        <f t="shared" si="9"/>
        <v>119</v>
      </c>
      <c r="O259" s="97"/>
    </row>
    <row r="260" spans="1:15" x14ac:dyDescent="0.3">
      <c r="A260" s="96" t="s">
        <v>55</v>
      </c>
      <c r="B260" s="97" t="s">
        <v>66</v>
      </c>
      <c r="C260" s="97" t="s">
        <v>310</v>
      </c>
      <c r="D260" s="97">
        <v>135</v>
      </c>
      <c r="E260" s="97"/>
      <c r="F260" s="97"/>
      <c r="G260" s="97" t="s">
        <v>74</v>
      </c>
      <c r="H260" s="97"/>
      <c r="I260" s="97"/>
      <c r="J260" s="99"/>
      <c r="K260" s="99"/>
      <c r="L260" s="99"/>
      <c r="M260" s="97">
        <f t="shared" si="8"/>
        <v>0</v>
      </c>
      <c r="N260" s="97">
        <f t="shared" si="9"/>
        <v>135</v>
      </c>
      <c r="O260" s="97"/>
    </row>
    <row r="261" spans="1:15" x14ac:dyDescent="0.3">
      <c r="A261" s="96" t="s">
        <v>55</v>
      </c>
      <c r="B261" s="97" t="s">
        <v>66</v>
      </c>
      <c r="C261" s="97" t="s">
        <v>311</v>
      </c>
      <c r="D261" s="97">
        <v>100</v>
      </c>
      <c r="E261" s="97"/>
      <c r="F261" s="97"/>
      <c r="G261" s="97" t="s">
        <v>74</v>
      </c>
      <c r="H261" s="97"/>
      <c r="I261" s="97"/>
      <c r="J261" s="99"/>
      <c r="K261" s="99"/>
      <c r="L261" s="99"/>
      <c r="M261" s="97">
        <f t="shared" si="8"/>
        <v>0</v>
      </c>
      <c r="N261" s="97">
        <f t="shared" si="9"/>
        <v>100</v>
      </c>
      <c r="O261" s="97"/>
    </row>
    <row r="262" spans="1:15" x14ac:dyDescent="0.3">
      <c r="A262" s="96" t="s">
        <v>55</v>
      </c>
      <c r="B262" s="97" t="s">
        <v>66</v>
      </c>
      <c r="C262" s="97" t="s">
        <v>312</v>
      </c>
      <c r="D262" s="97">
        <v>131</v>
      </c>
      <c r="E262" s="97"/>
      <c r="F262" s="97"/>
      <c r="G262" s="97" t="s">
        <v>74</v>
      </c>
      <c r="H262" s="97"/>
      <c r="I262" s="97"/>
      <c r="J262" s="99"/>
      <c r="K262" s="99"/>
      <c r="L262" s="99"/>
      <c r="M262" s="97">
        <f t="shared" si="8"/>
        <v>0</v>
      </c>
      <c r="N262" s="97">
        <f t="shared" si="9"/>
        <v>131</v>
      </c>
      <c r="O262" s="97"/>
    </row>
    <row r="263" spans="1:15" x14ac:dyDescent="0.3">
      <c r="A263" s="96" t="s">
        <v>55</v>
      </c>
      <c r="B263" s="97" t="s">
        <v>66</v>
      </c>
      <c r="C263" s="97" t="s">
        <v>313</v>
      </c>
      <c r="D263" s="97">
        <v>362</v>
      </c>
      <c r="E263" s="97"/>
      <c r="F263" s="97"/>
      <c r="G263" s="97" t="s">
        <v>74</v>
      </c>
      <c r="H263" s="97"/>
      <c r="I263" s="97"/>
      <c r="J263" s="99"/>
      <c r="K263" s="99"/>
      <c r="L263" s="99"/>
      <c r="M263" s="97">
        <f t="shared" si="8"/>
        <v>0</v>
      </c>
      <c r="N263" s="97">
        <f t="shared" si="9"/>
        <v>362</v>
      </c>
      <c r="O263" s="97"/>
    </row>
    <row r="264" spans="1:15" x14ac:dyDescent="0.3">
      <c r="A264" s="96" t="s">
        <v>55</v>
      </c>
      <c r="B264" s="97" t="s">
        <v>66</v>
      </c>
      <c r="C264" s="97" t="s">
        <v>314</v>
      </c>
      <c r="D264" s="97">
        <v>310</v>
      </c>
      <c r="E264" s="97"/>
      <c r="F264" s="97"/>
      <c r="G264" s="97" t="s">
        <v>74</v>
      </c>
      <c r="H264" s="97"/>
      <c r="I264" s="97"/>
      <c r="J264" s="99"/>
      <c r="K264" s="99"/>
      <c r="L264" s="99"/>
      <c r="M264" s="97">
        <f t="shared" si="8"/>
        <v>0</v>
      </c>
      <c r="N264" s="97">
        <f t="shared" si="9"/>
        <v>310</v>
      </c>
      <c r="O264" s="97"/>
    </row>
    <row r="265" spans="1:15" x14ac:dyDescent="0.3">
      <c r="A265" s="96" t="s">
        <v>55</v>
      </c>
      <c r="B265" s="97" t="s">
        <v>66</v>
      </c>
      <c r="C265" s="97" t="s">
        <v>315</v>
      </c>
      <c r="D265" s="97">
        <v>117</v>
      </c>
      <c r="E265" s="97"/>
      <c r="F265" s="97"/>
      <c r="G265" s="97" t="s">
        <v>74</v>
      </c>
      <c r="H265" s="97"/>
      <c r="I265" s="97"/>
      <c r="J265" s="99"/>
      <c r="K265" s="99"/>
      <c r="L265" s="99"/>
      <c r="M265" s="97">
        <f t="shared" si="8"/>
        <v>0</v>
      </c>
      <c r="N265" s="97">
        <f t="shared" si="9"/>
        <v>117</v>
      </c>
      <c r="O265" s="97"/>
    </row>
    <row r="266" spans="1:15" x14ac:dyDescent="0.3">
      <c r="A266" s="96" t="s">
        <v>55</v>
      </c>
      <c r="B266" s="97" t="s">
        <v>66</v>
      </c>
      <c r="C266" s="97" t="s">
        <v>316</v>
      </c>
      <c r="D266" s="97">
        <v>114</v>
      </c>
      <c r="E266" s="97"/>
      <c r="F266" s="97"/>
      <c r="G266" s="97" t="s">
        <v>74</v>
      </c>
      <c r="H266" s="97"/>
      <c r="I266" s="97"/>
      <c r="J266" s="99"/>
      <c r="K266" s="99"/>
      <c r="L266" s="99"/>
      <c r="M266" s="97">
        <f t="shared" si="8"/>
        <v>0</v>
      </c>
      <c r="N266" s="97">
        <f t="shared" si="9"/>
        <v>114</v>
      </c>
      <c r="O266" s="97"/>
    </row>
    <row r="267" spans="1:15" x14ac:dyDescent="0.3">
      <c r="A267" s="96" t="s">
        <v>55</v>
      </c>
      <c r="B267" s="97" t="s">
        <v>66</v>
      </c>
      <c r="C267" s="97" t="s">
        <v>317</v>
      </c>
      <c r="D267" s="97">
        <v>80</v>
      </c>
      <c r="E267" s="97"/>
      <c r="F267" s="97"/>
      <c r="G267" s="97" t="s">
        <v>74</v>
      </c>
      <c r="H267" s="97"/>
      <c r="I267" s="97"/>
      <c r="J267" s="99"/>
      <c r="K267" s="99"/>
      <c r="L267" s="99"/>
      <c r="M267" s="97">
        <f t="shared" si="8"/>
        <v>0</v>
      </c>
      <c r="N267" s="97">
        <f t="shared" si="9"/>
        <v>80</v>
      </c>
      <c r="O267" s="97"/>
    </row>
    <row r="268" spans="1:15" x14ac:dyDescent="0.3">
      <c r="A268" s="96" t="s">
        <v>55</v>
      </c>
      <c r="B268" s="97" t="s">
        <v>66</v>
      </c>
      <c r="C268" s="97" t="s">
        <v>318</v>
      </c>
      <c r="D268" s="97">
        <v>112</v>
      </c>
      <c r="E268" s="97"/>
      <c r="F268" s="97"/>
      <c r="G268" s="97" t="s">
        <v>74</v>
      </c>
      <c r="H268" s="97"/>
      <c r="I268" s="97"/>
      <c r="J268" s="99"/>
      <c r="K268" s="99"/>
      <c r="L268" s="99"/>
      <c r="M268" s="97">
        <f t="shared" si="8"/>
        <v>0</v>
      </c>
      <c r="N268" s="97">
        <f t="shared" si="9"/>
        <v>112</v>
      </c>
      <c r="O268" s="97"/>
    </row>
    <row r="269" spans="1:15" x14ac:dyDescent="0.3">
      <c r="A269" s="96" t="s">
        <v>55</v>
      </c>
      <c r="B269" s="97" t="s">
        <v>66</v>
      </c>
      <c r="C269" s="97" t="s">
        <v>319</v>
      </c>
      <c r="D269" s="97">
        <v>115</v>
      </c>
      <c r="E269" s="97"/>
      <c r="F269" s="97"/>
      <c r="G269" s="97" t="s">
        <v>74</v>
      </c>
      <c r="H269" s="97"/>
      <c r="I269" s="97"/>
      <c r="J269" s="99"/>
      <c r="K269" s="99"/>
      <c r="L269" s="99"/>
      <c r="M269" s="97">
        <f t="shared" si="8"/>
        <v>0</v>
      </c>
      <c r="N269" s="97">
        <f t="shared" si="9"/>
        <v>115</v>
      </c>
      <c r="O269" s="97"/>
    </row>
    <row r="270" spans="1:15" x14ac:dyDescent="0.3">
      <c r="A270" s="96" t="s">
        <v>55</v>
      </c>
      <c r="B270" s="97" t="s">
        <v>66</v>
      </c>
      <c r="C270" s="97" t="s">
        <v>320</v>
      </c>
      <c r="D270" s="97">
        <v>185</v>
      </c>
      <c r="E270" s="97"/>
      <c r="F270" s="97"/>
      <c r="G270" s="97" t="s">
        <v>74</v>
      </c>
      <c r="H270" s="97"/>
      <c r="I270" s="97"/>
      <c r="J270" s="99"/>
      <c r="K270" s="99"/>
      <c r="L270" s="99"/>
      <c r="M270" s="97">
        <f t="shared" si="8"/>
        <v>0</v>
      </c>
      <c r="N270" s="97">
        <f t="shared" si="9"/>
        <v>185</v>
      </c>
      <c r="O270" s="97"/>
    </row>
    <row r="271" spans="1:15" x14ac:dyDescent="0.3">
      <c r="A271" s="96" t="s">
        <v>55</v>
      </c>
      <c r="B271" s="97" t="s">
        <v>66</v>
      </c>
      <c r="C271" s="97" t="s">
        <v>321</v>
      </c>
      <c r="D271" s="97">
        <v>133</v>
      </c>
      <c r="E271" s="97"/>
      <c r="F271" s="97"/>
      <c r="G271" s="97" t="s">
        <v>74</v>
      </c>
      <c r="H271" s="97"/>
      <c r="I271" s="97"/>
      <c r="J271" s="99"/>
      <c r="K271" s="99"/>
      <c r="L271" s="99"/>
      <c r="M271" s="97">
        <f t="shared" si="8"/>
        <v>0</v>
      </c>
      <c r="N271" s="97">
        <f t="shared" si="9"/>
        <v>133</v>
      </c>
      <c r="O271" s="97"/>
    </row>
    <row r="272" spans="1:15" x14ac:dyDescent="0.3">
      <c r="A272" s="96" t="s">
        <v>55</v>
      </c>
      <c r="B272" s="97" t="s">
        <v>66</v>
      </c>
      <c r="C272" s="97" t="s">
        <v>322</v>
      </c>
      <c r="D272" s="97">
        <v>129</v>
      </c>
      <c r="E272" s="97"/>
      <c r="F272" s="97"/>
      <c r="G272" s="97" t="s">
        <v>74</v>
      </c>
      <c r="H272" s="97"/>
      <c r="I272" s="97"/>
      <c r="J272" s="99"/>
      <c r="K272" s="99"/>
      <c r="L272" s="99"/>
      <c r="M272" s="97">
        <f t="shared" si="8"/>
        <v>0</v>
      </c>
      <c r="N272" s="97">
        <f t="shared" si="9"/>
        <v>129</v>
      </c>
      <c r="O272" s="97"/>
    </row>
    <row r="273" spans="1:15" x14ac:dyDescent="0.3">
      <c r="A273" s="96" t="s">
        <v>55</v>
      </c>
      <c r="B273" s="97" t="s">
        <v>66</v>
      </c>
      <c r="C273" s="97" t="s">
        <v>323</v>
      </c>
      <c r="D273" s="97">
        <v>129</v>
      </c>
      <c r="E273" s="97"/>
      <c r="F273" s="97"/>
      <c r="G273" s="97" t="s">
        <v>74</v>
      </c>
      <c r="H273" s="97"/>
      <c r="I273" s="97"/>
      <c r="J273" s="99"/>
      <c r="K273" s="99"/>
      <c r="L273" s="99"/>
      <c r="M273" s="97">
        <f t="shared" si="8"/>
        <v>0</v>
      </c>
      <c r="N273" s="97">
        <f t="shared" si="9"/>
        <v>129</v>
      </c>
      <c r="O273" s="97"/>
    </row>
    <row r="274" spans="1:15" x14ac:dyDescent="0.3">
      <c r="A274" s="96" t="s">
        <v>55</v>
      </c>
      <c r="B274" s="97" t="s">
        <v>66</v>
      </c>
      <c r="C274" s="97" t="s">
        <v>324</v>
      </c>
      <c r="D274" s="97">
        <v>129</v>
      </c>
      <c r="E274" s="97"/>
      <c r="F274" s="97"/>
      <c r="G274" s="97" t="s">
        <v>74</v>
      </c>
      <c r="H274" s="97"/>
      <c r="I274" s="97"/>
      <c r="J274" s="99"/>
      <c r="K274" s="99"/>
      <c r="L274" s="99"/>
      <c r="M274" s="97">
        <f t="shared" si="8"/>
        <v>0</v>
      </c>
      <c r="N274" s="97">
        <f t="shared" si="9"/>
        <v>129</v>
      </c>
      <c r="O274" s="97"/>
    </row>
    <row r="275" spans="1:15" x14ac:dyDescent="0.3">
      <c r="A275" s="96" t="s">
        <v>55</v>
      </c>
      <c r="B275" s="97" t="s">
        <v>66</v>
      </c>
      <c r="C275" s="97" t="s">
        <v>325</v>
      </c>
      <c r="D275" s="97">
        <v>129</v>
      </c>
      <c r="E275" s="97"/>
      <c r="F275" s="97"/>
      <c r="G275" s="97" t="s">
        <v>74</v>
      </c>
      <c r="H275" s="97"/>
      <c r="I275" s="97"/>
      <c r="J275" s="99"/>
      <c r="K275" s="99"/>
      <c r="L275" s="99"/>
      <c r="M275" s="97">
        <f t="shared" si="8"/>
        <v>0</v>
      </c>
      <c r="N275" s="97">
        <f t="shared" si="9"/>
        <v>129</v>
      </c>
      <c r="O275" s="97"/>
    </row>
    <row r="276" spans="1:15" x14ac:dyDescent="0.3">
      <c r="A276" s="96" t="s">
        <v>55</v>
      </c>
      <c r="B276" s="97" t="s">
        <v>66</v>
      </c>
      <c r="C276" s="97" t="s">
        <v>326</v>
      </c>
      <c r="D276" s="97">
        <v>269</v>
      </c>
      <c r="E276" s="97"/>
      <c r="F276" s="97"/>
      <c r="G276" s="97" t="s">
        <v>38</v>
      </c>
      <c r="H276" s="97"/>
      <c r="I276" s="97"/>
      <c r="J276" s="99"/>
      <c r="K276" s="99">
        <f>VLOOKUP(C276,'[1]2026.3'!$C$3:$Q$379,14,0)</f>
        <v>46023</v>
      </c>
      <c r="L276" s="99">
        <f>VLOOKUP(C276,'[1]2026.3'!$C$3:$Q$379,15,0)</f>
        <v>47118</v>
      </c>
      <c r="M276" s="97">
        <f t="shared" si="8"/>
        <v>269</v>
      </c>
      <c r="N276" s="97">
        <f t="shared" si="9"/>
        <v>0</v>
      </c>
      <c r="O276" s="97"/>
    </row>
    <row r="277" spans="1:15" x14ac:dyDescent="0.3">
      <c r="A277" s="96" t="s">
        <v>327</v>
      </c>
      <c r="B277" s="97" t="s">
        <v>36</v>
      </c>
      <c r="C277" s="97" t="s">
        <v>328</v>
      </c>
      <c r="D277" s="97">
        <v>45</v>
      </c>
      <c r="E277" s="97"/>
      <c r="F277" s="97"/>
      <c r="G277" s="97" t="s">
        <v>74</v>
      </c>
      <c r="H277" s="97"/>
      <c r="I277" s="97"/>
      <c r="J277" s="99"/>
      <c r="K277" s="99"/>
      <c r="L277" s="99"/>
      <c r="M277" s="97">
        <f t="shared" si="8"/>
        <v>0</v>
      </c>
      <c r="N277" s="97">
        <f t="shared" si="9"/>
        <v>45</v>
      </c>
      <c r="O277" s="97"/>
    </row>
    <row r="278" spans="1:15" x14ac:dyDescent="0.3">
      <c r="A278" s="96" t="s">
        <v>327</v>
      </c>
      <c r="B278" s="97" t="s">
        <v>36</v>
      </c>
      <c r="C278" s="97" t="s">
        <v>329</v>
      </c>
      <c r="D278" s="97">
        <v>45</v>
      </c>
      <c r="E278" s="97"/>
      <c r="F278" s="97"/>
      <c r="G278" s="97" t="s">
        <v>74</v>
      </c>
      <c r="H278" s="97"/>
      <c r="I278" s="97"/>
      <c r="J278" s="99"/>
      <c r="K278" s="99"/>
      <c r="L278" s="99"/>
      <c r="M278" s="97">
        <f t="shared" si="8"/>
        <v>0</v>
      </c>
      <c r="N278" s="97">
        <f t="shared" si="9"/>
        <v>45</v>
      </c>
      <c r="O278" s="97"/>
    </row>
    <row r="279" spans="1:15" x14ac:dyDescent="0.3">
      <c r="A279" s="96" t="s">
        <v>327</v>
      </c>
      <c r="B279" s="97" t="s">
        <v>36</v>
      </c>
      <c r="C279" s="97" t="s">
        <v>330</v>
      </c>
      <c r="D279" s="97">
        <v>45</v>
      </c>
      <c r="E279" s="97"/>
      <c r="F279" s="97"/>
      <c r="G279" s="97" t="s">
        <v>74</v>
      </c>
      <c r="H279" s="97"/>
      <c r="I279" s="97"/>
      <c r="J279" s="99"/>
      <c r="K279" s="99"/>
      <c r="L279" s="99"/>
      <c r="M279" s="97">
        <f t="shared" si="8"/>
        <v>0</v>
      </c>
      <c r="N279" s="97">
        <f t="shared" si="9"/>
        <v>45</v>
      </c>
      <c r="O279" s="97"/>
    </row>
    <row r="280" spans="1:15" x14ac:dyDescent="0.3">
      <c r="A280" s="96" t="s">
        <v>327</v>
      </c>
      <c r="B280" s="97" t="s">
        <v>36</v>
      </c>
      <c r="C280" s="97" t="s">
        <v>331</v>
      </c>
      <c r="D280" s="97">
        <v>45</v>
      </c>
      <c r="E280" s="97"/>
      <c r="F280" s="97"/>
      <c r="G280" s="97" t="s">
        <v>74</v>
      </c>
      <c r="H280" s="97"/>
      <c r="I280" s="97"/>
      <c r="J280" s="99"/>
      <c r="K280" s="99"/>
      <c r="L280" s="99"/>
      <c r="M280" s="97">
        <f t="shared" si="8"/>
        <v>0</v>
      </c>
      <c r="N280" s="97">
        <f t="shared" si="9"/>
        <v>45</v>
      </c>
      <c r="O280" s="97"/>
    </row>
    <row r="281" spans="1:15" x14ac:dyDescent="0.3">
      <c r="A281" s="96" t="s">
        <v>327</v>
      </c>
      <c r="B281" s="97" t="s">
        <v>36</v>
      </c>
      <c r="C281" s="97" t="s">
        <v>332</v>
      </c>
      <c r="D281" s="97">
        <v>45</v>
      </c>
      <c r="E281" s="97"/>
      <c r="F281" s="97"/>
      <c r="G281" s="97" t="s">
        <v>74</v>
      </c>
      <c r="H281" s="97"/>
      <c r="I281" s="97"/>
      <c r="J281" s="99"/>
      <c r="K281" s="99"/>
      <c r="L281" s="99"/>
      <c r="M281" s="97">
        <f t="shared" si="8"/>
        <v>0</v>
      </c>
      <c r="N281" s="97">
        <f t="shared" si="9"/>
        <v>45</v>
      </c>
      <c r="O281" s="97"/>
    </row>
    <row r="282" spans="1:15" x14ac:dyDescent="0.3">
      <c r="A282" s="96" t="s">
        <v>327</v>
      </c>
      <c r="B282" s="97" t="s">
        <v>36</v>
      </c>
      <c r="C282" s="97" t="s">
        <v>333</v>
      </c>
      <c r="D282" s="97">
        <v>45</v>
      </c>
      <c r="E282" s="97"/>
      <c r="F282" s="97"/>
      <c r="G282" s="97" t="s">
        <v>74</v>
      </c>
      <c r="H282" s="97"/>
      <c r="I282" s="97"/>
      <c r="J282" s="99"/>
      <c r="K282" s="99"/>
      <c r="L282" s="99"/>
      <c r="M282" s="97">
        <f t="shared" si="8"/>
        <v>0</v>
      </c>
      <c r="N282" s="97">
        <f t="shared" si="9"/>
        <v>45</v>
      </c>
      <c r="O282" s="97"/>
    </row>
    <row r="283" spans="1:15" x14ac:dyDescent="0.3">
      <c r="A283" s="96" t="s">
        <v>327</v>
      </c>
      <c r="B283" s="97" t="s">
        <v>36</v>
      </c>
      <c r="C283" s="97" t="s">
        <v>334</v>
      </c>
      <c r="D283" s="97">
        <v>52</v>
      </c>
      <c r="E283" s="97"/>
      <c r="F283" s="97"/>
      <c r="G283" s="97" t="s">
        <v>74</v>
      </c>
      <c r="H283" s="97"/>
      <c r="I283" s="97"/>
      <c r="J283" s="99"/>
      <c r="K283" s="99"/>
      <c r="L283" s="99"/>
      <c r="M283" s="97">
        <f t="shared" si="8"/>
        <v>0</v>
      </c>
      <c r="N283" s="97">
        <f t="shared" si="9"/>
        <v>52</v>
      </c>
      <c r="O283" s="97"/>
    </row>
    <row r="284" spans="1:15" x14ac:dyDescent="0.3">
      <c r="A284" s="96" t="s">
        <v>327</v>
      </c>
      <c r="B284" s="97" t="s">
        <v>36</v>
      </c>
      <c r="C284" s="97" t="s">
        <v>335</v>
      </c>
      <c r="D284" s="97">
        <v>52</v>
      </c>
      <c r="E284" s="97"/>
      <c r="F284" s="97"/>
      <c r="G284" s="97" t="s">
        <v>74</v>
      </c>
      <c r="H284" s="97"/>
      <c r="I284" s="97"/>
      <c r="J284" s="99"/>
      <c r="K284" s="99"/>
      <c r="L284" s="99"/>
      <c r="M284" s="97">
        <f t="shared" si="8"/>
        <v>0</v>
      </c>
      <c r="N284" s="97">
        <f t="shared" si="9"/>
        <v>52</v>
      </c>
      <c r="O284" s="97"/>
    </row>
    <row r="285" spans="1:15" x14ac:dyDescent="0.3">
      <c r="A285" s="96" t="s">
        <v>327</v>
      </c>
      <c r="B285" s="97" t="s">
        <v>36</v>
      </c>
      <c r="C285" s="97" t="s">
        <v>336</v>
      </c>
      <c r="D285" s="97">
        <v>52</v>
      </c>
      <c r="E285" s="97"/>
      <c r="F285" s="97"/>
      <c r="G285" s="97" t="s">
        <v>74</v>
      </c>
      <c r="H285" s="97"/>
      <c r="I285" s="97"/>
      <c r="J285" s="99"/>
      <c r="K285" s="99"/>
      <c r="L285" s="99"/>
      <c r="M285" s="97">
        <f t="shared" si="8"/>
        <v>0</v>
      </c>
      <c r="N285" s="97">
        <f t="shared" si="9"/>
        <v>52</v>
      </c>
      <c r="O285" s="97"/>
    </row>
    <row r="286" spans="1:15" x14ac:dyDescent="0.3">
      <c r="A286" s="96" t="s">
        <v>327</v>
      </c>
      <c r="B286" s="97" t="s">
        <v>36</v>
      </c>
      <c r="C286" s="97" t="s">
        <v>337</v>
      </c>
      <c r="D286" s="97">
        <v>52</v>
      </c>
      <c r="E286" s="97"/>
      <c r="F286" s="97"/>
      <c r="G286" s="97" t="s">
        <v>74</v>
      </c>
      <c r="H286" s="97"/>
      <c r="I286" s="97"/>
      <c r="J286" s="99"/>
      <c r="K286" s="99"/>
      <c r="L286" s="99"/>
      <c r="M286" s="97">
        <f t="shared" si="8"/>
        <v>0</v>
      </c>
      <c r="N286" s="97">
        <f t="shared" si="9"/>
        <v>52</v>
      </c>
      <c r="O286" s="97"/>
    </row>
    <row r="287" spans="1:15" x14ac:dyDescent="0.3">
      <c r="A287" s="96" t="s">
        <v>327</v>
      </c>
      <c r="B287" s="97" t="s">
        <v>36</v>
      </c>
      <c r="C287" s="97" t="s">
        <v>338</v>
      </c>
      <c r="D287" s="97">
        <v>42</v>
      </c>
      <c r="E287" s="97"/>
      <c r="F287" s="97"/>
      <c r="G287" s="97" t="s">
        <v>74</v>
      </c>
      <c r="H287" s="97"/>
      <c r="I287" s="97"/>
      <c r="J287" s="99"/>
      <c r="K287" s="99"/>
      <c r="L287" s="99"/>
      <c r="M287" s="97">
        <f t="shared" si="8"/>
        <v>0</v>
      </c>
      <c r="N287" s="97">
        <f t="shared" si="9"/>
        <v>42</v>
      </c>
      <c r="O287" s="97"/>
    </row>
    <row r="288" spans="1:15" x14ac:dyDescent="0.3">
      <c r="A288" s="96" t="s">
        <v>327</v>
      </c>
      <c r="B288" s="97" t="s">
        <v>36</v>
      </c>
      <c r="C288" s="97" t="s">
        <v>339</v>
      </c>
      <c r="D288" s="97">
        <v>42</v>
      </c>
      <c r="E288" s="97"/>
      <c r="F288" s="97"/>
      <c r="G288" s="97" t="s">
        <v>74</v>
      </c>
      <c r="H288" s="97"/>
      <c r="I288" s="97"/>
      <c r="J288" s="99"/>
      <c r="K288" s="99"/>
      <c r="L288" s="99"/>
      <c r="M288" s="97">
        <f t="shared" si="8"/>
        <v>0</v>
      </c>
      <c r="N288" s="97">
        <f t="shared" si="9"/>
        <v>42</v>
      </c>
      <c r="O288" s="97"/>
    </row>
    <row r="289" spans="1:15" x14ac:dyDescent="0.3">
      <c r="A289" s="96" t="s">
        <v>327</v>
      </c>
      <c r="B289" s="97" t="s">
        <v>36</v>
      </c>
      <c r="C289" s="97" t="s">
        <v>340</v>
      </c>
      <c r="D289" s="97">
        <v>42</v>
      </c>
      <c r="E289" s="97"/>
      <c r="F289" s="97"/>
      <c r="G289" s="97" t="s">
        <v>74</v>
      </c>
      <c r="H289" s="97"/>
      <c r="I289" s="97"/>
      <c r="J289" s="99"/>
      <c r="K289" s="99"/>
      <c r="L289" s="99"/>
      <c r="M289" s="97">
        <f t="shared" si="8"/>
        <v>0</v>
      </c>
      <c r="N289" s="97">
        <f t="shared" si="9"/>
        <v>42</v>
      </c>
      <c r="O289" s="97"/>
    </row>
    <row r="290" spans="1:15" x14ac:dyDescent="0.3">
      <c r="A290" s="96" t="s">
        <v>327</v>
      </c>
      <c r="B290" s="97" t="s">
        <v>36</v>
      </c>
      <c r="C290" s="97" t="s">
        <v>341</v>
      </c>
      <c r="D290" s="97">
        <v>42</v>
      </c>
      <c r="E290" s="97"/>
      <c r="F290" s="97"/>
      <c r="G290" s="97" t="s">
        <v>74</v>
      </c>
      <c r="H290" s="97"/>
      <c r="I290" s="97"/>
      <c r="J290" s="99"/>
      <c r="K290" s="99"/>
      <c r="L290" s="99"/>
      <c r="M290" s="97">
        <f t="shared" si="8"/>
        <v>0</v>
      </c>
      <c r="N290" s="97">
        <f t="shared" si="9"/>
        <v>42</v>
      </c>
      <c r="O290" s="97"/>
    </row>
    <row r="291" spans="1:15" x14ac:dyDescent="0.3">
      <c r="A291" s="96" t="s">
        <v>327</v>
      </c>
      <c r="B291" s="97" t="s">
        <v>36</v>
      </c>
      <c r="C291" s="97" t="s">
        <v>342</v>
      </c>
      <c r="D291" s="97">
        <v>42</v>
      </c>
      <c r="E291" s="97"/>
      <c r="F291" s="97"/>
      <c r="G291" s="97" t="s">
        <v>74</v>
      </c>
      <c r="H291" s="97"/>
      <c r="I291" s="97"/>
      <c r="J291" s="99"/>
      <c r="K291" s="99"/>
      <c r="L291" s="99"/>
      <c r="M291" s="97">
        <f t="shared" si="8"/>
        <v>0</v>
      </c>
      <c r="N291" s="97">
        <f t="shared" si="9"/>
        <v>42</v>
      </c>
      <c r="O291" s="97"/>
    </row>
    <row r="292" spans="1:15" x14ac:dyDescent="0.3">
      <c r="A292" s="96" t="s">
        <v>327</v>
      </c>
      <c r="B292" s="97" t="s">
        <v>36</v>
      </c>
      <c r="C292" s="97" t="s">
        <v>343</v>
      </c>
      <c r="D292" s="97">
        <v>42</v>
      </c>
      <c r="E292" s="97"/>
      <c r="F292" s="97"/>
      <c r="G292" s="97" t="s">
        <v>74</v>
      </c>
      <c r="H292" s="97"/>
      <c r="I292" s="97"/>
      <c r="J292" s="99"/>
      <c r="K292" s="99"/>
      <c r="L292" s="99"/>
      <c r="M292" s="97">
        <f t="shared" si="8"/>
        <v>0</v>
      </c>
      <c r="N292" s="97">
        <f t="shared" si="9"/>
        <v>42</v>
      </c>
      <c r="O292" s="97"/>
    </row>
    <row r="293" spans="1:15" x14ac:dyDescent="0.3">
      <c r="A293" s="96" t="s">
        <v>327</v>
      </c>
      <c r="B293" s="97" t="s">
        <v>36</v>
      </c>
      <c r="C293" s="97" t="s">
        <v>344</v>
      </c>
      <c r="D293" s="97">
        <v>52</v>
      </c>
      <c r="E293" s="97"/>
      <c r="F293" s="97"/>
      <c r="G293" s="97" t="s">
        <v>74</v>
      </c>
      <c r="H293" s="97"/>
      <c r="I293" s="97"/>
      <c r="J293" s="99"/>
      <c r="K293" s="99"/>
      <c r="L293" s="99"/>
      <c r="M293" s="97">
        <f t="shared" si="8"/>
        <v>0</v>
      </c>
      <c r="N293" s="97">
        <f t="shared" si="9"/>
        <v>52</v>
      </c>
      <c r="O293" s="97"/>
    </row>
    <row r="294" spans="1:15" x14ac:dyDescent="0.3">
      <c r="A294" s="96" t="s">
        <v>327</v>
      </c>
      <c r="B294" s="97" t="s">
        <v>36</v>
      </c>
      <c r="C294" s="97" t="s">
        <v>345</v>
      </c>
      <c r="D294" s="97">
        <v>52</v>
      </c>
      <c r="E294" s="97"/>
      <c r="F294" s="97"/>
      <c r="G294" s="97" t="s">
        <v>74</v>
      </c>
      <c r="H294" s="97"/>
      <c r="I294" s="97"/>
      <c r="J294" s="99"/>
      <c r="K294" s="99"/>
      <c r="L294" s="99"/>
      <c r="M294" s="97">
        <f t="shared" si="8"/>
        <v>0</v>
      </c>
      <c r="N294" s="97">
        <f t="shared" si="9"/>
        <v>52</v>
      </c>
      <c r="O294" s="97"/>
    </row>
    <row r="295" spans="1:15" x14ac:dyDescent="0.3">
      <c r="A295" s="96" t="s">
        <v>327</v>
      </c>
      <c r="B295" s="97" t="s">
        <v>36</v>
      </c>
      <c r="C295" s="97" t="s">
        <v>346</v>
      </c>
      <c r="D295" s="97">
        <v>52</v>
      </c>
      <c r="E295" s="97"/>
      <c r="F295" s="97"/>
      <c r="G295" s="97" t="s">
        <v>74</v>
      </c>
      <c r="H295" s="97"/>
      <c r="I295" s="97"/>
      <c r="J295" s="99"/>
      <c r="K295" s="99"/>
      <c r="L295" s="99"/>
      <c r="M295" s="97">
        <f t="shared" si="8"/>
        <v>0</v>
      </c>
      <c r="N295" s="97">
        <f t="shared" si="9"/>
        <v>52</v>
      </c>
      <c r="O295" s="97"/>
    </row>
    <row r="296" spans="1:15" x14ac:dyDescent="0.3">
      <c r="A296" s="96" t="s">
        <v>327</v>
      </c>
      <c r="B296" s="97" t="s">
        <v>36</v>
      </c>
      <c r="C296" s="97" t="s">
        <v>347</v>
      </c>
      <c r="D296" s="97">
        <v>49</v>
      </c>
      <c r="E296" s="97"/>
      <c r="F296" s="97"/>
      <c r="G296" s="97" t="s">
        <v>74</v>
      </c>
      <c r="H296" s="97"/>
      <c r="I296" s="97"/>
      <c r="J296" s="99"/>
      <c r="K296" s="99"/>
      <c r="L296" s="99"/>
      <c r="M296" s="97">
        <f t="shared" si="8"/>
        <v>0</v>
      </c>
      <c r="N296" s="97">
        <f t="shared" si="9"/>
        <v>49</v>
      </c>
      <c r="O296" s="97"/>
    </row>
    <row r="297" spans="1:15" x14ac:dyDescent="0.3">
      <c r="A297" s="96" t="s">
        <v>327</v>
      </c>
      <c r="B297" s="97" t="s">
        <v>36</v>
      </c>
      <c r="C297" s="97" t="s">
        <v>348</v>
      </c>
      <c r="D297" s="97">
        <v>42</v>
      </c>
      <c r="E297" s="97"/>
      <c r="F297" s="97"/>
      <c r="G297" s="97" t="s">
        <v>74</v>
      </c>
      <c r="H297" s="97"/>
      <c r="I297" s="97"/>
      <c r="J297" s="99"/>
      <c r="K297" s="99"/>
      <c r="L297" s="99"/>
      <c r="M297" s="97">
        <f t="shared" si="8"/>
        <v>0</v>
      </c>
      <c r="N297" s="97">
        <f t="shared" si="9"/>
        <v>42</v>
      </c>
      <c r="O297" s="97"/>
    </row>
    <row r="298" spans="1:15" x14ac:dyDescent="0.3">
      <c r="A298" s="96" t="s">
        <v>327</v>
      </c>
      <c r="B298" s="97" t="s">
        <v>36</v>
      </c>
      <c r="C298" s="97" t="s">
        <v>349</v>
      </c>
      <c r="D298" s="97">
        <v>42</v>
      </c>
      <c r="E298" s="97"/>
      <c r="F298" s="97"/>
      <c r="G298" s="97" t="s">
        <v>74</v>
      </c>
      <c r="H298" s="97"/>
      <c r="I298" s="97"/>
      <c r="J298" s="99"/>
      <c r="K298" s="99"/>
      <c r="L298" s="99"/>
      <c r="M298" s="97">
        <f t="shared" si="8"/>
        <v>0</v>
      </c>
      <c r="N298" s="97">
        <f t="shared" si="9"/>
        <v>42</v>
      </c>
      <c r="O298" s="97"/>
    </row>
    <row r="299" spans="1:15" x14ac:dyDescent="0.3">
      <c r="A299" s="96" t="s">
        <v>327</v>
      </c>
      <c r="B299" s="97" t="s">
        <v>36</v>
      </c>
      <c r="C299" s="97" t="s">
        <v>350</v>
      </c>
      <c r="D299" s="97">
        <v>42</v>
      </c>
      <c r="E299" s="97"/>
      <c r="F299" s="97"/>
      <c r="G299" s="97" t="s">
        <v>74</v>
      </c>
      <c r="H299" s="97"/>
      <c r="I299" s="97"/>
      <c r="J299" s="99"/>
      <c r="K299" s="99"/>
      <c r="L299" s="99"/>
      <c r="M299" s="97">
        <f t="shared" si="8"/>
        <v>0</v>
      </c>
      <c r="N299" s="97">
        <f t="shared" si="9"/>
        <v>42</v>
      </c>
      <c r="O299" s="97"/>
    </row>
    <row r="300" spans="1:15" x14ac:dyDescent="0.3">
      <c r="A300" s="96" t="s">
        <v>327</v>
      </c>
      <c r="B300" s="97" t="s">
        <v>36</v>
      </c>
      <c r="C300" s="97" t="s">
        <v>351</v>
      </c>
      <c r="D300" s="97">
        <v>42</v>
      </c>
      <c r="E300" s="97"/>
      <c r="F300" s="97"/>
      <c r="G300" s="97" t="s">
        <v>74</v>
      </c>
      <c r="H300" s="97"/>
      <c r="I300" s="97"/>
      <c r="J300" s="99"/>
      <c r="K300" s="99"/>
      <c r="L300" s="99"/>
      <c r="M300" s="97">
        <f t="shared" si="8"/>
        <v>0</v>
      </c>
      <c r="N300" s="97">
        <f t="shared" si="9"/>
        <v>42</v>
      </c>
      <c r="O300" s="97"/>
    </row>
    <row r="301" spans="1:15" x14ac:dyDescent="0.3">
      <c r="A301" s="96" t="s">
        <v>327</v>
      </c>
      <c r="B301" s="97" t="s">
        <v>36</v>
      </c>
      <c r="C301" s="97" t="s">
        <v>352</v>
      </c>
      <c r="D301" s="97">
        <v>42</v>
      </c>
      <c r="E301" s="97"/>
      <c r="F301" s="97"/>
      <c r="G301" s="97" t="s">
        <v>74</v>
      </c>
      <c r="H301" s="97"/>
      <c r="I301" s="97"/>
      <c r="J301" s="99"/>
      <c r="K301" s="99"/>
      <c r="L301" s="99"/>
      <c r="M301" s="97">
        <f t="shared" si="8"/>
        <v>0</v>
      </c>
      <c r="N301" s="97">
        <f t="shared" si="9"/>
        <v>42</v>
      </c>
      <c r="O301" s="97"/>
    </row>
    <row r="302" spans="1:15" x14ac:dyDescent="0.3">
      <c r="A302" s="96" t="s">
        <v>327</v>
      </c>
      <c r="B302" s="97" t="s">
        <v>36</v>
      </c>
      <c r="C302" s="97" t="s">
        <v>353</v>
      </c>
      <c r="D302" s="97">
        <v>42</v>
      </c>
      <c r="E302" s="97"/>
      <c r="F302" s="97"/>
      <c r="G302" s="97" t="s">
        <v>74</v>
      </c>
      <c r="H302" s="97"/>
      <c r="I302" s="97"/>
      <c r="J302" s="99"/>
      <c r="K302" s="99"/>
      <c r="L302" s="99"/>
      <c r="M302" s="97">
        <f t="shared" si="8"/>
        <v>0</v>
      </c>
      <c r="N302" s="97">
        <f t="shared" si="9"/>
        <v>42</v>
      </c>
      <c r="O302" s="97"/>
    </row>
    <row r="303" spans="1:15" x14ac:dyDescent="0.3">
      <c r="A303" s="96" t="s">
        <v>327</v>
      </c>
      <c r="B303" s="97" t="s">
        <v>36</v>
      </c>
      <c r="C303" s="97" t="s">
        <v>354</v>
      </c>
      <c r="D303" s="97">
        <v>52</v>
      </c>
      <c r="E303" s="97"/>
      <c r="F303" s="97"/>
      <c r="G303" s="97" t="s">
        <v>74</v>
      </c>
      <c r="H303" s="97"/>
      <c r="I303" s="97"/>
      <c r="J303" s="99"/>
      <c r="K303" s="99"/>
      <c r="L303" s="99"/>
      <c r="M303" s="97">
        <f t="shared" si="8"/>
        <v>0</v>
      </c>
      <c r="N303" s="97">
        <f t="shared" si="9"/>
        <v>52</v>
      </c>
      <c r="O303" s="97"/>
    </row>
    <row r="304" spans="1:15" x14ac:dyDescent="0.3">
      <c r="A304" s="96" t="s">
        <v>327</v>
      </c>
      <c r="B304" s="97" t="s">
        <v>36</v>
      </c>
      <c r="C304" s="97" t="s">
        <v>355</v>
      </c>
      <c r="D304" s="97">
        <v>52</v>
      </c>
      <c r="E304" s="97"/>
      <c r="F304" s="97"/>
      <c r="G304" s="97" t="s">
        <v>74</v>
      </c>
      <c r="H304" s="97"/>
      <c r="I304" s="97"/>
      <c r="J304" s="99"/>
      <c r="K304" s="99"/>
      <c r="L304" s="99"/>
      <c r="M304" s="97">
        <f t="shared" si="8"/>
        <v>0</v>
      </c>
      <c r="N304" s="97">
        <f t="shared" si="9"/>
        <v>52</v>
      </c>
      <c r="O304" s="97"/>
    </row>
    <row r="305" spans="1:15" x14ac:dyDescent="0.3">
      <c r="A305" s="96" t="s">
        <v>327</v>
      </c>
      <c r="B305" s="97" t="s">
        <v>36</v>
      </c>
      <c r="C305" s="97" t="s">
        <v>356</v>
      </c>
      <c r="D305" s="97">
        <v>52</v>
      </c>
      <c r="E305" s="97"/>
      <c r="F305" s="97"/>
      <c r="G305" s="97" t="s">
        <v>74</v>
      </c>
      <c r="H305" s="97"/>
      <c r="I305" s="97"/>
      <c r="J305" s="99"/>
      <c r="K305" s="99"/>
      <c r="L305" s="99"/>
      <c r="M305" s="97">
        <f t="shared" si="8"/>
        <v>0</v>
      </c>
      <c r="N305" s="97">
        <f t="shared" si="9"/>
        <v>52</v>
      </c>
      <c r="O305" s="97"/>
    </row>
    <row r="306" spans="1:15" x14ac:dyDescent="0.3">
      <c r="A306" s="96" t="s">
        <v>327</v>
      </c>
      <c r="B306" s="97" t="s">
        <v>36</v>
      </c>
      <c r="C306" s="97" t="s">
        <v>357</v>
      </c>
      <c r="D306" s="97">
        <v>49</v>
      </c>
      <c r="E306" s="97"/>
      <c r="F306" s="97"/>
      <c r="G306" s="97" t="s">
        <v>74</v>
      </c>
      <c r="H306" s="97"/>
      <c r="I306" s="97"/>
      <c r="J306" s="99"/>
      <c r="K306" s="99"/>
      <c r="L306" s="99"/>
      <c r="M306" s="97">
        <f t="shared" ref="M306:M369" si="10">IF(G306="已租",D306,0)</f>
        <v>0</v>
      </c>
      <c r="N306" s="97">
        <f t="shared" si="9"/>
        <v>49</v>
      </c>
      <c r="O306" s="97"/>
    </row>
    <row r="307" spans="1:15" x14ac:dyDescent="0.3">
      <c r="A307" s="96" t="s">
        <v>327</v>
      </c>
      <c r="B307" s="97" t="s">
        <v>36</v>
      </c>
      <c r="C307" s="97" t="s">
        <v>358</v>
      </c>
      <c r="D307" s="97">
        <v>46</v>
      </c>
      <c r="E307" s="97"/>
      <c r="F307" s="97"/>
      <c r="G307" s="97" t="s">
        <v>74</v>
      </c>
      <c r="H307" s="97"/>
      <c r="I307" s="97"/>
      <c r="J307" s="99"/>
      <c r="K307" s="99"/>
      <c r="L307" s="99"/>
      <c r="M307" s="97">
        <f t="shared" si="10"/>
        <v>0</v>
      </c>
      <c r="N307" s="97">
        <f t="shared" si="9"/>
        <v>46</v>
      </c>
      <c r="O307" s="97"/>
    </row>
    <row r="308" spans="1:15" x14ac:dyDescent="0.3">
      <c r="A308" s="96" t="s">
        <v>327</v>
      </c>
      <c r="B308" s="97" t="s">
        <v>36</v>
      </c>
      <c r="C308" s="97" t="s">
        <v>359</v>
      </c>
      <c r="D308" s="97">
        <v>46</v>
      </c>
      <c r="E308" s="97"/>
      <c r="F308" s="97"/>
      <c r="G308" s="97" t="s">
        <v>74</v>
      </c>
      <c r="H308" s="97"/>
      <c r="I308" s="97"/>
      <c r="J308" s="99"/>
      <c r="K308" s="99"/>
      <c r="L308" s="99"/>
      <c r="M308" s="97">
        <f t="shared" si="10"/>
        <v>0</v>
      </c>
      <c r="N308" s="97">
        <f t="shared" si="9"/>
        <v>46</v>
      </c>
      <c r="O308" s="97"/>
    </row>
    <row r="309" spans="1:15" x14ac:dyDescent="0.3">
      <c r="A309" s="96" t="s">
        <v>327</v>
      </c>
      <c r="B309" s="97" t="s">
        <v>36</v>
      </c>
      <c r="C309" s="97" t="s">
        <v>360</v>
      </c>
      <c r="D309" s="97">
        <v>46</v>
      </c>
      <c r="E309" s="97"/>
      <c r="F309" s="97"/>
      <c r="G309" s="97" t="s">
        <v>74</v>
      </c>
      <c r="H309" s="97"/>
      <c r="I309" s="97"/>
      <c r="J309" s="99"/>
      <c r="K309" s="99"/>
      <c r="L309" s="99"/>
      <c r="M309" s="97">
        <f t="shared" si="10"/>
        <v>0</v>
      </c>
      <c r="N309" s="97">
        <f t="shared" si="9"/>
        <v>46</v>
      </c>
      <c r="O309" s="97"/>
    </row>
    <row r="310" spans="1:15" x14ac:dyDescent="0.3">
      <c r="A310" s="96" t="s">
        <v>327</v>
      </c>
      <c r="B310" s="97" t="s">
        <v>36</v>
      </c>
      <c r="C310" s="97" t="s">
        <v>361</v>
      </c>
      <c r="D310" s="97">
        <v>46</v>
      </c>
      <c r="E310" s="97"/>
      <c r="F310" s="97"/>
      <c r="G310" s="97" t="s">
        <v>74</v>
      </c>
      <c r="H310" s="97"/>
      <c r="I310" s="97"/>
      <c r="J310" s="99"/>
      <c r="K310" s="99"/>
      <c r="L310" s="99"/>
      <c r="M310" s="97">
        <f t="shared" si="10"/>
        <v>0</v>
      </c>
      <c r="N310" s="97">
        <f t="shared" si="9"/>
        <v>46</v>
      </c>
      <c r="O310" s="97"/>
    </row>
    <row r="311" spans="1:15" x14ac:dyDescent="0.3">
      <c r="A311" s="96" t="s">
        <v>327</v>
      </c>
      <c r="B311" s="97" t="s">
        <v>36</v>
      </c>
      <c r="C311" s="97" t="s">
        <v>362</v>
      </c>
      <c r="D311" s="97">
        <v>46</v>
      </c>
      <c r="E311" s="97"/>
      <c r="F311" s="97"/>
      <c r="G311" s="97" t="s">
        <v>74</v>
      </c>
      <c r="H311" s="97"/>
      <c r="I311" s="97"/>
      <c r="J311" s="99"/>
      <c r="K311" s="99"/>
      <c r="L311" s="99"/>
      <c r="M311" s="97">
        <f t="shared" si="10"/>
        <v>0</v>
      </c>
      <c r="N311" s="97">
        <f t="shared" si="9"/>
        <v>46</v>
      </c>
      <c r="O311" s="97"/>
    </row>
    <row r="312" spans="1:15" x14ac:dyDescent="0.3">
      <c r="A312" s="96" t="s">
        <v>327</v>
      </c>
      <c r="B312" s="97" t="s">
        <v>36</v>
      </c>
      <c r="C312" s="97" t="s">
        <v>363</v>
      </c>
      <c r="D312" s="97">
        <v>46</v>
      </c>
      <c r="E312" s="97"/>
      <c r="F312" s="97"/>
      <c r="G312" s="97" t="s">
        <v>74</v>
      </c>
      <c r="H312" s="97"/>
      <c r="I312" s="97"/>
      <c r="J312" s="99"/>
      <c r="K312" s="99"/>
      <c r="L312" s="99"/>
      <c r="M312" s="97">
        <f t="shared" si="10"/>
        <v>0</v>
      </c>
      <c r="N312" s="97">
        <f t="shared" si="9"/>
        <v>46</v>
      </c>
      <c r="O312" s="97"/>
    </row>
    <row r="313" spans="1:15" x14ac:dyDescent="0.3">
      <c r="A313" s="96" t="s">
        <v>327</v>
      </c>
      <c r="B313" s="97" t="s">
        <v>36</v>
      </c>
      <c r="C313" s="97" t="s">
        <v>364</v>
      </c>
      <c r="D313" s="97">
        <v>54</v>
      </c>
      <c r="E313" s="97"/>
      <c r="F313" s="97"/>
      <c r="G313" s="97" t="s">
        <v>74</v>
      </c>
      <c r="H313" s="97"/>
      <c r="I313" s="97"/>
      <c r="J313" s="99"/>
      <c r="K313" s="99"/>
      <c r="L313" s="99"/>
      <c r="M313" s="97">
        <f t="shared" si="10"/>
        <v>0</v>
      </c>
      <c r="N313" s="97">
        <f t="shared" si="9"/>
        <v>54</v>
      </c>
      <c r="O313" s="97"/>
    </row>
    <row r="314" spans="1:15" x14ac:dyDescent="0.3">
      <c r="A314" s="96" t="s">
        <v>327</v>
      </c>
      <c r="B314" s="97" t="s">
        <v>36</v>
      </c>
      <c r="C314" s="97" t="s">
        <v>365</v>
      </c>
      <c r="D314" s="97">
        <v>54</v>
      </c>
      <c r="E314" s="97"/>
      <c r="F314" s="97"/>
      <c r="G314" s="97" t="s">
        <v>74</v>
      </c>
      <c r="H314" s="97"/>
      <c r="I314" s="97"/>
      <c r="J314" s="99"/>
      <c r="K314" s="99"/>
      <c r="L314" s="99"/>
      <c r="M314" s="97">
        <f t="shared" si="10"/>
        <v>0</v>
      </c>
      <c r="N314" s="97">
        <f t="shared" si="9"/>
        <v>54</v>
      </c>
      <c r="O314" s="97"/>
    </row>
    <row r="315" spans="1:15" x14ac:dyDescent="0.3">
      <c r="A315" s="96" t="s">
        <v>327</v>
      </c>
      <c r="B315" s="97" t="s">
        <v>36</v>
      </c>
      <c r="C315" s="97" t="s">
        <v>366</v>
      </c>
      <c r="D315" s="97">
        <v>54</v>
      </c>
      <c r="E315" s="97"/>
      <c r="F315" s="97"/>
      <c r="G315" s="97" t="s">
        <v>74</v>
      </c>
      <c r="H315" s="97"/>
      <c r="I315" s="97"/>
      <c r="J315" s="99"/>
      <c r="K315" s="99"/>
      <c r="L315" s="99"/>
      <c r="M315" s="97">
        <f t="shared" si="10"/>
        <v>0</v>
      </c>
      <c r="N315" s="97">
        <f t="shared" si="9"/>
        <v>54</v>
      </c>
      <c r="O315" s="97"/>
    </row>
    <row r="316" spans="1:15" x14ac:dyDescent="0.3">
      <c r="A316" s="96" t="s">
        <v>327</v>
      </c>
      <c r="B316" s="97" t="s">
        <v>36</v>
      </c>
      <c r="C316" s="97" t="s">
        <v>367</v>
      </c>
      <c r="D316" s="97">
        <v>54</v>
      </c>
      <c r="E316" s="97"/>
      <c r="F316" s="97"/>
      <c r="G316" s="97" t="s">
        <v>74</v>
      </c>
      <c r="H316" s="97"/>
      <c r="I316" s="97"/>
      <c r="J316" s="99"/>
      <c r="K316" s="99"/>
      <c r="L316" s="99"/>
      <c r="M316" s="97">
        <f t="shared" si="10"/>
        <v>0</v>
      </c>
      <c r="N316" s="97">
        <f t="shared" si="9"/>
        <v>54</v>
      </c>
      <c r="O316" s="97"/>
    </row>
    <row r="317" spans="1:15" x14ac:dyDescent="0.3">
      <c r="A317" s="96" t="s">
        <v>327</v>
      </c>
      <c r="B317" s="97" t="s">
        <v>36</v>
      </c>
      <c r="C317" s="97" t="s">
        <v>368</v>
      </c>
      <c r="D317" s="97">
        <v>46</v>
      </c>
      <c r="E317" s="97"/>
      <c r="F317" s="97"/>
      <c r="G317" s="97" t="s">
        <v>74</v>
      </c>
      <c r="H317" s="97"/>
      <c r="I317" s="97"/>
      <c r="J317" s="99"/>
      <c r="K317" s="99"/>
      <c r="L317" s="99"/>
      <c r="M317" s="97">
        <f t="shared" si="10"/>
        <v>0</v>
      </c>
      <c r="N317" s="97">
        <f t="shared" si="9"/>
        <v>46</v>
      </c>
      <c r="O317" s="97"/>
    </row>
    <row r="318" spans="1:15" x14ac:dyDescent="0.3">
      <c r="A318" s="96" t="s">
        <v>327</v>
      </c>
      <c r="B318" s="97" t="s">
        <v>36</v>
      </c>
      <c r="C318" s="97" t="s">
        <v>369</v>
      </c>
      <c r="D318" s="97">
        <v>46</v>
      </c>
      <c r="E318" s="97"/>
      <c r="F318" s="97"/>
      <c r="G318" s="97" t="s">
        <v>74</v>
      </c>
      <c r="H318" s="97"/>
      <c r="I318" s="97"/>
      <c r="J318" s="99"/>
      <c r="K318" s="99"/>
      <c r="L318" s="99"/>
      <c r="M318" s="97">
        <f t="shared" si="10"/>
        <v>0</v>
      </c>
      <c r="N318" s="97">
        <f t="shared" si="9"/>
        <v>46</v>
      </c>
      <c r="O318" s="97"/>
    </row>
    <row r="319" spans="1:15" x14ac:dyDescent="0.3">
      <c r="A319" s="96" t="s">
        <v>327</v>
      </c>
      <c r="B319" s="97" t="s">
        <v>36</v>
      </c>
      <c r="C319" s="97" t="s">
        <v>370</v>
      </c>
      <c r="D319" s="97">
        <v>46</v>
      </c>
      <c r="E319" s="97"/>
      <c r="F319" s="97"/>
      <c r="G319" s="97" t="s">
        <v>74</v>
      </c>
      <c r="H319" s="97"/>
      <c r="I319" s="97"/>
      <c r="J319" s="99"/>
      <c r="K319" s="99"/>
      <c r="L319" s="99"/>
      <c r="M319" s="97">
        <f t="shared" si="10"/>
        <v>0</v>
      </c>
      <c r="N319" s="97">
        <f t="shared" si="9"/>
        <v>46</v>
      </c>
      <c r="O319" s="97"/>
    </row>
    <row r="320" spans="1:15" x14ac:dyDescent="0.3">
      <c r="A320" s="96" t="s">
        <v>327</v>
      </c>
      <c r="B320" s="97" t="s">
        <v>36</v>
      </c>
      <c r="C320" s="97" t="s">
        <v>371</v>
      </c>
      <c r="D320" s="97">
        <v>46</v>
      </c>
      <c r="E320" s="97"/>
      <c r="F320" s="97"/>
      <c r="G320" s="97" t="s">
        <v>74</v>
      </c>
      <c r="H320" s="97"/>
      <c r="I320" s="97"/>
      <c r="J320" s="99"/>
      <c r="K320" s="99"/>
      <c r="L320" s="99"/>
      <c r="M320" s="97">
        <f t="shared" si="10"/>
        <v>0</v>
      </c>
      <c r="N320" s="97">
        <f t="shared" si="9"/>
        <v>46</v>
      </c>
      <c r="O320" s="97"/>
    </row>
    <row r="321" spans="1:15" x14ac:dyDescent="0.3">
      <c r="A321" s="96" t="s">
        <v>327</v>
      </c>
      <c r="B321" s="97" t="s">
        <v>36</v>
      </c>
      <c r="C321" s="97" t="s">
        <v>372</v>
      </c>
      <c r="D321" s="97">
        <v>46</v>
      </c>
      <c r="E321" s="97"/>
      <c r="F321" s="97"/>
      <c r="G321" s="97" t="s">
        <v>74</v>
      </c>
      <c r="H321" s="97"/>
      <c r="I321" s="97"/>
      <c r="J321" s="99"/>
      <c r="K321" s="99"/>
      <c r="L321" s="99"/>
      <c r="M321" s="97">
        <f t="shared" si="10"/>
        <v>0</v>
      </c>
      <c r="N321" s="97">
        <f t="shared" si="9"/>
        <v>46</v>
      </c>
      <c r="O321" s="97"/>
    </row>
    <row r="322" spans="1:15" x14ac:dyDescent="0.3">
      <c r="A322" s="96" t="s">
        <v>327</v>
      </c>
      <c r="B322" s="97" t="s">
        <v>36</v>
      </c>
      <c r="C322" s="97" t="s">
        <v>373</v>
      </c>
      <c r="D322" s="97">
        <v>46</v>
      </c>
      <c r="E322" s="97"/>
      <c r="F322" s="97"/>
      <c r="G322" s="97" t="s">
        <v>74</v>
      </c>
      <c r="H322" s="97"/>
      <c r="I322" s="97"/>
      <c r="J322" s="99"/>
      <c r="K322" s="99"/>
      <c r="L322" s="99"/>
      <c r="M322" s="97">
        <f t="shared" si="10"/>
        <v>0</v>
      </c>
      <c r="N322" s="97">
        <f t="shared" ref="N322:N385" si="11">IF(G322="未出租",D322,0)</f>
        <v>46</v>
      </c>
      <c r="O322" s="97"/>
    </row>
    <row r="323" spans="1:15" x14ac:dyDescent="0.3">
      <c r="A323" s="96" t="s">
        <v>327</v>
      </c>
      <c r="B323" s="97" t="s">
        <v>36</v>
      </c>
      <c r="C323" s="97" t="s">
        <v>374</v>
      </c>
      <c r="D323" s="97">
        <v>54</v>
      </c>
      <c r="E323" s="97"/>
      <c r="F323" s="97"/>
      <c r="G323" s="97" t="s">
        <v>74</v>
      </c>
      <c r="H323" s="97"/>
      <c r="I323" s="97"/>
      <c r="J323" s="99"/>
      <c r="K323" s="99"/>
      <c r="L323" s="99"/>
      <c r="M323" s="97">
        <f t="shared" si="10"/>
        <v>0</v>
      </c>
      <c r="N323" s="97">
        <f t="shared" si="11"/>
        <v>54</v>
      </c>
      <c r="O323" s="97"/>
    </row>
    <row r="324" spans="1:15" x14ac:dyDescent="0.3">
      <c r="A324" s="96" t="s">
        <v>327</v>
      </c>
      <c r="B324" s="97" t="s">
        <v>36</v>
      </c>
      <c r="C324" s="97" t="s">
        <v>375</v>
      </c>
      <c r="D324" s="97">
        <v>54</v>
      </c>
      <c r="E324" s="97"/>
      <c r="F324" s="97"/>
      <c r="G324" s="97" t="s">
        <v>74</v>
      </c>
      <c r="H324" s="97"/>
      <c r="I324" s="97"/>
      <c r="J324" s="99"/>
      <c r="K324" s="99"/>
      <c r="L324" s="99"/>
      <c r="M324" s="97">
        <f t="shared" si="10"/>
        <v>0</v>
      </c>
      <c r="N324" s="97">
        <f t="shared" si="11"/>
        <v>54</v>
      </c>
      <c r="O324" s="97"/>
    </row>
    <row r="325" spans="1:15" x14ac:dyDescent="0.3">
      <c r="A325" s="96" t="s">
        <v>327</v>
      </c>
      <c r="B325" s="97" t="s">
        <v>36</v>
      </c>
      <c r="C325" s="97" t="s">
        <v>376</v>
      </c>
      <c r="D325" s="97">
        <v>54</v>
      </c>
      <c r="E325" s="97"/>
      <c r="F325" s="97"/>
      <c r="G325" s="97" t="s">
        <v>74</v>
      </c>
      <c r="H325" s="97"/>
      <c r="I325" s="97"/>
      <c r="J325" s="99"/>
      <c r="K325" s="99"/>
      <c r="L325" s="99"/>
      <c r="M325" s="97">
        <f t="shared" si="10"/>
        <v>0</v>
      </c>
      <c r="N325" s="97">
        <f t="shared" si="11"/>
        <v>54</v>
      </c>
      <c r="O325" s="97"/>
    </row>
    <row r="326" spans="1:15" x14ac:dyDescent="0.3">
      <c r="A326" s="96" t="s">
        <v>327</v>
      </c>
      <c r="B326" s="97" t="s">
        <v>36</v>
      </c>
      <c r="C326" s="97" t="s">
        <v>377</v>
      </c>
      <c r="D326" s="97">
        <v>54</v>
      </c>
      <c r="E326" s="97"/>
      <c r="F326" s="97"/>
      <c r="G326" s="97" t="s">
        <v>74</v>
      </c>
      <c r="H326" s="97"/>
      <c r="I326" s="97"/>
      <c r="J326" s="99"/>
      <c r="K326" s="99"/>
      <c r="L326" s="99"/>
      <c r="M326" s="97">
        <f t="shared" si="10"/>
        <v>0</v>
      </c>
      <c r="N326" s="97">
        <f t="shared" si="11"/>
        <v>54</v>
      </c>
      <c r="O326" s="97"/>
    </row>
    <row r="327" spans="1:15" x14ac:dyDescent="0.3">
      <c r="A327" s="96" t="s">
        <v>327</v>
      </c>
      <c r="B327" s="97" t="s">
        <v>36</v>
      </c>
      <c r="C327" s="97" t="s">
        <v>378</v>
      </c>
      <c r="D327" s="97">
        <v>55</v>
      </c>
      <c r="E327" s="97"/>
      <c r="F327" s="97"/>
      <c r="G327" s="97" t="s">
        <v>74</v>
      </c>
      <c r="H327" s="97"/>
      <c r="I327" s="97"/>
      <c r="J327" s="99"/>
      <c r="K327" s="99"/>
      <c r="L327" s="99"/>
      <c r="M327" s="97">
        <f t="shared" si="10"/>
        <v>0</v>
      </c>
      <c r="N327" s="97">
        <f t="shared" si="11"/>
        <v>55</v>
      </c>
      <c r="O327" s="97"/>
    </row>
    <row r="328" spans="1:15" x14ac:dyDescent="0.3">
      <c r="A328" s="96" t="s">
        <v>327</v>
      </c>
      <c r="B328" s="97" t="s">
        <v>36</v>
      </c>
      <c r="C328" s="97" t="s">
        <v>379</v>
      </c>
      <c r="D328" s="97">
        <v>55</v>
      </c>
      <c r="E328" s="97"/>
      <c r="F328" s="97"/>
      <c r="G328" s="97" t="s">
        <v>74</v>
      </c>
      <c r="H328" s="97"/>
      <c r="I328" s="97"/>
      <c r="J328" s="99"/>
      <c r="K328" s="99"/>
      <c r="L328" s="99"/>
      <c r="M328" s="97">
        <f t="shared" si="10"/>
        <v>0</v>
      </c>
      <c r="N328" s="97">
        <f t="shared" si="11"/>
        <v>55</v>
      </c>
      <c r="O328" s="97"/>
    </row>
    <row r="329" spans="1:15" x14ac:dyDescent="0.3">
      <c r="A329" s="96" t="s">
        <v>327</v>
      </c>
      <c r="B329" s="97" t="s">
        <v>36</v>
      </c>
      <c r="C329" s="97" t="s">
        <v>380</v>
      </c>
      <c r="D329" s="97">
        <v>65</v>
      </c>
      <c r="E329" s="97"/>
      <c r="F329" s="97"/>
      <c r="G329" s="97" t="s">
        <v>74</v>
      </c>
      <c r="H329" s="97"/>
      <c r="I329" s="97"/>
      <c r="J329" s="99"/>
      <c r="K329" s="99"/>
      <c r="L329" s="99"/>
      <c r="M329" s="97">
        <f t="shared" si="10"/>
        <v>0</v>
      </c>
      <c r="N329" s="97">
        <f t="shared" si="11"/>
        <v>65</v>
      </c>
      <c r="O329" s="97"/>
    </row>
    <row r="330" spans="1:15" x14ac:dyDescent="0.3">
      <c r="A330" s="96" t="s">
        <v>327</v>
      </c>
      <c r="B330" s="97" t="s">
        <v>36</v>
      </c>
      <c r="C330" s="97" t="s">
        <v>381</v>
      </c>
      <c r="D330" s="97">
        <v>65</v>
      </c>
      <c r="E330" s="97"/>
      <c r="F330" s="97"/>
      <c r="G330" s="97" t="s">
        <v>74</v>
      </c>
      <c r="H330" s="97"/>
      <c r="I330" s="97"/>
      <c r="J330" s="99"/>
      <c r="K330" s="99"/>
      <c r="L330" s="99"/>
      <c r="M330" s="97">
        <f t="shared" si="10"/>
        <v>0</v>
      </c>
      <c r="N330" s="97">
        <f t="shared" si="11"/>
        <v>65</v>
      </c>
      <c r="O330" s="97"/>
    </row>
    <row r="331" spans="1:15" x14ac:dyDescent="0.3">
      <c r="A331" s="96" t="s">
        <v>327</v>
      </c>
      <c r="B331" s="97" t="s">
        <v>36</v>
      </c>
      <c r="C331" s="97" t="s">
        <v>382</v>
      </c>
      <c r="D331" s="97">
        <v>65</v>
      </c>
      <c r="E331" s="97"/>
      <c r="F331" s="97"/>
      <c r="G331" s="97" t="s">
        <v>74</v>
      </c>
      <c r="H331" s="97"/>
      <c r="I331" s="97"/>
      <c r="J331" s="99"/>
      <c r="K331" s="99"/>
      <c r="L331" s="99"/>
      <c r="M331" s="97">
        <f t="shared" si="10"/>
        <v>0</v>
      </c>
      <c r="N331" s="97">
        <f t="shared" si="11"/>
        <v>65</v>
      </c>
      <c r="O331" s="97"/>
    </row>
    <row r="332" spans="1:15" x14ac:dyDescent="0.3">
      <c r="A332" s="96" t="s">
        <v>327</v>
      </c>
      <c r="B332" s="97" t="s">
        <v>36</v>
      </c>
      <c r="C332" s="97" t="s">
        <v>383</v>
      </c>
      <c r="D332" s="97">
        <v>65</v>
      </c>
      <c r="E332" s="97"/>
      <c r="F332" s="97"/>
      <c r="G332" s="97" t="s">
        <v>74</v>
      </c>
      <c r="H332" s="97"/>
      <c r="I332" s="97"/>
      <c r="J332" s="99"/>
      <c r="K332" s="99"/>
      <c r="L332" s="99"/>
      <c r="M332" s="97">
        <f t="shared" si="10"/>
        <v>0</v>
      </c>
      <c r="N332" s="97">
        <f t="shared" si="11"/>
        <v>65</v>
      </c>
      <c r="O332" s="97"/>
    </row>
    <row r="333" spans="1:15" x14ac:dyDescent="0.3">
      <c r="A333" s="96" t="s">
        <v>327</v>
      </c>
      <c r="B333" s="97" t="s">
        <v>36</v>
      </c>
      <c r="C333" s="97" t="s">
        <v>384</v>
      </c>
      <c r="D333" s="97">
        <v>115</v>
      </c>
      <c r="E333" s="97"/>
      <c r="F333" s="97"/>
      <c r="G333" s="97" t="s">
        <v>74</v>
      </c>
      <c r="H333" s="97"/>
      <c r="I333" s="97"/>
      <c r="J333" s="99"/>
      <c r="K333" s="99"/>
      <c r="L333" s="99"/>
      <c r="M333" s="97">
        <f t="shared" si="10"/>
        <v>0</v>
      </c>
      <c r="N333" s="97">
        <f t="shared" si="11"/>
        <v>115</v>
      </c>
      <c r="O333" s="97"/>
    </row>
    <row r="334" spans="1:15" x14ac:dyDescent="0.3">
      <c r="A334" s="96" t="s">
        <v>327</v>
      </c>
      <c r="B334" s="97" t="s">
        <v>36</v>
      </c>
      <c r="C334" s="97" t="s">
        <v>385</v>
      </c>
      <c r="D334" s="97">
        <v>74</v>
      </c>
      <c r="E334" s="97"/>
      <c r="F334" s="97"/>
      <c r="G334" s="97" t="s">
        <v>74</v>
      </c>
      <c r="H334" s="97"/>
      <c r="I334" s="97"/>
      <c r="J334" s="99"/>
      <c r="K334" s="99"/>
      <c r="L334" s="99"/>
      <c r="M334" s="97">
        <f t="shared" si="10"/>
        <v>0</v>
      </c>
      <c r="N334" s="97">
        <f t="shared" si="11"/>
        <v>74</v>
      </c>
      <c r="O334" s="97"/>
    </row>
    <row r="335" spans="1:15" x14ac:dyDescent="0.3">
      <c r="A335" s="96" t="s">
        <v>327</v>
      </c>
      <c r="B335" s="97" t="s">
        <v>36</v>
      </c>
      <c r="C335" s="97" t="s">
        <v>386</v>
      </c>
      <c r="D335" s="97">
        <v>76</v>
      </c>
      <c r="E335" s="97"/>
      <c r="F335" s="97"/>
      <c r="G335" s="97" t="s">
        <v>74</v>
      </c>
      <c r="H335" s="97"/>
      <c r="I335" s="97"/>
      <c r="J335" s="99"/>
      <c r="K335" s="99"/>
      <c r="L335" s="99"/>
      <c r="M335" s="97">
        <f t="shared" si="10"/>
        <v>0</v>
      </c>
      <c r="N335" s="97">
        <f t="shared" si="11"/>
        <v>76</v>
      </c>
      <c r="O335" s="97"/>
    </row>
    <row r="336" spans="1:15" x14ac:dyDescent="0.3">
      <c r="A336" s="96" t="s">
        <v>327</v>
      </c>
      <c r="B336" s="97" t="s">
        <v>36</v>
      </c>
      <c r="C336" s="97" t="s">
        <v>387</v>
      </c>
      <c r="D336" s="97">
        <v>76</v>
      </c>
      <c r="E336" s="97"/>
      <c r="F336" s="97"/>
      <c r="G336" s="97" t="s">
        <v>74</v>
      </c>
      <c r="H336" s="97"/>
      <c r="I336" s="97"/>
      <c r="J336" s="99"/>
      <c r="K336" s="99"/>
      <c r="L336" s="99"/>
      <c r="M336" s="97">
        <f t="shared" si="10"/>
        <v>0</v>
      </c>
      <c r="N336" s="97">
        <f t="shared" si="11"/>
        <v>76</v>
      </c>
      <c r="O336" s="97"/>
    </row>
    <row r="337" spans="1:15" x14ac:dyDescent="0.3">
      <c r="A337" s="96" t="s">
        <v>327</v>
      </c>
      <c r="B337" s="97" t="s">
        <v>36</v>
      </c>
      <c r="C337" s="97" t="s">
        <v>388</v>
      </c>
      <c r="D337" s="97">
        <v>76</v>
      </c>
      <c r="E337" s="97"/>
      <c r="F337" s="97"/>
      <c r="G337" s="97" t="s">
        <v>74</v>
      </c>
      <c r="H337" s="97"/>
      <c r="I337" s="97"/>
      <c r="J337" s="99"/>
      <c r="K337" s="99"/>
      <c r="L337" s="99"/>
      <c r="M337" s="97">
        <f t="shared" si="10"/>
        <v>0</v>
      </c>
      <c r="N337" s="97">
        <f t="shared" si="11"/>
        <v>76</v>
      </c>
      <c r="O337" s="97"/>
    </row>
    <row r="338" spans="1:15" x14ac:dyDescent="0.3">
      <c r="A338" s="96" t="s">
        <v>327</v>
      </c>
      <c r="B338" s="97" t="s">
        <v>36</v>
      </c>
      <c r="C338" s="97" t="s">
        <v>389</v>
      </c>
      <c r="D338" s="97">
        <v>76</v>
      </c>
      <c r="E338" s="97"/>
      <c r="F338" s="97"/>
      <c r="G338" s="97" t="s">
        <v>74</v>
      </c>
      <c r="H338" s="97"/>
      <c r="I338" s="97"/>
      <c r="J338" s="99"/>
      <c r="K338" s="99"/>
      <c r="L338" s="99"/>
      <c r="M338" s="97">
        <f t="shared" si="10"/>
        <v>0</v>
      </c>
      <c r="N338" s="97">
        <f t="shared" si="11"/>
        <v>76</v>
      </c>
      <c r="O338" s="97"/>
    </row>
    <row r="339" spans="1:15" x14ac:dyDescent="0.3">
      <c r="A339" s="96" t="s">
        <v>327</v>
      </c>
      <c r="B339" s="97" t="s">
        <v>36</v>
      </c>
      <c r="C339" s="97" t="s">
        <v>390</v>
      </c>
      <c r="D339" s="97">
        <v>76</v>
      </c>
      <c r="E339" s="97"/>
      <c r="F339" s="97"/>
      <c r="G339" s="97" t="s">
        <v>74</v>
      </c>
      <c r="H339" s="97"/>
      <c r="I339" s="97"/>
      <c r="J339" s="99"/>
      <c r="K339" s="99"/>
      <c r="L339" s="99"/>
      <c r="M339" s="97">
        <f t="shared" si="10"/>
        <v>0</v>
      </c>
      <c r="N339" s="97">
        <f t="shared" si="11"/>
        <v>76</v>
      </c>
      <c r="O339" s="97"/>
    </row>
    <row r="340" spans="1:15" x14ac:dyDescent="0.3">
      <c r="A340" s="96" t="s">
        <v>327</v>
      </c>
      <c r="B340" s="97" t="s">
        <v>36</v>
      </c>
      <c r="C340" s="97" t="s">
        <v>391</v>
      </c>
      <c r="D340" s="97">
        <v>79</v>
      </c>
      <c r="E340" s="97"/>
      <c r="F340" s="97"/>
      <c r="G340" s="97" t="s">
        <v>74</v>
      </c>
      <c r="H340" s="97"/>
      <c r="I340" s="97"/>
      <c r="J340" s="99"/>
      <c r="K340" s="99"/>
      <c r="L340" s="99"/>
      <c r="M340" s="97">
        <f t="shared" si="10"/>
        <v>0</v>
      </c>
      <c r="N340" s="97">
        <f t="shared" si="11"/>
        <v>79</v>
      </c>
      <c r="O340" s="97"/>
    </row>
    <row r="341" spans="1:15" x14ac:dyDescent="0.3">
      <c r="A341" s="96" t="s">
        <v>327</v>
      </c>
      <c r="B341" s="97" t="s">
        <v>36</v>
      </c>
      <c r="C341" s="97" t="s">
        <v>392</v>
      </c>
      <c r="D341" s="97">
        <v>64</v>
      </c>
      <c r="E341" s="97"/>
      <c r="F341" s="97"/>
      <c r="G341" s="97" t="s">
        <v>74</v>
      </c>
      <c r="H341" s="97"/>
      <c r="I341" s="97"/>
      <c r="J341" s="99"/>
      <c r="K341" s="99"/>
      <c r="L341" s="99"/>
      <c r="M341" s="97">
        <f t="shared" si="10"/>
        <v>0</v>
      </c>
      <c r="N341" s="97">
        <f t="shared" si="11"/>
        <v>64</v>
      </c>
      <c r="O341" s="97"/>
    </row>
    <row r="342" spans="1:15" x14ac:dyDescent="0.3">
      <c r="A342" s="96" t="s">
        <v>327</v>
      </c>
      <c r="B342" s="97" t="s">
        <v>36</v>
      </c>
      <c r="C342" s="97" t="s">
        <v>393</v>
      </c>
      <c r="D342" s="97">
        <v>64</v>
      </c>
      <c r="E342" s="97"/>
      <c r="F342" s="97"/>
      <c r="G342" s="97" t="s">
        <v>74</v>
      </c>
      <c r="H342" s="97"/>
      <c r="I342" s="97"/>
      <c r="J342" s="99"/>
      <c r="K342" s="99"/>
      <c r="L342" s="99"/>
      <c r="M342" s="97">
        <f t="shared" si="10"/>
        <v>0</v>
      </c>
      <c r="N342" s="97">
        <f t="shared" si="11"/>
        <v>64</v>
      </c>
      <c r="O342" s="97"/>
    </row>
    <row r="343" spans="1:15" x14ac:dyDescent="0.3">
      <c r="A343" s="96" t="s">
        <v>327</v>
      </c>
      <c r="B343" s="97" t="s">
        <v>36</v>
      </c>
      <c r="C343" s="97" t="s">
        <v>394</v>
      </c>
      <c r="D343" s="97">
        <v>45</v>
      </c>
      <c r="E343" s="97"/>
      <c r="F343" s="97"/>
      <c r="G343" s="97" t="s">
        <v>74</v>
      </c>
      <c r="H343" s="97"/>
      <c r="I343" s="97"/>
      <c r="J343" s="99"/>
      <c r="K343" s="99"/>
      <c r="L343" s="99"/>
      <c r="M343" s="97">
        <f t="shared" si="10"/>
        <v>0</v>
      </c>
      <c r="N343" s="97">
        <f t="shared" si="11"/>
        <v>45</v>
      </c>
      <c r="O343" s="97"/>
    </row>
    <row r="344" spans="1:15" x14ac:dyDescent="0.3">
      <c r="A344" s="96" t="s">
        <v>327</v>
      </c>
      <c r="B344" s="97" t="s">
        <v>36</v>
      </c>
      <c r="C344" s="97" t="s">
        <v>395</v>
      </c>
      <c r="D344" s="97">
        <v>45</v>
      </c>
      <c r="E344" s="97"/>
      <c r="F344" s="97"/>
      <c r="G344" s="97" t="s">
        <v>74</v>
      </c>
      <c r="H344" s="97"/>
      <c r="I344" s="97"/>
      <c r="J344" s="99"/>
      <c r="K344" s="99"/>
      <c r="L344" s="99"/>
      <c r="M344" s="97">
        <f t="shared" si="10"/>
        <v>0</v>
      </c>
      <c r="N344" s="97">
        <f t="shared" si="11"/>
        <v>45</v>
      </c>
      <c r="O344" s="97"/>
    </row>
    <row r="345" spans="1:15" x14ac:dyDescent="0.3">
      <c r="A345" s="96" t="s">
        <v>327</v>
      </c>
      <c r="B345" s="97" t="s">
        <v>36</v>
      </c>
      <c r="C345" s="97" t="s">
        <v>396</v>
      </c>
      <c r="D345" s="97">
        <v>45</v>
      </c>
      <c r="E345" s="97"/>
      <c r="F345" s="97"/>
      <c r="G345" s="97" t="s">
        <v>74</v>
      </c>
      <c r="H345" s="97"/>
      <c r="I345" s="97"/>
      <c r="J345" s="99"/>
      <c r="K345" s="99"/>
      <c r="L345" s="99"/>
      <c r="M345" s="97">
        <f t="shared" si="10"/>
        <v>0</v>
      </c>
      <c r="N345" s="97">
        <f t="shared" si="11"/>
        <v>45</v>
      </c>
      <c r="O345" s="97"/>
    </row>
    <row r="346" spans="1:15" x14ac:dyDescent="0.3">
      <c r="A346" s="96" t="s">
        <v>327</v>
      </c>
      <c r="B346" s="97" t="s">
        <v>36</v>
      </c>
      <c r="C346" s="97" t="s">
        <v>397</v>
      </c>
      <c r="D346" s="97">
        <v>45</v>
      </c>
      <c r="E346" s="97"/>
      <c r="F346" s="97"/>
      <c r="G346" s="97" t="s">
        <v>74</v>
      </c>
      <c r="H346" s="97"/>
      <c r="I346" s="97"/>
      <c r="J346" s="99"/>
      <c r="K346" s="99"/>
      <c r="L346" s="99"/>
      <c r="M346" s="97">
        <f t="shared" si="10"/>
        <v>0</v>
      </c>
      <c r="N346" s="97">
        <f t="shared" si="11"/>
        <v>45</v>
      </c>
      <c r="O346" s="97"/>
    </row>
    <row r="347" spans="1:15" x14ac:dyDescent="0.3">
      <c r="A347" s="96" t="s">
        <v>327</v>
      </c>
      <c r="B347" s="97" t="s">
        <v>36</v>
      </c>
      <c r="C347" s="97" t="s">
        <v>398</v>
      </c>
      <c r="D347" s="97">
        <v>45</v>
      </c>
      <c r="E347" s="97"/>
      <c r="F347" s="97"/>
      <c r="G347" s="97" t="s">
        <v>74</v>
      </c>
      <c r="H347" s="97"/>
      <c r="I347" s="97"/>
      <c r="J347" s="99"/>
      <c r="K347" s="99"/>
      <c r="L347" s="99"/>
      <c r="M347" s="97">
        <f t="shared" si="10"/>
        <v>0</v>
      </c>
      <c r="N347" s="97">
        <f t="shared" si="11"/>
        <v>45</v>
      </c>
      <c r="O347" s="97"/>
    </row>
    <row r="348" spans="1:15" x14ac:dyDescent="0.3">
      <c r="A348" s="96" t="s">
        <v>327</v>
      </c>
      <c r="B348" s="97" t="s">
        <v>36</v>
      </c>
      <c r="C348" s="97" t="s">
        <v>399</v>
      </c>
      <c r="D348" s="97">
        <v>45</v>
      </c>
      <c r="E348" s="97"/>
      <c r="F348" s="97"/>
      <c r="G348" s="97" t="s">
        <v>74</v>
      </c>
      <c r="H348" s="97"/>
      <c r="I348" s="97"/>
      <c r="J348" s="99"/>
      <c r="K348" s="99"/>
      <c r="L348" s="99"/>
      <c r="M348" s="97">
        <f t="shared" si="10"/>
        <v>0</v>
      </c>
      <c r="N348" s="97">
        <f t="shared" si="11"/>
        <v>45</v>
      </c>
      <c r="O348" s="97"/>
    </row>
    <row r="349" spans="1:15" x14ac:dyDescent="0.3">
      <c r="A349" s="96" t="s">
        <v>327</v>
      </c>
      <c r="B349" s="97" t="s">
        <v>36</v>
      </c>
      <c r="C349" s="97" t="s">
        <v>400</v>
      </c>
      <c r="D349" s="97">
        <v>45</v>
      </c>
      <c r="E349" s="97"/>
      <c r="F349" s="97"/>
      <c r="G349" s="97" t="s">
        <v>74</v>
      </c>
      <c r="H349" s="97"/>
      <c r="I349" s="97"/>
      <c r="J349" s="99"/>
      <c r="K349" s="99"/>
      <c r="L349" s="99"/>
      <c r="M349" s="97">
        <f t="shared" si="10"/>
        <v>0</v>
      </c>
      <c r="N349" s="97">
        <f t="shared" si="11"/>
        <v>45</v>
      </c>
      <c r="O349" s="97"/>
    </row>
    <row r="350" spans="1:15" x14ac:dyDescent="0.3">
      <c r="A350" s="96" t="s">
        <v>327</v>
      </c>
      <c r="B350" s="97" t="s">
        <v>36</v>
      </c>
      <c r="C350" s="97" t="s">
        <v>401</v>
      </c>
      <c r="D350" s="97">
        <v>45</v>
      </c>
      <c r="E350" s="97"/>
      <c r="F350" s="97"/>
      <c r="G350" s="97" t="s">
        <v>74</v>
      </c>
      <c r="H350" s="97"/>
      <c r="I350" s="97"/>
      <c r="J350" s="99"/>
      <c r="K350" s="99"/>
      <c r="L350" s="99"/>
      <c r="M350" s="97">
        <f t="shared" si="10"/>
        <v>0</v>
      </c>
      <c r="N350" s="97">
        <f t="shared" si="11"/>
        <v>45</v>
      </c>
      <c r="O350" s="97"/>
    </row>
    <row r="351" spans="1:15" x14ac:dyDescent="0.3">
      <c r="A351" s="96" t="s">
        <v>327</v>
      </c>
      <c r="B351" s="97" t="s">
        <v>36</v>
      </c>
      <c r="C351" s="97" t="s">
        <v>402</v>
      </c>
      <c r="D351" s="97">
        <v>45</v>
      </c>
      <c r="E351" s="97"/>
      <c r="F351" s="97"/>
      <c r="G351" s="97" t="s">
        <v>74</v>
      </c>
      <c r="H351" s="97"/>
      <c r="I351" s="97"/>
      <c r="J351" s="99"/>
      <c r="K351" s="99"/>
      <c r="L351" s="99"/>
      <c r="M351" s="97">
        <f t="shared" si="10"/>
        <v>0</v>
      </c>
      <c r="N351" s="97">
        <f t="shared" si="11"/>
        <v>45</v>
      </c>
      <c r="O351" s="97"/>
    </row>
    <row r="352" spans="1:15" x14ac:dyDescent="0.3">
      <c r="A352" s="96" t="s">
        <v>327</v>
      </c>
      <c r="B352" s="97" t="s">
        <v>36</v>
      </c>
      <c r="C352" s="97" t="s">
        <v>403</v>
      </c>
      <c r="D352" s="97">
        <v>45</v>
      </c>
      <c r="E352" s="97"/>
      <c r="F352" s="97"/>
      <c r="G352" s="97" t="s">
        <v>74</v>
      </c>
      <c r="H352" s="97"/>
      <c r="I352" s="97"/>
      <c r="J352" s="99"/>
      <c r="K352" s="99"/>
      <c r="L352" s="99"/>
      <c r="M352" s="97">
        <f t="shared" si="10"/>
        <v>0</v>
      </c>
      <c r="N352" s="97">
        <f t="shared" si="11"/>
        <v>45</v>
      </c>
      <c r="O352" s="97"/>
    </row>
    <row r="353" spans="1:15" x14ac:dyDescent="0.3">
      <c r="A353" s="96" t="s">
        <v>327</v>
      </c>
      <c r="B353" s="97" t="s">
        <v>36</v>
      </c>
      <c r="C353" s="97" t="s">
        <v>404</v>
      </c>
      <c r="D353" s="97">
        <v>45</v>
      </c>
      <c r="E353" s="97"/>
      <c r="F353" s="97"/>
      <c r="G353" s="97" t="s">
        <v>74</v>
      </c>
      <c r="H353" s="97"/>
      <c r="I353" s="97"/>
      <c r="J353" s="99"/>
      <c r="K353" s="99"/>
      <c r="L353" s="99"/>
      <c r="M353" s="97">
        <f t="shared" si="10"/>
        <v>0</v>
      </c>
      <c r="N353" s="97">
        <f t="shared" si="11"/>
        <v>45</v>
      </c>
      <c r="O353" s="97"/>
    </row>
    <row r="354" spans="1:15" x14ac:dyDescent="0.3">
      <c r="A354" s="96" t="s">
        <v>327</v>
      </c>
      <c r="B354" s="97" t="s">
        <v>36</v>
      </c>
      <c r="C354" s="97" t="s">
        <v>405</v>
      </c>
      <c r="D354" s="97">
        <v>45</v>
      </c>
      <c r="E354" s="97"/>
      <c r="F354" s="97"/>
      <c r="G354" s="97" t="s">
        <v>74</v>
      </c>
      <c r="H354" s="97"/>
      <c r="I354" s="97"/>
      <c r="J354" s="99"/>
      <c r="K354" s="99"/>
      <c r="L354" s="99"/>
      <c r="M354" s="97">
        <f t="shared" si="10"/>
        <v>0</v>
      </c>
      <c r="N354" s="97">
        <f t="shared" si="11"/>
        <v>45</v>
      </c>
      <c r="O354" s="97"/>
    </row>
    <row r="355" spans="1:15" x14ac:dyDescent="0.3">
      <c r="A355" s="96" t="s">
        <v>327</v>
      </c>
      <c r="B355" s="97" t="s">
        <v>36</v>
      </c>
      <c r="C355" s="97" t="s">
        <v>406</v>
      </c>
      <c r="D355" s="97">
        <v>50</v>
      </c>
      <c r="E355" s="97"/>
      <c r="F355" s="97"/>
      <c r="G355" s="97" t="s">
        <v>74</v>
      </c>
      <c r="H355" s="97"/>
      <c r="I355" s="97"/>
      <c r="J355" s="99"/>
      <c r="K355" s="99"/>
      <c r="L355" s="99"/>
      <c r="M355" s="97">
        <f t="shared" si="10"/>
        <v>0</v>
      </c>
      <c r="N355" s="97">
        <f t="shared" si="11"/>
        <v>50</v>
      </c>
      <c r="O355" s="97"/>
    </row>
    <row r="356" spans="1:15" x14ac:dyDescent="0.3">
      <c r="A356" s="96" t="s">
        <v>327</v>
      </c>
      <c r="B356" s="97" t="s">
        <v>36</v>
      </c>
      <c r="C356" s="97" t="s">
        <v>407</v>
      </c>
      <c r="D356" s="97">
        <v>58</v>
      </c>
      <c r="E356" s="97"/>
      <c r="F356" s="97"/>
      <c r="G356" s="97" t="s">
        <v>74</v>
      </c>
      <c r="H356" s="97"/>
      <c r="I356" s="97"/>
      <c r="J356" s="99"/>
      <c r="K356" s="99"/>
      <c r="L356" s="99"/>
      <c r="M356" s="97">
        <f t="shared" si="10"/>
        <v>0</v>
      </c>
      <c r="N356" s="97">
        <f t="shared" si="11"/>
        <v>58</v>
      </c>
      <c r="O356" s="97"/>
    </row>
    <row r="357" spans="1:15" x14ac:dyDescent="0.3">
      <c r="A357" s="96" t="s">
        <v>327</v>
      </c>
      <c r="B357" s="97" t="s">
        <v>36</v>
      </c>
      <c r="C357" s="97" t="s">
        <v>408</v>
      </c>
      <c r="D357" s="97">
        <v>58</v>
      </c>
      <c r="E357" s="97"/>
      <c r="F357" s="97"/>
      <c r="G357" s="97" t="s">
        <v>74</v>
      </c>
      <c r="H357" s="97"/>
      <c r="I357" s="97"/>
      <c r="J357" s="99"/>
      <c r="K357" s="99"/>
      <c r="L357" s="99"/>
      <c r="M357" s="97">
        <f t="shared" si="10"/>
        <v>0</v>
      </c>
      <c r="N357" s="97">
        <f t="shared" si="11"/>
        <v>58</v>
      </c>
      <c r="O357" s="97"/>
    </row>
    <row r="358" spans="1:15" x14ac:dyDescent="0.3">
      <c r="A358" s="96" t="s">
        <v>327</v>
      </c>
      <c r="B358" s="97" t="s">
        <v>36</v>
      </c>
      <c r="C358" s="97" t="s">
        <v>409</v>
      </c>
      <c r="D358" s="97">
        <v>42</v>
      </c>
      <c r="E358" s="97"/>
      <c r="F358" s="97"/>
      <c r="G358" s="97" t="s">
        <v>74</v>
      </c>
      <c r="H358" s="97"/>
      <c r="I358" s="97"/>
      <c r="J358" s="99"/>
      <c r="K358" s="99"/>
      <c r="L358" s="99"/>
      <c r="M358" s="97">
        <f t="shared" si="10"/>
        <v>0</v>
      </c>
      <c r="N358" s="97">
        <f t="shared" si="11"/>
        <v>42</v>
      </c>
      <c r="O358" s="97"/>
    </row>
    <row r="359" spans="1:15" x14ac:dyDescent="0.3">
      <c r="A359" s="96" t="s">
        <v>327</v>
      </c>
      <c r="B359" s="97" t="s">
        <v>36</v>
      </c>
      <c r="C359" s="97" t="s">
        <v>410</v>
      </c>
      <c r="D359" s="97">
        <v>42</v>
      </c>
      <c r="E359" s="97"/>
      <c r="F359" s="97"/>
      <c r="G359" s="97" t="s">
        <v>74</v>
      </c>
      <c r="H359" s="97"/>
      <c r="I359" s="97"/>
      <c r="J359" s="99"/>
      <c r="K359" s="99"/>
      <c r="L359" s="99"/>
      <c r="M359" s="97">
        <f t="shared" si="10"/>
        <v>0</v>
      </c>
      <c r="N359" s="97">
        <f t="shared" si="11"/>
        <v>42</v>
      </c>
      <c r="O359" s="97"/>
    </row>
    <row r="360" spans="1:15" x14ac:dyDescent="0.3">
      <c r="A360" s="96" t="s">
        <v>327</v>
      </c>
      <c r="B360" s="97" t="s">
        <v>36</v>
      </c>
      <c r="C360" s="97" t="s">
        <v>411</v>
      </c>
      <c r="D360" s="97">
        <v>42</v>
      </c>
      <c r="E360" s="97"/>
      <c r="F360" s="97"/>
      <c r="G360" s="97" t="s">
        <v>74</v>
      </c>
      <c r="H360" s="97"/>
      <c r="I360" s="97"/>
      <c r="J360" s="99"/>
      <c r="K360" s="99"/>
      <c r="L360" s="99"/>
      <c r="M360" s="97">
        <f t="shared" si="10"/>
        <v>0</v>
      </c>
      <c r="N360" s="97">
        <f t="shared" si="11"/>
        <v>42</v>
      </c>
      <c r="O360" s="97"/>
    </row>
    <row r="361" spans="1:15" x14ac:dyDescent="0.3">
      <c r="A361" s="96" t="s">
        <v>327</v>
      </c>
      <c r="B361" s="97" t="s">
        <v>36</v>
      </c>
      <c r="C361" s="97" t="s">
        <v>412</v>
      </c>
      <c r="D361" s="97">
        <v>42</v>
      </c>
      <c r="E361" s="97"/>
      <c r="F361" s="97"/>
      <c r="G361" s="97" t="s">
        <v>74</v>
      </c>
      <c r="H361" s="97"/>
      <c r="I361" s="97"/>
      <c r="J361" s="99"/>
      <c r="K361" s="99"/>
      <c r="L361" s="99"/>
      <c r="M361" s="97">
        <f t="shared" si="10"/>
        <v>0</v>
      </c>
      <c r="N361" s="97">
        <f t="shared" si="11"/>
        <v>42</v>
      </c>
      <c r="O361" s="97"/>
    </row>
    <row r="362" spans="1:15" x14ac:dyDescent="0.3">
      <c r="A362" s="96" t="s">
        <v>327</v>
      </c>
      <c r="B362" s="97" t="s">
        <v>36</v>
      </c>
      <c r="C362" s="97" t="s">
        <v>413</v>
      </c>
      <c r="D362" s="97">
        <v>42</v>
      </c>
      <c r="E362" s="97"/>
      <c r="F362" s="97"/>
      <c r="G362" s="97" t="s">
        <v>74</v>
      </c>
      <c r="H362" s="97"/>
      <c r="I362" s="97"/>
      <c r="J362" s="99"/>
      <c r="K362" s="99"/>
      <c r="L362" s="99"/>
      <c r="M362" s="97">
        <f t="shared" si="10"/>
        <v>0</v>
      </c>
      <c r="N362" s="97">
        <f t="shared" si="11"/>
        <v>42</v>
      </c>
      <c r="O362" s="97"/>
    </row>
    <row r="363" spans="1:15" x14ac:dyDescent="0.3">
      <c r="A363" s="96" t="s">
        <v>327</v>
      </c>
      <c r="B363" s="97" t="s">
        <v>36</v>
      </c>
      <c r="C363" s="97" t="s">
        <v>414</v>
      </c>
      <c r="D363" s="97">
        <v>42</v>
      </c>
      <c r="E363" s="97"/>
      <c r="F363" s="97"/>
      <c r="G363" s="97" t="s">
        <v>74</v>
      </c>
      <c r="H363" s="97"/>
      <c r="I363" s="97"/>
      <c r="J363" s="99"/>
      <c r="K363" s="99"/>
      <c r="L363" s="99"/>
      <c r="M363" s="97">
        <f t="shared" si="10"/>
        <v>0</v>
      </c>
      <c r="N363" s="97">
        <f t="shared" si="11"/>
        <v>42</v>
      </c>
      <c r="O363" s="97"/>
    </row>
    <row r="364" spans="1:15" x14ac:dyDescent="0.3">
      <c r="A364" s="96" t="s">
        <v>327</v>
      </c>
      <c r="B364" s="97" t="s">
        <v>36</v>
      </c>
      <c r="C364" s="97" t="s">
        <v>415</v>
      </c>
      <c r="D364" s="97">
        <v>42</v>
      </c>
      <c r="E364" s="97"/>
      <c r="F364" s="97"/>
      <c r="G364" s="97" t="s">
        <v>74</v>
      </c>
      <c r="H364" s="97"/>
      <c r="I364" s="97"/>
      <c r="J364" s="99"/>
      <c r="K364" s="99"/>
      <c r="L364" s="99"/>
      <c r="M364" s="97">
        <f t="shared" si="10"/>
        <v>0</v>
      </c>
      <c r="N364" s="97">
        <f t="shared" si="11"/>
        <v>42</v>
      </c>
      <c r="O364" s="97"/>
    </row>
    <row r="365" spans="1:15" x14ac:dyDescent="0.3">
      <c r="A365" s="96" t="s">
        <v>327</v>
      </c>
      <c r="B365" s="97" t="s">
        <v>36</v>
      </c>
      <c r="C365" s="97" t="s">
        <v>416</v>
      </c>
      <c r="D365" s="97">
        <v>42</v>
      </c>
      <c r="E365" s="97"/>
      <c r="F365" s="97"/>
      <c r="G365" s="97" t="s">
        <v>74</v>
      </c>
      <c r="H365" s="97"/>
      <c r="I365" s="97"/>
      <c r="J365" s="99"/>
      <c r="K365" s="99"/>
      <c r="L365" s="99"/>
      <c r="M365" s="97">
        <f t="shared" si="10"/>
        <v>0</v>
      </c>
      <c r="N365" s="97">
        <f t="shared" si="11"/>
        <v>42</v>
      </c>
      <c r="O365" s="97"/>
    </row>
    <row r="366" spans="1:15" x14ac:dyDescent="0.3">
      <c r="A366" s="96" t="s">
        <v>327</v>
      </c>
      <c r="B366" s="97" t="s">
        <v>36</v>
      </c>
      <c r="C366" s="97" t="s">
        <v>417</v>
      </c>
      <c r="D366" s="97">
        <v>42</v>
      </c>
      <c r="E366" s="97"/>
      <c r="F366" s="97"/>
      <c r="G366" s="97" t="s">
        <v>74</v>
      </c>
      <c r="H366" s="97"/>
      <c r="I366" s="97"/>
      <c r="J366" s="99"/>
      <c r="K366" s="99"/>
      <c r="L366" s="99"/>
      <c r="M366" s="97">
        <f t="shared" si="10"/>
        <v>0</v>
      </c>
      <c r="N366" s="97">
        <f t="shared" si="11"/>
        <v>42</v>
      </c>
      <c r="O366" s="97"/>
    </row>
    <row r="367" spans="1:15" x14ac:dyDescent="0.3">
      <c r="A367" s="96" t="s">
        <v>327</v>
      </c>
      <c r="B367" s="97" t="s">
        <v>36</v>
      </c>
      <c r="C367" s="97" t="s">
        <v>418</v>
      </c>
      <c r="D367" s="97">
        <v>42</v>
      </c>
      <c r="E367" s="97"/>
      <c r="F367" s="97"/>
      <c r="G367" s="97" t="s">
        <v>74</v>
      </c>
      <c r="H367" s="97"/>
      <c r="I367" s="97"/>
      <c r="J367" s="99"/>
      <c r="K367" s="99"/>
      <c r="L367" s="99"/>
      <c r="M367" s="97">
        <f t="shared" si="10"/>
        <v>0</v>
      </c>
      <c r="N367" s="97">
        <f t="shared" si="11"/>
        <v>42</v>
      </c>
      <c r="O367" s="97"/>
    </row>
    <row r="368" spans="1:15" x14ac:dyDescent="0.3">
      <c r="A368" s="96" t="s">
        <v>327</v>
      </c>
      <c r="B368" s="97" t="s">
        <v>36</v>
      </c>
      <c r="C368" s="97" t="s">
        <v>419</v>
      </c>
      <c r="D368" s="97">
        <v>42</v>
      </c>
      <c r="E368" s="97"/>
      <c r="F368" s="97"/>
      <c r="G368" s="97" t="s">
        <v>74</v>
      </c>
      <c r="H368" s="97"/>
      <c r="I368" s="97"/>
      <c r="J368" s="99"/>
      <c r="K368" s="99"/>
      <c r="L368" s="99"/>
      <c r="M368" s="97">
        <f t="shared" si="10"/>
        <v>0</v>
      </c>
      <c r="N368" s="97">
        <f t="shared" si="11"/>
        <v>42</v>
      </c>
      <c r="O368" s="97"/>
    </row>
    <row r="369" spans="1:15" x14ac:dyDescent="0.3">
      <c r="A369" s="96" t="s">
        <v>327</v>
      </c>
      <c r="B369" s="97" t="s">
        <v>36</v>
      </c>
      <c r="C369" s="97" t="s">
        <v>420</v>
      </c>
      <c r="D369" s="97">
        <v>42</v>
      </c>
      <c r="E369" s="97"/>
      <c r="F369" s="97"/>
      <c r="G369" s="97" t="s">
        <v>74</v>
      </c>
      <c r="H369" s="97"/>
      <c r="I369" s="97"/>
      <c r="J369" s="99"/>
      <c r="K369" s="99"/>
      <c r="L369" s="99"/>
      <c r="M369" s="97">
        <f t="shared" si="10"/>
        <v>0</v>
      </c>
      <c r="N369" s="97">
        <f t="shared" si="11"/>
        <v>42</v>
      </c>
      <c r="O369" s="97"/>
    </row>
    <row r="370" spans="1:15" x14ac:dyDescent="0.3">
      <c r="A370" s="96" t="s">
        <v>327</v>
      </c>
      <c r="B370" s="97" t="s">
        <v>36</v>
      </c>
      <c r="C370" s="97" t="s">
        <v>421</v>
      </c>
      <c r="D370" s="97">
        <v>42</v>
      </c>
      <c r="E370" s="97"/>
      <c r="F370" s="97"/>
      <c r="G370" s="97" t="s">
        <v>74</v>
      </c>
      <c r="H370" s="97"/>
      <c r="I370" s="97"/>
      <c r="J370" s="99"/>
      <c r="K370" s="99"/>
      <c r="L370" s="99"/>
      <c r="M370" s="97">
        <f t="shared" ref="M370:M433" si="12">IF(G370="已租",D370,0)</f>
        <v>0</v>
      </c>
      <c r="N370" s="97">
        <f t="shared" si="11"/>
        <v>42</v>
      </c>
      <c r="O370" s="97"/>
    </row>
    <row r="371" spans="1:15" x14ac:dyDescent="0.3">
      <c r="A371" s="96" t="s">
        <v>327</v>
      </c>
      <c r="B371" s="97" t="s">
        <v>36</v>
      </c>
      <c r="C371" s="97" t="s">
        <v>422</v>
      </c>
      <c r="D371" s="97">
        <v>42</v>
      </c>
      <c r="E371" s="97"/>
      <c r="F371" s="97"/>
      <c r="G371" s="97" t="s">
        <v>74</v>
      </c>
      <c r="H371" s="97"/>
      <c r="I371" s="97"/>
      <c r="J371" s="99"/>
      <c r="K371" s="99"/>
      <c r="L371" s="99"/>
      <c r="M371" s="97">
        <f t="shared" si="12"/>
        <v>0</v>
      </c>
      <c r="N371" s="97">
        <f t="shared" si="11"/>
        <v>42</v>
      </c>
      <c r="O371" s="97"/>
    </row>
    <row r="372" spans="1:15" x14ac:dyDescent="0.3">
      <c r="A372" s="96" t="s">
        <v>327</v>
      </c>
      <c r="B372" s="97" t="s">
        <v>36</v>
      </c>
      <c r="C372" s="97" t="s">
        <v>423</v>
      </c>
      <c r="D372" s="97">
        <v>58</v>
      </c>
      <c r="E372" s="97"/>
      <c r="F372" s="97"/>
      <c r="G372" s="97" t="s">
        <v>74</v>
      </c>
      <c r="H372" s="97"/>
      <c r="I372" s="97"/>
      <c r="J372" s="99"/>
      <c r="K372" s="99"/>
      <c r="L372" s="99"/>
      <c r="M372" s="97">
        <f t="shared" si="12"/>
        <v>0</v>
      </c>
      <c r="N372" s="97">
        <f t="shared" si="11"/>
        <v>58</v>
      </c>
      <c r="O372" s="97"/>
    </row>
    <row r="373" spans="1:15" x14ac:dyDescent="0.3">
      <c r="A373" s="96" t="s">
        <v>327</v>
      </c>
      <c r="B373" s="97" t="s">
        <v>36</v>
      </c>
      <c r="C373" s="97" t="s">
        <v>424</v>
      </c>
      <c r="D373" s="97">
        <v>58</v>
      </c>
      <c r="E373" s="97"/>
      <c r="F373" s="97"/>
      <c r="G373" s="97" t="s">
        <v>74</v>
      </c>
      <c r="H373" s="97"/>
      <c r="I373" s="97"/>
      <c r="J373" s="99"/>
      <c r="K373" s="99"/>
      <c r="L373" s="99"/>
      <c r="M373" s="97">
        <f t="shared" si="12"/>
        <v>0</v>
      </c>
      <c r="N373" s="97">
        <f t="shared" si="11"/>
        <v>58</v>
      </c>
      <c r="O373" s="97"/>
    </row>
    <row r="374" spans="1:15" x14ac:dyDescent="0.3">
      <c r="A374" s="96" t="s">
        <v>327</v>
      </c>
      <c r="B374" s="97" t="s">
        <v>36</v>
      </c>
      <c r="C374" s="97" t="s">
        <v>425</v>
      </c>
      <c r="D374" s="97">
        <v>42</v>
      </c>
      <c r="E374" s="97"/>
      <c r="F374" s="97"/>
      <c r="G374" s="97" t="s">
        <v>74</v>
      </c>
      <c r="H374" s="97"/>
      <c r="I374" s="97"/>
      <c r="J374" s="99"/>
      <c r="K374" s="99"/>
      <c r="L374" s="99"/>
      <c r="M374" s="97">
        <f t="shared" si="12"/>
        <v>0</v>
      </c>
      <c r="N374" s="97">
        <f t="shared" si="11"/>
        <v>42</v>
      </c>
      <c r="O374" s="97"/>
    </row>
    <row r="375" spans="1:15" x14ac:dyDescent="0.3">
      <c r="A375" s="96" t="s">
        <v>327</v>
      </c>
      <c r="B375" s="97" t="s">
        <v>36</v>
      </c>
      <c r="C375" s="97" t="s">
        <v>426</v>
      </c>
      <c r="D375" s="97">
        <v>42</v>
      </c>
      <c r="E375" s="97"/>
      <c r="F375" s="97"/>
      <c r="G375" s="97" t="s">
        <v>74</v>
      </c>
      <c r="H375" s="97"/>
      <c r="I375" s="97"/>
      <c r="J375" s="99"/>
      <c r="K375" s="99"/>
      <c r="L375" s="99"/>
      <c r="M375" s="97">
        <f t="shared" si="12"/>
        <v>0</v>
      </c>
      <c r="N375" s="97">
        <f t="shared" si="11"/>
        <v>42</v>
      </c>
      <c r="O375" s="97"/>
    </row>
    <row r="376" spans="1:15" x14ac:dyDescent="0.3">
      <c r="A376" s="96" t="s">
        <v>327</v>
      </c>
      <c r="B376" s="97" t="s">
        <v>36</v>
      </c>
      <c r="C376" s="97" t="s">
        <v>427</v>
      </c>
      <c r="D376" s="97">
        <v>42</v>
      </c>
      <c r="E376" s="97"/>
      <c r="F376" s="97"/>
      <c r="G376" s="97" t="s">
        <v>74</v>
      </c>
      <c r="H376" s="97"/>
      <c r="I376" s="97"/>
      <c r="J376" s="99"/>
      <c r="K376" s="99"/>
      <c r="L376" s="99"/>
      <c r="M376" s="97">
        <f t="shared" si="12"/>
        <v>0</v>
      </c>
      <c r="N376" s="97">
        <f t="shared" si="11"/>
        <v>42</v>
      </c>
      <c r="O376" s="97"/>
    </row>
    <row r="377" spans="1:15" x14ac:dyDescent="0.3">
      <c r="A377" s="96" t="s">
        <v>327</v>
      </c>
      <c r="B377" s="97" t="s">
        <v>36</v>
      </c>
      <c r="C377" s="97" t="s">
        <v>428</v>
      </c>
      <c r="D377" s="97">
        <v>42</v>
      </c>
      <c r="E377" s="97"/>
      <c r="F377" s="97"/>
      <c r="G377" s="97" t="s">
        <v>74</v>
      </c>
      <c r="H377" s="97"/>
      <c r="I377" s="97"/>
      <c r="J377" s="99"/>
      <c r="K377" s="99"/>
      <c r="L377" s="99"/>
      <c r="M377" s="97">
        <f t="shared" si="12"/>
        <v>0</v>
      </c>
      <c r="N377" s="97">
        <f t="shared" si="11"/>
        <v>42</v>
      </c>
      <c r="O377" s="97"/>
    </row>
    <row r="378" spans="1:15" x14ac:dyDescent="0.3">
      <c r="A378" s="96" t="s">
        <v>327</v>
      </c>
      <c r="B378" s="97" t="s">
        <v>36</v>
      </c>
      <c r="C378" s="97" t="s">
        <v>429</v>
      </c>
      <c r="D378" s="97">
        <v>42</v>
      </c>
      <c r="E378" s="97"/>
      <c r="F378" s="97"/>
      <c r="G378" s="97" t="s">
        <v>74</v>
      </c>
      <c r="H378" s="97"/>
      <c r="I378" s="97"/>
      <c r="J378" s="99"/>
      <c r="K378" s="99"/>
      <c r="L378" s="99"/>
      <c r="M378" s="97">
        <f t="shared" si="12"/>
        <v>0</v>
      </c>
      <c r="N378" s="97">
        <f t="shared" si="11"/>
        <v>42</v>
      </c>
      <c r="O378" s="97"/>
    </row>
    <row r="379" spans="1:15" x14ac:dyDescent="0.3">
      <c r="A379" s="96" t="s">
        <v>327</v>
      </c>
      <c r="B379" s="97" t="s">
        <v>36</v>
      </c>
      <c r="C379" s="97" t="s">
        <v>430</v>
      </c>
      <c r="D379" s="97">
        <v>42</v>
      </c>
      <c r="E379" s="97"/>
      <c r="F379" s="97"/>
      <c r="G379" s="97" t="s">
        <v>74</v>
      </c>
      <c r="H379" s="97"/>
      <c r="I379" s="97"/>
      <c r="J379" s="99"/>
      <c r="K379" s="99"/>
      <c r="L379" s="99"/>
      <c r="M379" s="97">
        <f t="shared" si="12"/>
        <v>0</v>
      </c>
      <c r="N379" s="97">
        <f t="shared" si="11"/>
        <v>42</v>
      </c>
      <c r="O379" s="97"/>
    </row>
    <row r="380" spans="1:15" x14ac:dyDescent="0.3">
      <c r="A380" s="96" t="s">
        <v>327</v>
      </c>
      <c r="B380" s="97" t="s">
        <v>36</v>
      </c>
      <c r="C380" s="97" t="s">
        <v>431</v>
      </c>
      <c r="D380" s="97">
        <v>42</v>
      </c>
      <c r="E380" s="97"/>
      <c r="F380" s="97"/>
      <c r="G380" s="97" t="s">
        <v>74</v>
      </c>
      <c r="H380" s="97"/>
      <c r="I380" s="97"/>
      <c r="J380" s="99"/>
      <c r="K380" s="99"/>
      <c r="L380" s="99"/>
      <c r="M380" s="97">
        <f t="shared" si="12"/>
        <v>0</v>
      </c>
      <c r="N380" s="97">
        <f t="shared" si="11"/>
        <v>42</v>
      </c>
      <c r="O380" s="97"/>
    </row>
    <row r="381" spans="1:15" x14ac:dyDescent="0.3">
      <c r="A381" s="96" t="s">
        <v>327</v>
      </c>
      <c r="B381" s="97" t="s">
        <v>36</v>
      </c>
      <c r="C381" s="97" t="s">
        <v>432</v>
      </c>
      <c r="D381" s="97">
        <v>42</v>
      </c>
      <c r="E381" s="97"/>
      <c r="F381" s="97"/>
      <c r="G381" s="97" t="s">
        <v>74</v>
      </c>
      <c r="H381" s="97"/>
      <c r="I381" s="97"/>
      <c r="J381" s="99"/>
      <c r="K381" s="99"/>
      <c r="L381" s="99"/>
      <c r="M381" s="97">
        <f t="shared" si="12"/>
        <v>0</v>
      </c>
      <c r="N381" s="97">
        <f t="shared" si="11"/>
        <v>42</v>
      </c>
      <c r="O381" s="97"/>
    </row>
    <row r="382" spans="1:15" x14ac:dyDescent="0.3">
      <c r="A382" s="96" t="s">
        <v>327</v>
      </c>
      <c r="B382" s="97" t="s">
        <v>36</v>
      </c>
      <c r="C382" s="97" t="s">
        <v>433</v>
      </c>
      <c r="D382" s="97">
        <v>42</v>
      </c>
      <c r="E382" s="97"/>
      <c r="F382" s="97"/>
      <c r="G382" s="97" t="s">
        <v>74</v>
      </c>
      <c r="H382" s="97"/>
      <c r="I382" s="97"/>
      <c r="J382" s="99"/>
      <c r="K382" s="99"/>
      <c r="L382" s="99"/>
      <c r="M382" s="97">
        <f t="shared" si="12"/>
        <v>0</v>
      </c>
      <c r="N382" s="97">
        <f t="shared" si="11"/>
        <v>42</v>
      </c>
      <c r="O382" s="97"/>
    </row>
    <row r="383" spans="1:15" x14ac:dyDescent="0.3">
      <c r="A383" s="96" t="s">
        <v>327</v>
      </c>
      <c r="B383" s="97" t="s">
        <v>36</v>
      </c>
      <c r="C383" s="97" t="s">
        <v>434</v>
      </c>
      <c r="D383" s="97">
        <v>42</v>
      </c>
      <c r="E383" s="97"/>
      <c r="F383" s="97"/>
      <c r="G383" s="97" t="s">
        <v>74</v>
      </c>
      <c r="H383" s="97"/>
      <c r="I383" s="97"/>
      <c r="J383" s="99"/>
      <c r="K383" s="99"/>
      <c r="L383" s="99"/>
      <c r="M383" s="97">
        <f t="shared" si="12"/>
        <v>0</v>
      </c>
      <c r="N383" s="97">
        <f t="shared" si="11"/>
        <v>42</v>
      </c>
      <c r="O383" s="97"/>
    </row>
    <row r="384" spans="1:15" x14ac:dyDescent="0.3">
      <c r="A384" s="96" t="s">
        <v>327</v>
      </c>
      <c r="B384" s="97" t="s">
        <v>36</v>
      </c>
      <c r="C384" s="97" t="s">
        <v>435</v>
      </c>
      <c r="D384" s="97">
        <v>42</v>
      </c>
      <c r="E384" s="97"/>
      <c r="F384" s="97"/>
      <c r="G384" s="97" t="s">
        <v>74</v>
      </c>
      <c r="H384" s="97"/>
      <c r="I384" s="97"/>
      <c r="J384" s="99"/>
      <c r="K384" s="99"/>
      <c r="L384" s="99"/>
      <c r="M384" s="97">
        <f t="shared" si="12"/>
        <v>0</v>
      </c>
      <c r="N384" s="97">
        <f t="shared" si="11"/>
        <v>42</v>
      </c>
      <c r="O384" s="97"/>
    </row>
    <row r="385" spans="1:15" x14ac:dyDescent="0.3">
      <c r="A385" s="96" t="s">
        <v>327</v>
      </c>
      <c r="B385" s="97" t="s">
        <v>36</v>
      </c>
      <c r="C385" s="97" t="s">
        <v>436</v>
      </c>
      <c r="D385" s="97">
        <v>42</v>
      </c>
      <c r="E385" s="97"/>
      <c r="F385" s="97"/>
      <c r="G385" s="97" t="s">
        <v>74</v>
      </c>
      <c r="H385" s="97"/>
      <c r="I385" s="97"/>
      <c r="J385" s="99"/>
      <c r="K385" s="99"/>
      <c r="L385" s="99"/>
      <c r="M385" s="97">
        <f t="shared" si="12"/>
        <v>0</v>
      </c>
      <c r="N385" s="97">
        <f t="shared" si="11"/>
        <v>42</v>
      </c>
      <c r="O385" s="97"/>
    </row>
    <row r="386" spans="1:15" x14ac:dyDescent="0.3">
      <c r="A386" s="96" t="s">
        <v>327</v>
      </c>
      <c r="B386" s="97" t="s">
        <v>36</v>
      </c>
      <c r="C386" s="97" t="s">
        <v>437</v>
      </c>
      <c r="D386" s="97">
        <v>42</v>
      </c>
      <c r="E386" s="97"/>
      <c r="F386" s="97"/>
      <c r="G386" s="97" t="s">
        <v>74</v>
      </c>
      <c r="H386" s="97"/>
      <c r="I386" s="97"/>
      <c r="J386" s="99"/>
      <c r="K386" s="99"/>
      <c r="L386" s="99"/>
      <c r="M386" s="97">
        <f t="shared" si="12"/>
        <v>0</v>
      </c>
      <c r="N386" s="97">
        <f t="shared" ref="N386:N449" si="13">IF(G386="未出租",D386,0)</f>
        <v>42</v>
      </c>
      <c r="O386" s="97"/>
    </row>
    <row r="387" spans="1:15" x14ac:dyDescent="0.3">
      <c r="A387" s="96" t="s">
        <v>327</v>
      </c>
      <c r="B387" s="97" t="s">
        <v>36</v>
      </c>
      <c r="C387" s="97" t="s">
        <v>438</v>
      </c>
      <c r="D387" s="97">
        <v>42</v>
      </c>
      <c r="E387" s="97"/>
      <c r="F387" s="97"/>
      <c r="G387" s="97" t="s">
        <v>74</v>
      </c>
      <c r="H387" s="97"/>
      <c r="I387" s="97"/>
      <c r="J387" s="99"/>
      <c r="K387" s="99"/>
      <c r="L387" s="99"/>
      <c r="M387" s="97">
        <f t="shared" si="12"/>
        <v>0</v>
      </c>
      <c r="N387" s="97">
        <f t="shared" si="13"/>
        <v>42</v>
      </c>
      <c r="O387" s="97"/>
    </row>
    <row r="388" spans="1:15" x14ac:dyDescent="0.3">
      <c r="A388" s="96" t="s">
        <v>327</v>
      </c>
      <c r="B388" s="97" t="s">
        <v>36</v>
      </c>
      <c r="C388" s="97" t="s">
        <v>439</v>
      </c>
      <c r="D388" s="97">
        <v>64</v>
      </c>
      <c r="E388" s="97"/>
      <c r="F388" s="97"/>
      <c r="G388" s="97" t="s">
        <v>74</v>
      </c>
      <c r="H388" s="97"/>
      <c r="I388" s="97"/>
      <c r="J388" s="99"/>
      <c r="K388" s="99"/>
      <c r="L388" s="99"/>
      <c r="M388" s="97">
        <f t="shared" si="12"/>
        <v>0</v>
      </c>
      <c r="N388" s="97">
        <f t="shared" si="13"/>
        <v>64</v>
      </c>
      <c r="O388" s="97"/>
    </row>
    <row r="389" spans="1:15" x14ac:dyDescent="0.3">
      <c r="A389" s="96" t="s">
        <v>327</v>
      </c>
      <c r="B389" s="97" t="s">
        <v>36</v>
      </c>
      <c r="C389" s="97" t="s">
        <v>440</v>
      </c>
      <c r="D389" s="97">
        <v>62</v>
      </c>
      <c r="E389" s="97"/>
      <c r="F389" s="97"/>
      <c r="G389" s="97" t="s">
        <v>74</v>
      </c>
      <c r="H389" s="97"/>
      <c r="I389" s="97"/>
      <c r="J389" s="99"/>
      <c r="K389" s="99"/>
      <c r="L389" s="99"/>
      <c r="M389" s="97">
        <f t="shared" si="12"/>
        <v>0</v>
      </c>
      <c r="N389" s="97">
        <f t="shared" si="13"/>
        <v>62</v>
      </c>
      <c r="O389" s="97"/>
    </row>
    <row r="390" spans="1:15" x14ac:dyDescent="0.3">
      <c r="A390" s="96" t="s">
        <v>327</v>
      </c>
      <c r="B390" s="97" t="s">
        <v>36</v>
      </c>
      <c r="C390" s="97" t="s">
        <v>441</v>
      </c>
      <c r="D390" s="97">
        <v>46</v>
      </c>
      <c r="E390" s="97"/>
      <c r="F390" s="97"/>
      <c r="G390" s="97" t="s">
        <v>74</v>
      </c>
      <c r="H390" s="97"/>
      <c r="I390" s="97"/>
      <c r="J390" s="99"/>
      <c r="K390" s="99"/>
      <c r="L390" s="99"/>
      <c r="M390" s="97">
        <f t="shared" si="12"/>
        <v>0</v>
      </c>
      <c r="N390" s="97">
        <f t="shared" si="13"/>
        <v>46</v>
      </c>
      <c r="O390" s="97"/>
    </row>
    <row r="391" spans="1:15" x14ac:dyDescent="0.3">
      <c r="A391" s="96" t="s">
        <v>327</v>
      </c>
      <c r="B391" s="97" t="s">
        <v>36</v>
      </c>
      <c r="C391" s="97" t="s">
        <v>442</v>
      </c>
      <c r="D391" s="97">
        <v>46</v>
      </c>
      <c r="E391" s="97"/>
      <c r="F391" s="97"/>
      <c r="G391" s="97" t="s">
        <v>74</v>
      </c>
      <c r="H391" s="97"/>
      <c r="I391" s="97"/>
      <c r="J391" s="99"/>
      <c r="K391" s="99"/>
      <c r="L391" s="99"/>
      <c r="M391" s="97">
        <f t="shared" si="12"/>
        <v>0</v>
      </c>
      <c r="N391" s="97">
        <f t="shared" si="13"/>
        <v>46</v>
      </c>
      <c r="O391" s="97"/>
    </row>
    <row r="392" spans="1:15" x14ac:dyDescent="0.3">
      <c r="A392" s="96" t="s">
        <v>327</v>
      </c>
      <c r="B392" s="97" t="s">
        <v>36</v>
      </c>
      <c r="C392" s="97" t="s">
        <v>443</v>
      </c>
      <c r="D392" s="97">
        <v>46</v>
      </c>
      <c r="E392" s="97"/>
      <c r="F392" s="97"/>
      <c r="G392" s="97" t="s">
        <v>74</v>
      </c>
      <c r="H392" s="97"/>
      <c r="I392" s="97"/>
      <c r="J392" s="99"/>
      <c r="K392" s="99"/>
      <c r="L392" s="99"/>
      <c r="M392" s="97">
        <f t="shared" si="12"/>
        <v>0</v>
      </c>
      <c r="N392" s="97">
        <f t="shared" si="13"/>
        <v>46</v>
      </c>
      <c r="O392" s="97"/>
    </row>
    <row r="393" spans="1:15" x14ac:dyDescent="0.3">
      <c r="A393" s="96" t="s">
        <v>327</v>
      </c>
      <c r="B393" s="97" t="s">
        <v>36</v>
      </c>
      <c r="C393" s="97" t="s">
        <v>444</v>
      </c>
      <c r="D393" s="97">
        <v>46</v>
      </c>
      <c r="E393" s="97"/>
      <c r="F393" s="97"/>
      <c r="G393" s="97" t="s">
        <v>74</v>
      </c>
      <c r="H393" s="97"/>
      <c r="I393" s="97"/>
      <c r="J393" s="99"/>
      <c r="K393" s="99"/>
      <c r="L393" s="99"/>
      <c r="M393" s="97">
        <f t="shared" si="12"/>
        <v>0</v>
      </c>
      <c r="N393" s="97">
        <f t="shared" si="13"/>
        <v>46</v>
      </c>
      <c r="O393" s="97"/>
    </row>
    <row r="394" spans="1:15" x14ac:dyDescent="0.3">
      <c r="A394" s="96" t="s">
        <v>327</v>
      </c>
      <c r="B394" s="97" t="s">
        <v>36</v>
      </c>
      <c r="C394" s="97" t="s">
        <v>445</v>
      </c>
      <c r="D394" s="97">
        <v>46</v>
      </c>
      <c r="E394" s="97"/>
      <c r="F394" s="97"/>
      <c r="G394" s="97" t="s">
        <v>74</v>
      </c>
      <c r="H394" s="97"/>
      <c r="I394" s="97"/>
      <c r="J394" s="99"/>
      <c r="K394" s="99"/>
      <c r="L394" s="99"/>
      <c r="M394" s="97">
        <f t="shared" si="12"/>
        <v>0</v>
      </c>
      <c r="N394" s="97">
        <f t="shared" si="13"/>
        <v>46</v>
      </c>
      <c r="O394" s="97"/>
    </row>
    <row r="395" spans="1:15" x14ac:dyDescent="0.3">
      <c r="A395" s="96" t="s">
        <v>327</v>
      </c>
      <c r="B395" s="97" t="s">
        <v>36</v>
      </c>
      <c r="C395" s="97" t="s">
        <v>446</v>
      </c>
      <c r="D395" s="97">
        <v>46</v>
      </c>
      <c r="E395" s="97"/>
      <c r="F395" s="97"/>
      <c r="G395" s="97" t="s">
        <v>74</v>
      </c>
      <c r="H395" s="97"/>
      <c r="I395" s="97"/>
      <c r="J395" s="99"/>
      <c r="K395" s="99"/>
      <c r="L395" s="99"/>
      <c r="M395" s="97">
        <f t="shared" si="12"/>
        <v>0</v>
      </c>
      <c r="N395" s="97">
        <f t="shared" si="13"/>
        <v>46</v>
      </c>
      <c r="O395" s="97"/>
    </row>
    <row r="396" spans="1:15" x14ac:dyDescent="0.3">
      <c r="A396" s="96" t="s">
        <v>327</v>
      </c>
      <c r="B396" s="97" t="s">
        <v>36</v>
      </c>
      <c r="C396" s="97" t="s">
        <v>447</v>
      </c>
      <c r="D396" s="97">
        <v>46</v>
      </c>
      <c r="E396" s="97"/>
      <c r="F396" s="97"/>
      <c r="G396" s="97" t="s">
        <v>74</v>
      </c>
      <c r="H396" s="97"/>
      <c r="I396" s="97"/>
      <c r="J396" s="99"/>
      <c r="K396" s="99"/>
      <c r="L396" s="99"/>
      <c r="M396" s="97">
        <f t="shared" si="12"/>
        <v>0</v>
      </c>
      <c r="N396" s="97">
        <f t="shared" si="13"/>
        <v>46</v>
      </c>
      <c r="O396" s="97"/>
    </row>
    <row r="397" spans="1:15" x14ac:dyDescent="0.3">
      <c r="A397" s="96" t="s">
        <v>327</v>
      </c>
      <c r="B397" s="97" t="s">
        <v>36</v>
      </c>
      <c r="C397" s="97" t="s">
        <v>448</v>
      </c>
      <c r="D397" s="97">
        <v>46</v>
      </c>
      <c r="E397" s="97"/>
      <c r="F397" s="97"/>
      <c r="G397" s="97" t="s">
        <v>74</v>
      </c>
      <c r="H397" s="97"/>
      <c r="I397" s="97"/>
      <c r="J397" s="99"/>
      <c r="K397" s="99"/>
      <c r="L397" s="99"/>
      <c r="M397" s="97">
        <f t="shared" si="12"/>
        <v>0</v>
      </c>
      <c r="N397" s="97">
        <f t="shared" si="13"/>
        <v>46</v>
      </c>
      <c r="O397" s="97"/>
    </row>
    <row r="398" spans="1:15" x14ac:dyDescent="0.3">
      <c r="A398" s="96" t="s">
        <v>327</v>
      </c>
      <c r="B398" s="97" t="s">
        <v>36</v>
      </c>
      <c r="C398" s="97" t="s">
        <v>449</v>
      </c>
      <c r="D398" s="97">
        <v>46</v>
      </c>
      <c r="E398" s="97"/>
      <c r="F398" s="97"/>
      <c r="G398" s="97" t="s">
        <v>74</v>
      </c>
      <c r="H398" s="97"/>
      <c r="I398" s="97"/>
      <c r="J398" s="99"/>
      <c r="K398" s="99"/>
      <c r="L398" s="99"/>
      <c r="M398" s="97">
        <f t="shared" si="12"/>
        <v>0</v>
      </c>
      <c r="N398" s="97">
        <f t="shared" si="13"/>
        <v>46</v>
      </c>
      <c r="O398" s="97"/>
    </row>
    <row r="399" spans="1:15" x14ac:dyDescent="0.3">
      <c r="A399" s="96" t="s">
        <v>327</v>
      </c>
      <c r="B399" s="97" t="s">
        <v>36</v>
      </c>
      <c r="C399" s="97" t="s">
        <v>450</v>
      </c>
      <c r="D399" s="97">
        <v>46</v>
      </c>
      <c r="E399" s="97"/>
      <c r="F399" s="97"/>
      <c r="G399" s="97" t="s">
        <v>74</v>
      </c>
      <c r="H399" s="97"/>
      <c r="I399" s="97"/>
      <c r="J399" s="99"/>
      <c r="K399" s="99"/>
      <c r="L399" s="99"/>
      <c r="M399" s="97">
        <f t="shared" si="12"/>
        <v>0</v>
      </c>
      <c r="N399" s="97">
        <f t="shared" si="13"/>
        <v>46</v>
      </c>
      <c r="O399" s="97"/>
    </row>
    <row r="400" spans="1:15" x14ac:dyDescent="0.3">
      <c r="A400" s="96" t="s">
        <v>327</v>
      </c>
      <c r="B400" s="97" t="s">
        <v>36</v>
      </c>
      <c r="C400" s="97" t="s">
        <v>451</v>
      </c>
      <c r="D400" s="97">
        <v>46</v>
      </c>
      <c r="E400" s="97"/>
      <c r="F400" s="97"/>
      <c r="G400" s="97" t="s">
        <v>74</v>
      </c>
      <c r="H400" s="97"/>
      <c r="I400" s="97"/>
      <c r="J400" s="99"/>
      <c r="K400" s="99"/>
      <c r="L400" s="99"/>
      <c r="M400" s="97">
        <f t="shared" si="12"/>
        <v>0</v>
      </c>
      <c r="N400" s="97">
        <f t="shared" si="13"/>
        <v>46</v>
      </c>
      <c r="O400" s="97"/>
    </row>
    <row r="401" spans="1:15" x14ac:dyDescent="0.3">
      <c r="A401" s="96" t="s">
        <v>327</v>
      </c>
      <c r="B401" s="97" t="s">
        <v>36</v>
      </c>
      <c r="C401" s="97" t="s">
        <v>452</v>
      </c>
      <c r="D401" s="97">
        <v>46</v>
      </c>
      <c r="E401" s="97"/>
      <c r="F401" s="97"/>
      <c r="G401" s="97" t="s">
        <v>74</v>
      </c>
      <c r="H401" s="97"/>
      <c r="I401" s="97"/>
      <c r="J401" s="99"/>
      <c r="K401" s="99"/>
      <c r="L401" s="99"/>
      <c r="M401" s="97">
        <f t="shared" si="12"/>
        <v>0</v>
      </c>
      <c r="N401" s="97">
        <f t="shared" si="13"/>
        <v>46</v>
      </c>
      <c r="O401" s="97"/>
    </row>
    <row r="402" spans="1:15" x14ac:dyDescent="0.3">
      <c r="A402" s="96" t="s">
        <v>327</v>
      </c>
      <c r="B402" s="97" t="s">
        <v>36</v>
      </c>
      <c r="C402" s="97" t="s">
        <v>453</v>
      </c>
      <c r="D402" s="97">
        <v>46</v>
      </c>
      <c r="E402" s="97"/>
      <c r="F402" s="97"/>
      <c r="G402" s="97" t="s">
        <v>74</v>
      </c>
      <c r="H402" s="97"/>
      <c r="I402" s="97"/>
      <c r="J402" s="99"/>
      <c r="K402" s="99"/>
      <c r="L402" s="99"/>
      <c r="M402" s="97">
        <f t="shared" si="12"/>
        <v>0</v>
      </c>
      <c r="N402" s="97">
        <f t="shared" si="13"/>
        <v>46</v>
      </c>
      <c r="O402" s="97"/>
    </row>
    <row r="403" spans="1:15" x14ac:dyDescent="0.3">
      <c r="A403" s="96" t="s">
        <v>327</v>
      </c>
      <c r="B403" s="97" t="s">
        <v>36</v>
      </c>
      <c r="C403" s="97" t="s">
        <v>454</v>
      </c>
      <c r="D403" s="97">
        <v>46</v>
      </c>
      <c r="E403" s="97"/>
      <c r="F403" s="97"/>
      <c r="G403" s="97" t="s">
        <v>74</v>
      </c>
      <c r="H403" s="97"/>
      <c r="I403" s="97"/>
      <c r="J403" s="99"/>
      <c r="K403" s="99"/>
      <c r="L403" s="99"/>
      <c r="M403" s="97">
        <f t="shared" si="12"/>
        <v>0</v>
      </c>
      <c r="N403" s="97">
        <f t="shared" si="13"/>
        <v>46</v>
      </c>
      <c r="O403" s="97"/>
    </row>
    <row r="404" spans="1:15" x14ac:dyDescent="0.3">
      <c r="A404" s="96" t="s">
        <v>327</v>
      </c>
      <c r="B404" s="97" t="s">
        <v>36</v>
      </c>
      <c r="C404" s="97" t="s">
        <v>455</v>
      </c>
      <c r="D404" s="97">
        <v>64</v>
      </c>
      <c r="E404" s="97"/>
      <c r="F404" s="97"/>
      <c r="G404" s="97" t="s">
        <v>74</v>
      </c>
      <c r="H404" s="97"/>
      <c r="I404" s="97"/>
      <c r="J404" s="99"/>
      <c r="K404" s="99"/>
      <c r="L404" s="99"/>
      <c r="M404" s="97">
        <f t="shared" si="12"/>
        <v>0</v>
      </c>
      <c r="N404" s="97">
        <f t="shared" si="13"/>
        <v>64</v>
      </c>
      <c r="O404" s="97"/>
    </row>
    <row r="405" spans="1:15" x14ac:dyDescent="0.3">
      <c r="A405" s="96" t="s">
        <v>327</v>
      </c>
      <c r="B405" s="97" t="s">
        <v>36</v>
      </c>
      <c r="C405" s="97" t="s">
        <v>456</v>
      </c>
      <c r="D405" s="97">
        <v>62</v>
      </c>
      <c r="E405" s="97"/>
      <c r="F405" s="97"/>
      <c r="G405" s="97" t="s">
        <v>74</v>
      </c>
      <c r="H405" s="97"/>
      <c r="I405" s="97"/>
      <c r="J405" s="99"/>
      <c r="K405" s="99"/>
      <c r="L405" s="99"/>
      <c r="M405" s="97">
        <f t="shared" si="12"/>
        <v>0</v>
      </c>
      <c r="N405" s="97">
        <f t="shared" si="13"/>
        <v>62</v>
      </c>
      <c r="O405" s="97"/>
    </row>
    <row r="406" spans="1:15" x14ac:dyDescent="0.3">
      <c r="A406" s="96" t="s">
        <v>327</v>
      </c>
      <c r="B406" s="97" t="s">
        <v>36</v>
      </c>
      <c r="C406" s="97" t="s">
        <v>457</v>
      </c>
      <c r="D406" s="97">
        <v>46</v>
      </c>
      <c r="E406" s="97"/>
      <c r="F406" s="97"/>
      <c r="G406" s="97" t="s">
        <v>74</v>
      </c>
      <c r="H406" s="97"/>
      <c r="I406" s="97"/>
      <c r="J406" s="99"/>
      <c r="K406" s="99"/>
      <c r="L406" s="99"/>
      <c r="M406" s="97">
        <f t="shared" si="12"/>
        <v>0</v>
      </c>
      <c r="N406" s="97">
        <f t="shared" si="13"/>
        <v>46</v>
      </c>
      <c r="O406" s="97"/>
    </row>
    <row r="407" spans="1:15" x14ac:dyDescent="0.3">
      <c r="A407" s="96" t="s">
        <v>327</v>
      </c>
      <c r="B407" s="97" t="s">
        <v>36</v>
      </c>
      <c r="C407" s="97" t="s">
        <v>458</v>
      </c>
      <c r="D407" s="97">
        <v>46</v>
      </c>
      <c r="E407" s="97"/>
      <c r="F407" s="97"/>
      <c r="G407" s="97" t="s">
        <v>74</v>
      </c>
      <c r="H407" s="97"/>
      <c r="I407" s="97"/>
      <c r="J407" s="99"/>
      <c r="K407" s="99"/>
      <c r="L407" s="99"/>
      <c r="M407" s="97">
        <f t="shared" si="12"/>
        <v>0</v>
      </c>
      <c r="N407" s="97">
        <f t="shared" si="13"/>
        <v>46</v>
      </c>
      <c r="O407" s="97"/>
    </row>
    <row r="408" spans="1:15" x14ac:dyDescent="0.3">
      <c r="A408" s="96" t="s">
        <v>327</v>
      </c>
      <c r="B408" s="97" t="s">
        <v>36</v>
      </c>
      <c r="C408" s="97" t="s">
        <v>459</v>
      </c>
      <c r="D408" s="97">
        <v>46</v>
      </c>
      <c r="E408" s="97"/>
      <c r="F408" s="97"/>
      <c r="G408" s="97" t="s">
        <v>74</v>
      </c>
      <c r="H408" s="97"/>
      <c r="I408" s="97"/>
      <c r="J408" s="99"/>
      <c r="K408" s="99"/>
      <c r="L408" s="99"/>
      <c r="M408" s="97">
        <f t="shared" si="12"/>
        <v>0</v>
      </c>
      <c r="N408" s="97">
        <f t="shared" si="13"/>
        <v>46</v>
      </c>
      <c r="O408" s="97"/>
    </row>
    <row r="409" spans="1:15" x14ac:dyDescent="0.3">
      <c r="A409" s="96" t="s">
        <v>327</v>
      </c>
      <c r="B409" s="97" t="s">
        <v>36</v>
      </c>
      <c r="C409" s="97" t="s">
        <v>460</v>
      </c>
      <c r="D409" s="97">
        <v>46</v>
      </c>
      <c r="E409" s="97"/>
      <c r="F409" s="97"/>
      <c r="G409" s="97" t="s">
        <v>74</v>
      </c>
      <c r="H409" s="97"/>
      <c r="I409" s="97"/>
      <c r="J409" s="99"/>
      <c r="K409" s="99"/>
      <c r="L409" s="99"/>
      <c r="M409" s="97">
        <f t="shared" si="12"/>
        <v>0</v>
      </c>
      <c r="N409" s="97">
        <f t="shared" si="13"/>
        <v>46</v>
      </c>
      <c r="O409" s="97"/>
    </row>
    <row r="410" spans="1:15" x14ac:dyDescent="0.3">
      <c r="A410" s="96" t="s">
        <v>327</v>
      </c>
      <c r="B410" s="97" t="s">
        <v>36</v>
      </c>
      <c r="C410" s="97" t="s">
        <v>461</v>
      </c>
      <c r="D410" s="97">
        <v>46</v>
      </c>
      <c r="E410" s="97"/>
      <c r="F410" s="97"/>
      <c r="G410" s="97" t="s">
        <v>74</v>
      </c>
      <c r="H410" s="97"/>
      <c r="I410" s="97"/>
      <c r="J410" s="99"/>
      <c r="K410" s="99"/>
      <c r="L410" s="99"/>
      <c r="M410" s="97">
        <f t="shared" si="12"/>
        <v>0</v>
      </c>
      <c r="N410" s="97">
        <f t="shared" si="13"/>
        <v>46</v>
      </c>
      <c r="O410" s="97"/>
    </row>
    <row r="411" spans="1:15" x14ac:dyDescent="0.3">
      <c r="A411" s="96" t="s">
        <v>327</v>
      </c>
      <c r="B411" s="97" t="s">
        <v>36</v>
      </c>
      <c r="C411" s="97" t="s">
        <v>462</v>
      </c>
      <c r="D411" s="97">
        <v>46</v>
      </c>
      <c r="E411" s="97"/>
      <c r="F411" s="97"/>
      <c r="G411" s="97" t="s">
        <v>74</v>
      </c>
      <c r="H411" s="97"/>
      <c r="I411" s="97"/>
      <c r="J411" s="99"/>
      <c r="K411" s="99"/>
      <c r="L411" s="99"/>
      <c r="M411" s="97">
        <f t="shared" si="12"/>
        <v>0</v>
      </c>
      <c r="N411" s="97">
        <f t="shared" si="13"/>
        <v>46</v>
      </c>
      <c r="O411" s="97"/>
    </row>
    <row r="412" spans="1:15" x14ac:dyDescent="0.3">
      <c r="A412" s="96" t="s">
        <v>327</v>
      </c>
      <c r="B412" s="97" t="s">
        <v>36</v>
      </c>
      <c r="C412" s="97" t="s">
        <v>463</v>
      </c>
      <c r="D412" s="97">
        <v>46</v>
      </c>
      <c r="E412" s="97"/>
      <c r="F412" s="97"/>
      <c r="G412" s="97" t="s">
        <v>74</v>
      </c>
      <c r="H412" s="97"/>
      <c r="I412" s="97"/>
      <c r="J412" s="99"/>
      <c r="K412" s="99"/>
      <c r="L412" s="99"/>
      <c r="M412" s="97">
        <f t="shared" si="12"/>
        <v>0</v>
      </c>
      <c r="N412" s="97">
        <f t="shared" si="13"/>
        <v>46</v>
      </c>
      <c r="O412" s="97"/>
    </row>
    <row r="413" spans="1:15" x14ac:dyDescent="0.3">
      <c r="A413" s="96" t="s">
        <v>327</v>
      </c>
      <c r="B413" s="97" t="s">
        <v>36</v>
      </c>
      <c r="C413" s="97" t="s">
        <v>464</v>
      </c>
      <c r="D413" s="97">
        <v>46</v>
      </c>
      <c r="E413" s="97"/>
      <c r="F413" s="97"/>
      <c r="G413" s="97" t="s">
        <v>74</v>
      </c>
      <c r="H413" s="97"/>
      <c r="I413" s="97"/>
      <c r="J413" s="99"/>
      <c r="K413" s="99"/>
      <c r="L413" s="99"/>
      <c r="M413" s="97">
        <f t="shared" si="12"/>
        <v>0</v>
      </c>
      <c r="N413" s="97">
        <f t="shared" si="13"/>
        <v>46</v>
      </c>
      <c r="O413" s="97"/>
    </row>
    <row r="414" spans="1:15" x14ac:dyDescent="0.3">
      <c r="A414" s="96" t="s">
        <v>327</v>
      </c>
      <c r="B414" s="97" t="s">
        <v>36</v>
      </c>
      <c r="C414" s="97" t="s">
        <v>465</v>
      </c>
      <c r="D414" s="97">
        <v>46</v>
      </c>
      <c r="E414" s="97"/>
      <c r="F414" s="97"/>
      <c r="G414" s="97" t="s">
        <v>74</v>
      </c>
      <c r="H414" s="97"/>
      <c r="I414" s="97"/>
      <c r="J414" s="99"/>
      <c r="K414" s="99"/>
      <c r="L414" s="99"/>
      <c r="M414" s="97">
        <f t="shared" si="12"/>
        <v>0</v>
      </c>
      <c r="N414" s="97">
        <f t="shared" si="13"/>
        <v>46</v>
      </c>
      <c r="O414" s="97"/>
    </row>
    <row r="415" spans="1:15" x14ac:dyDescent="0.3">
      <c r="A415" s="96" t="s">
        <v>327</v>
      </c>
      <c r="B415" s="97" t="s">
        <v>36</v>
      </c>
      <c r="C415" s="97" t="s">
        <v>466</v>
      </c>
      <c r="D415" s="97">
        <v>46</v>
      </c>
      <c r="E415" s="97"/>
      <c r="F415" s="97"/>
      <c r="G415" s="97" t="s">
        <v>74</v>
      </c>
      <c r="H415" s="97"/>
      <c r="I415" s="97"/>
      <c r="J415" s="99"/>
      <c r="K415" s="99"/>
      <c r="L415" s="99"/>
      <c r="M415" s="97">
        <f t="shared" si="12"/>
        <v>0</v>
      </c>
      <c r="N415" s="97">
        <f t="shared" si="13"/>
        <v>46</v>
      </c>
      <c r="O415" s="97"/>
    </row>
    <row r="416" spans="1:15" x14ac:dyDescent="0.3">
      <c r="A416" s="96" t="s">
        <v>327</v>
      </c>
      <c r="B416" s="97" t="s">
        <v>36</v>
      </c>
      <c r="C416" s="97" t="s">
        <v>467</v>
      </c>
      <c r="D416" s="97">
        <v>46</v>
      </c>
      <c r="E416" s="97"/>
      <c r="F416" s="97"/>
      <c r="G416" s="97" t="s">
        <v>74</v>
      </c>
      <c r="H416" s="97"/>
      <c r="I416" s="97"/>
      <c r="J416" s="99"/>
      <c r="K416" s="99"/>
      <c r="L416" s="99"/>
      <c r="M416" s="97">
        <f t="shared" si="12"/>
        <v>0</v>
      </c>
      <c r="N416" s="97">
        <f t="shared" si="13"/>
        <v>46</v>
      </c>
      <c r="O416" s="97"/>
    </row>
    <row r="417" spans="1:15" x14ac:dyDescent="0.3">
      <c r="A417" s="96" t="s">
        <v>327</v>
      </c>
      <c r="B417" s="97" t="s">
        <v>36</v>
      </c>
      <c r="C417" s="97" t="s">
        <v>468</v>
      </c>
      <c r="D417" s="97">
        <v>46</v>
      </c>
      <c r="E417" s="97"/>
      <c r="F417" s="97"/>
      <c r="G417" s="97" t="s">
        <v>74</v>
      </c>
      <c r="H417" s="97"/>
      <c r="I417" s="97"/>
      <c r="J417" s="99"/>
      <c r="K417" s="99"/>
      <c r="L417" s="99"/>
      <c r="M417" s="97">
        <f t="shared" si="12"/>
        <v>0</v>
      </c>
      <c r="N417" s="97">
        <f t="shared" si="13"/>
        <v>46</v>
      </c>
      <c r="O417" s="97"/>
    </row>
    <row r="418" spans="1:15" x14ac:dyDescent="0.3">
      <c r="A418" s="96" t="s">
        <v>327</v>
      </c>
      <c r="B418" s="97" t="s">
        <v>36</v>
      </c>
      <c r="C418" s="97" t="s">
        <v>469</v>
      </c>
      <c r="D418" s="97">
        <v>46</v>
      </c>
      <c r="E418" s="97"/>
      <c r="F418" s="97"/>
      <c r="G418" s="97" t="s">
        <v>74</v>
      </c>
      <c r="H418" s="97"/>
      <c r="I418" s="97"/>
      <c r="J418" s="99"/>
      <c r="K418" s="99"/>
      <c r="L418" s="99"/>
      <c r="M418" s="97">
        <f t="shared" si="12"/>
        <v>0</v>
      </c>
      <c r="N418" s="97">
        <f t="shared" si="13"/>
        <v>46</v>
      </c>
      <c r="O418" s="97"/>
    </row>
    <row r="419" spans="1:15" x14ac:dyDescent="0.3">
      <c r="A419" s="96" t="s">
        <v>327</v>
      </c>
      <c r="B419" s="97" t="s">
        <v>36</v>
      </c>
      <c r="C419" s="97" t="s">
        <v>470</v>
      </c>
      <c r="D419" s="97">
        <v>46</v>
      </c>
      <c r="E419" s="97"/>
      <c r="F419" s="97"/>
      <c r="G419" s="97" t="s">
        <v>74</v>
      </c>
      <c r="H419" s="97"/>
      <c r="I419" s="97"/>
      <c r="J419" s="99"/>
      <c r="K419" s="99"/>
      <c r="L419" s="99"/>
      <c r="M419" s="97">
        <f t="shared" si="12"/>
        <v>0</v>
      </c>
      <c r="N419" s="97">
        <f t="shared" si="13"/>
        <v>46</v>
      </c>
      <c r="O419" s="97"/>
    </row>
    <row r="420" spans="1:15" x14ac:dyDescent="0.3">
      <c r="A420" s="96" t="s">
        <v>327</v>
      </c>
      <c r="B420" s="97" t="s">
        <v>36</v>
      </c>
      <c r="C420" s="97" t="s">
        <v>471</v>
      </c>
      <c r="D420" s="97">
        <v>205</v>
      </c>
      <c r="E420" s="97"/>
      <c r="F420" s="97"/>
      <c r="G420" s="97" t="s">
        <v>74</v>
      </c>
      <c r="H420" s="97"/>
      <c r="I420" s="97"/>
      <c r="J420" s="99"/>
      <c r="K420" s="99"/>
      <c r="L420" s="99"/>
      <c r="M420" s="97">
        <f t="shared" si="12"/>
        <v>0</v>
      </c>
      <c r="N420" s="97">
        <f t="shared" si="13"/>
        <v>205</v>
      </c>
      <c r="O420" s="97"/>
    </row>
    <row r="421" spans="1:15" x14ac:dyDescent="0.3">
      <c r="A421" s="96" t="s">
        <v>327</v>
      </c>
      <c r="B421" s="97" t="s">
        <v>36</v>
      </c>
      <c r="C421" s="97" t="s">
        <v>472</v>
      </c>
      <c r="D421" s="97">
        <v>200</v>
      </c>
      <c r="E421" s="97"/>
      <c r="F421" s="97"/>
      <c r="G421" s="97" t="s">
        <v>74</v>
      </c>
      <c r="H421" s="97"/>
      <c r="I421" s="97"/>
      <c r="J421" s="99"/>
      <c r="K421" s="99"/>
      <c r="L421" s="99"/>
      <c r="M421" s="97">
        <f t="shared" si="12"/>
        <v>0</v>
      </c>
      <c r="N421" s="97">
        <f t="shared" si="13"/>
        <v>200</v>
      </c>
      <c r="O421" s="97"/>
    </row>
    <row r="422" spans="1:15" x14ac:dyDescent="0.3">
      <c r="A422" s="96" t="s">
        <v>327</v>
      </c>
      <c r="B422" s="97" t="s">
        <v>36</v>
      </c>
      <c r="C422" s="97" t="s">
        <v>473</v>
      </c>
      <c r="D422" s="97">
        <v>200</v>
      </c>
      <c r="E422" s="97"/>
      <c r="F422" s="97"/>
      <c r="G422" s="97" t="s">
        <v>74</v>
      </c>
      <c r="H422" s="97"/>
      <c r="I422" s="97"/>
      <c r="J422" s="99"/>
      <c r="K422" s="99"/>
      <c r="L422" s="99"/>
      <c r="M422" s="97">
        <f t="shared" si="12"/>
        <v>0</v>
      </c>
      <c r="N422" s="97">
        <f t="shared" si="13"/>
        <v>200</v>
      </c>
      <c r="O422" s="97"/>
    </row>
    <row r="423" spans="1:15" x14ac:dyDescent="0.3">
      <c r="A423" s="96" t="s">
        <v>327</v>
      </c>
      <c r="B423" s="97" t="s">
        <v>36</v>
      </c>
      <c r="C423" s="97" t="s">
        <v>474</v>
      </c>
      <c r="D423" s="97">
        <v>200</v>
      </c>
      <c r="E423" s="97"/>
      <c r="F423" s="97"/>
      <c r="G423" s="97" t="s">
        <v>74</v>
      </c>
      <c r="H423" s="97"/>
      <c r="I423" s="97"/>
      <c r="J423" s="99"/>
      <c r="K423" s="99"/>
      <c r="L423" s="99"/>
      <c r="M423" s="97">
        <f t="shared" si="12"/>
        <v>0</v>
      </c>
      <c r="N423" s="97">
        <f t="shared" si="13"/>
        <v>200</v>
      </c>
      <c r="O423" s="97"/>
    </row>
    <row r="424" spans="1:15" x14ac:dyDescent="0.3">
      <c r="A424" s="96" t="s">
        <v>327</v>
      </c>
      <c r="B424" s="97" t="s">
        <v>36</v>
      </c>
      <c r="C424" s="97" t="s">
        <v>475</v>
      </c>
      <c r="D424" s="97">
        <v>129</v>
      </c>
      <c r="E424" s="97"/>
      <c r="F424" s="97"/>
      <c r="G424" s="97" t="s">
        <v>74</v>
      </c>
      <c r="H424" s="97"/>
      <c r="I424" s="97"/>
      <c r="J424" s="99"/>
      <c r="K424" s="99"/>
      <c r="L424" s="99"/>
      <c r="M424" s="97">
        <f t="shared" si="12"/>
        <v>0</v>
      </c>
      <c r="N424" s="97">
        <f t="shared" si="13"/>
        <v>129</v>
      </c>
      <c r="O424" s="97"/>
    </row>
    <row r="425" spans="1:15" x14ac:dyDescent="0.3">
      <c r="A425" s="96" t="s">
        <v>327</v>
      </c>
      <c r="B425" s="97" t="s">
        <v>36</v>
      </c>
      <c r="C425" s="97" t="s">
        <v>476</v>
      </c>
      <c r="D425" s="97">
        <v>219</v>
      </c>
      <c r="E425" s="97"/>
      <c r="F425" s="97"/>
      <c r="G425" s="97" t="s">
        <v>74</v>
      </c>
      <c r="H425" s="97"/>
      <c r="I425" s="97"/>
      <c r="J425" s="99"/>
      <c r="K425" s="99"/>
      <c r="L425" s="99"/>
      <c r="M425" s="97">
        <f t="shared" si="12"/>
        <v>0</v>
      </c>
      <c r="N425" s="97">
        <f t="shared" si="13"/>
        <v>219</v>
      </c>
      <c r="O425" s="97"/>
    </row>
    <row r="426" spans="1:15" x14ac:dyDescent="0.3">
      <c r="A426" s="96" t="s">
        <v>327</v>
      </c>
      <c r="B426" s="97" t="s">
        <v>36</v>
      </c>
      <c r="C426" s="97" t="s">
        <v>477</v>
      </c>
      <c r="D426" s="97">
        <v>68</v>
      </c>
      <c r="E426" s="97"/>
      <c r="F426" s="97"/>
      <c r="G426" s="97" t="s">
        <v>74</v>
      </c>
      <c r="H426" s="97"/>
      <c r="I426" s="97"/>
      <c r="J426" s="99"/>
      <c r="K426" s="99"/>
      <c r="L426" s="99"/>
      <c r="M426" s="97">
        <f t="shared" si="12"/>
        <v>0</v>
      </c>
      <c r="N426" s="97">
        <f t="shared" si="13"/>
        <v>68</v>
      </c>
      <c r="O426" s="97"/>
    </row>
    <row r="427" spans="1:15" x14ac:dyDescent="0.3">
      <c r="A427" s="96" t="s">
        <v>327</v>
      </c>
      <c r="B427" s="97" t="s">
        <v>36</v>
      </c>
      <c r="C427" s="97" t="s">
        <v>478</v>
      </c>
      <c r="D427" s="97">
        <v>60</v>
      </c>
      <c r="E427" s="97"/>
      <c r="F427" s="97"/>
      <c r="G427" s="97" t="s">
        <v>74</v>
      </c>
      <c r="H427" s="97"/>
      <c r="I427" s="97"/>
      <c r="J427" s="99"/>
      <c r="K427" s="99"/>
      <c r="L427" s="99"/>
      <c r="M427" s="97">
        <f t="shared" si="12"/>
        <v>0</v>
      </c>
      <c r="N427" s="97">
        <f t="shared" si="13"/>
        <v>60</v>
      </c>
      <c r="O427" s="97"/>
    </row>
    <row r="428" spans="1:15" x14ac:dyDescent="0.3">
      <c r="A428" s="96" t="s">
        <v>327</v>
      </c>
      <c r="B428" s="97" t="s">
        <v>36</v>
      </c>
      <c r="C428" s="97" t="s">
        <v>479</v>
      </c>
      <c r="D428" s="97">
        <v>83</v>
      </c>
      <c r="E428" s="97"/>
      <c r="F428" s="97"/>
      <c r="G428" s="97" t="s">
        <v>74</v>
      </c>
      <c r="H428" s="97"/>
      <c r="I428" s="97"/>
      <c r="J428" s="99"/>
      <c r="K428" s="99"/>
      <c r="L428" s="99"/>
      <c r="M428" s="97">
        <f t="shared" si="12"/>
        <v>0</v>
      </c>
      <c r="N428" s="97">
        <f t="shared" si="13"/>
        <v>83</v>
      </c>
      <c r="O428" s="97"/>
    </row>
    <row r="429" spans="1:15" x14ac:dyDescent="0.3">
      <c r="A429" s="96" t="s">
        <v>327</v>
      </c>
      <c r="B429" s="97" t="s">
        <v>36</v>
      </c>
      <c r="C429" s="97" t="s">
        <v>480</v>
      </c>
      <c r="D429" s="97">
        <v>50</v>
      </c>
      <c r="E429" s="97"/>
      <c r="F429" s="97"/>
      <c r="G429" s="97" t="s">
        <v>74</v>
      </c>
      <c r="H429" s="97"/>
      <c r="I429" s="97"/>
      <c r="J429" s="99"/>
      <c r="K429" s="99"/>
      <c r="L429" s="99"/>
      <c r="M429" s="97">
        <f t="shared" si="12"/>
        <v>0</v>
      </c>
      <c r="N429" s="97">
        <f t="shared" si="13"/>
        <v>50</v>
      </c>
      <c r="O429" s="97"/>
    </row>
    <row r="430" spans="1:15" x14ac:dyDescent="0.3">
      <c r="A430" s="96" t="s">
        <v>327</v>
      </c>
      <c r="B430" s="97" t="s">
        <v>36</v>
      </c>
      <c r="C430" s="97" t="s">
        <v>481</v>
      </c>
      <c r="D430" s="97">
        <v>50</v>
      </c>
      <c r="E430" s="97"/>
      <c r="F430" s="97"/>
      <c r="G430" s="97" t="s">
        <v>74</v>
      </c>
      <c r="H430" s="97"/>
      <c r="I430" s="97"/>
      <c r="J430" s="99"/>
      <c r="K430" s="99"/>
      <c r="L430" s="99"/>
      <c r="M430" s="97">
        <f t="shared" si="12"/>
        <v>0</v>
      </c>
      <c r="N430" s="97">
        <f t="shared" si="13"/>
        <v>50</v>
      </c>
      <c r="O430" s="97"/>
    </row>
    <row r="431" spans="1:15" x14ac:dyDescent="0.3">
      <c r="A431" s="96" t="s">
        <v>327</v>
      </c>
      <c r="B431" s="97" t="s">
        <v>36</v>
      </c>
      <c r="C431" s="97" t="s">
        <v>482</v>
      </c>
      <c r="D431" s="97">
        <v>53</v>
      </c>
      <c r="E431" s="97"/>
      <c r="F431" s="97"/>
      <c r="G431" s="97" t="s">
        <v>74</v>
      </c>
      <c r="H431" s="97"/>
      <c r="I431" s="97"/>
      <c r="J431" s="99"/>
      <c r="K431" s="99"/>
      <c r="L431" s="99"/>
      <c r="M431" s="97">
        <f t="shared" si="12"/>
        <v>0</v>
      </c>
      <c r="N431" s="97">
        <f t="shared" si="13"/>
        <v>53</v>
      </c>
      <c r="O431" s="97"/>
    </row>
    <row r="432" spans="1:15" x14ac:dyDescent="0.3">
      <c r="A432" s="96" t="s">
        <v>327</v>
      </c>
      <c r="B432" s="97" t="s">
        <v>36</v>
      </c>
      <c r="C432" s="97" t="s">
        <v>483</v>
      </c>
      <c r="D432" s="97">
        <v>124</v>
      </c>
      <c r="E432" s="97"/>
      <c r="F432" s="97"/>
      <c r="G432" s="97" t="s">
        <v>74</v>
      </c>
      <c r="H432" s="97"/>
      <c r="I432" s="97"/>
      <c r="J432" s="99"/>
      <c r="K432" s="99"/>
      <c r="L432" s="99"/>
      <c r="M432" s="97">
        <f t="shared" si="12"/>
        <v>0</v>
      </c>
      <c r="N432" s="97">
        <f t="shared" si="13"/>
        <v>124</v>
      </c>
      <c r="O432" s="97"/>
    </row>
    <row r="433" spans="1:15" x14ac:dyDescent="0.3">
      <c r="A433" s="96" t="s">
        <v>327</v>
      </c>
      <c r="B433" s="97" t="s">
        <v>36</v>
      </c>
      <c r="C433" s="97" t="s">
        <v>484</v>
      </c>
      <c r="D433" s="97">
        <v>124</v>
      </c>
      <c r="E433" s="97"/>
      <c r="F433" s="97"/>
      <c r="G433" s="97" t="s">
        <v>74</v>
      </c>
      <c r="H433" s="97"/>
      <c r="I433" s="97"/>
      <c r="J433" s="99"/>
      <c r="K433" s="99"/>
      <c r="L433" s="99"/>
      <c r="M433" s="97">
        <f t="shared" si="12"/>
        <v>0</v>
      </c>
      <c r="N433" s="97">
        <f t="shared" si="13"/>
        <v>124</v>
      </c>
      <c r="O433" s="97"/>
    </row>
    <row r="434" spans="1:15" x14ac:dyDescent="0.3">
      <c r="A434" s="96" t="s">
        <v>327</v>
      </c>
      <c r="B434" s="97" t="s">
        <v>66</v>
      </c>
      <c r="C434" s="97" t="s">
        <v>485</v>
      </c>
      <c r="D434" s="97">
        <v>58.27</v>
      </c>
      <c r="E434" s="97"/>
      <c r="F434" s="97"/>
      <c r="G434" s="97" t="s">
        <v>74</v>
      </c>
      <c r="H434" s="97"/>
      <c r="I434" s="97"/>
      <c r="J434" s="99"/>
      <c r="K434" s="99"/>
      <c r="L434" s="99"/>
      <c r="M434" s="97">
        <f t="shared" ref="M434:M481" si="14">IF(G434="已租",D434,0)</f>
        <v>0</v>
      </c>
      <c r="N434" s="97">
        <f t="shared" si="13"/>
        <v>58.27</v>
      </c>
      <c r="O434" s="97"/>
    </row>
    <row r="435" spans="1:15" x14ac:dyDescent="0.3">
      <c r="A435" s="96" t="s">
        <v>327</v>
      </c>
      <c r="B435" s="97" t="s">
        <v>66</v>
      </c>
      <c r="C435" s="97" t="s">
        <v>486</v>
      </c>
      <c r="D435" s="97">
        <v>42.9</v>
      </c>
      <c r="E435" s="97"/>
      <c r="F435" s="97"/>
      <c r="G435" s="97" t="s">
        <v>74</v>
      </c>
      <c r="H435" s="97"/>
      <c r="I435" s="97"/>
      <c r="J435" s="99"/>
      <c r="K435" s="99"/>
      <c r="L435" s="99"/>
      <c r="M435" s="97">
        <f t="shared" si="14"/>
        <v>0</v>
      </c>
      <c r="N435" s="97">
        <f t="shared" si="13"/>
        <v>42.9</v>
      </c>
      <c r="O435" s="97"/>
    </row>
    <row r="436" spans="1:15" x14ac:dyDescent="0.3">
      <c r="A436" s="96" t="s">
        <v>327</v>
      </c>
      <c r="B436" s="97" t="s">
        <v>66</v>
      </c>
      <c r="C436" s="97" t="s">
        <v>487</v>
      </c>
      <c r="D436" s="97">
        <v>42.9</v>
      </c>
      <c r="E436" s="97"/>
      <c r="F436" s="97"/>
      <c r="G436" s="97" t="s">
        <v>74</v>
      </c>
      <c r="H436" s="97"/>
      <c r="I436" s="97"/>
      <c r="J436" s="99"/>
      <c r="K436" s="99"/>
      <c r="L436" s="99"/>
      <c r="M436" s="97">
        <f t="shared" si="14"/>
        <v>0</v>
      </c>
      <c r="N436" s="97">
        <f t="shared" si="13"/>
        <v>42.9</v>
      </c>
      <c r="O436" s="97"/>
    </row>
    <row r="437" spans="1:15" x14ac:dyDescent="0.3">
      <c r="A437" s="96" t="s">
        <v>327</v>
      </c>
      <c r="B437" s="97" t="s">
        <v>66</v>
      </c>
      <c r="C437" s="97" t="s">
        <v>488</v>
      </c>
      <c r="D437" s="97">
        <v>42.9</v>
      </c>
      <c r="E437" s="97"/>
      <c r="F437" s="97"/>
      <c r="G437" s="97" t="s">
        <v>74</v>
      </c>
      <c r="H437" s="97"/>
      <c r="I437" s="97"/>
      <c r="J437" s="99"/>
      <c r="K437" s="99"/>
      <c r="L437" s="99"/>
      <c r="M437" s="97">
        <f t="shared" si="14"/>
        <v>0</v>
      </c>
      <c r="N437" s="97">
        <f t="shared" si="13"/>
        <v>42.9</v>
      </c>
      <c r="O437" s="97"/>
    </row>
    <row r="438" spans="1:15" x14ac:dyDescent="0.3">
      <c r="A438" s="96" t="s">
        <v>327</v>
      </c>
      <c r="B438" s="97" t="s">
        <v>66</v>
      </c>
      <c r="C438" s="97" t="s">
        <v>489</v>
      </c>
      <c r="D438" s="97">
        <v>42.9</v>
      </c>
      <c r="E438" s="97"/>
      <c r="F438" s="97"/>
      <c r="G438" s="97" t="s">
        <v>74</v>
      </c>
      <c r="H438" s="97"/>
      <c r="I438" s="97"/>
      <c r="J438" s="99"/>
      <c r="K438" s="99"/>
      <c r="L438" s="99"/>
      <c r="M438" s="97">
        <f t="shared" si="14"/>
        <v>0</v>
      </c>
      <c r="N438" s="97">
        <f t="shared" si="13"/>
        <v>42.9</v>
      </c>
      <c r="O438" s="97"/>
    </row>
    <row r="439" spans="1:15" x14ac:dyDescent="0.3">
      <c r="A439" s="96" t="s">
        <v>327</v>
      </c>
      <c r="B439" s="97" t="s">
        <v>66</v>
      </c>
      <c r="C439" s="97" t="s">
        <v>490</v>
      </c>
      <c r="D439" s="97">
        <v>42.9</v>
      </c>
      <c r="E439" s="97"/>
      <c r="F439" s="97"/>
      <c r="G439" s="97" t="s">
        <v>74</v>
      </c>
      <c r="H439" s="97"/>
      <c r="I439" s="97"/>
      <c r="J439" s="99"/>
      <c r="K439" s="99"/>
      <c r="L439" s="99"/>
      <c r="M439" s="97">
        <f t="shared" si="14"/>
        <v>0</v>
      </c>
      <c r="N439" s="97">
        <f t="shared" si="13"/>
        <v>42.9</v>
      </c>
      <c r="O439" s="97"/>
    </row>
    <row r="440" spans="1:15" x14ac:dyDescent="0.3">
      <c r="A440" s="96" t="s">
        <v>327</v>
      </c>
      <c r="B440" s="97" t="s">
        <v>66</v>
      </c>
      <c r="C440" s="97" t="s">
        <v>491</v>
      </c>
      <c r="D440" s="97">
        <v>42.9</v>
      </c>
      <c r="E440" s="97"/>
      <c r="F440" s="97"/>
      <c r="G440" s="97" t="s">
        <v>74</v>
      </c>
      <c r="H440" s="97"/>
      <c r="I440" s="97"/>
      <c r="J440" s="99"/>
      <c r="K440" s="99"/>
      <c r="L440" s="99"/>
      <c r="M440" s="97">
        <f t="shared" si="14"/>
        <v>0</v>
      </c>
      <c r="N440" s="97">
        <f t="shared" si="13"/>
        <v>42.9</v>
      </c>
      <c r="O440" s="97"/>
    </row>
    <row r="441" spans="1:15" x14ac:dyDescent="0.3">
      <c r="A441" s="96" t="s">
        <v>327</v>
      </c>
      <c r="B441" s="97" t="s">
        <v>66</v>
      </c>
      <c r="C441" s="97" t="s">
        <v>492</v>
      </c>
      <c r="D441" s="97">
        <v>42.9</v>
      </c>
      <c r="E441" s="97"/>
      <c r="F441" s="97"/>
      <c r="G441" s="97" t="s">
        <v>74</v>
      </c>
      <c r="H441" s="97"/>
      <c r="I441" s="97"/>
      <c r="J441" s="99"/>
      <c r="K441" s="99"/>
      <c r="L441" s="99"/>
      <c r="M441" s="97">
        <f t="shared" si="14"/>
        <v>0</v>
      </c>
      <c r="N441" s="97">
        <f t="shared" si="13"/>
        <v>42.9</v>
      </c>
      <c r="O441" s="97"/>
    </row>
    <row r="442" spans="1:15" x14ac:dyDescent="0.3">
      <c r="A442" s="96" t="s">
        <v>327</v>
      </c>
      <c r="B442" s="97" t="s">
        <v>66</v>
      </c>
      <c r="C442" s="97" t="s">
        <v>493</v>
      </c>
      <c r="D442" s="97">
        <v>58.27</v>
      </c>
      <c r="E442" s="97"/>
      <c r="F442" s="97"/>
      <c r="G442" s="97" t="s">
        <v>74</v>
      </c>
      <c r="H442" s="97"/>
      <c r="I442" s="97"/>
      <c r="J442" s="99"/>
      <c r="K442" s="99"/>
      <c r="L442" s="99"/>
      <c r="M442" s="97">
        <f t="shared" si="14"/>
        <v>0</v>
      </c>
      <c r="N442" s="97">
        <f t="shared" si="13"/>
        <v>58.27</v>
      </c>
      <c r="O442" s="97"/>
    </row>
    <row r="443" spans="1:15" x14ac:dyDescent="0.3">
      <c r="A443" s="96" t="s">
        <v>327</v>
      </c>
      <c r="B443" s="97" t="s">
        <v>66</v>
      </c>
      <c r="C443" s="97" t="s">
        <v>494</v>
      </c>
      <c r="D443" s="97">
        <v>42.9</v>
      </c>
      <c r="E443" s="97"/>
      <c r="F443" s="97"/>
      <c r="G443" s="97" t="s">
        <v>74</v>
      </c>
      <c r="H443" s="97"/>
      <c r="I443" s="97"/>
      <c r="J443" s="99"/>
      <c r="K443" s="99"/>
      <c r="L443" s="99"/>
      <c r="M443" s="97">
        <f t="shared" si="14"/>
        <v>0</v>
      </c>
      <c r="N443" s="97">
        <f t="shared" si="13"/>
        <v>42.9</v>
      </c>
      <c r="O443" s="97"/>
    </row>
    <row r="444" spans="1:15" x14ac:dyDescent="0.3">
      <c r="A444" s="96" t="s">
        <v>327</v>
      </c>
      <c r="B444" s="97" t="s">
        <v>66</v>
      </c>
      <c r="C444" s="97" t="s">
        <v>495</v>
      </c>
      <c r="D444" s="97">
        <v>42.9</v>
      </c>
      <c r="E444" s="97"/>
      <c r="F444" s="97"/>
      <c r="G444" s="97" t="s">
        <v>74</v>
      </c>
      <c r="H444" s="97"/>
      <c r="I444" s="97"/>
      <c r="J444" s="99"/>
      <c r="K444" s="99"/>
      <c r="L444" s="99"/>
      <c r="M444" s="97">
        <f t="shared" si="14"/>
        <v>0</v>
      </c>
      <c r="N444" s="97">
        <f t="shared" si="13"/>
        <v>42.9</v>
      </c>
      <c r="O444" s="97"/>
    </row>
    <row r="445" spans="1:15" x14ac:dyDescent="0.3">
      <c r="A445" s="96" t="s">
        <v>327</v>
      </c>
      <c r="B445" s="97" t="s">
        <v>66</v>
      </c>
      <c r="C445" s="97" t="s">
        <v>496</v>
      </c>
      <c r="D445" s="97">
        <v>42.9</v>
      </c>
      <c r="E445" s="97"/>
      <c r="F445" s="97"/>
      <c r="G445" s="97" t="s">
        <v>74</v>
      </c>
      <c r="H445" s="97"/>
      <c r="I445" s="97"/>
      <c r="J445" s="99"/>
      <c r="K445" s="99"/>
      <c r="L445" s="99"/>
      <c r="M445" s="97">
        <f t="shared" si="14"/>
        <v>0</v>
      </c>
      <c r="N445" s="97">
        <f t="shared" si="13"/>
        <v>42.9</v>
      </c>
      <c r="O445" s="97"/>
    </row>
    <row r="446" spans="1:15" x14ac:dyDescent="0.3">
      <c r="A446" s="96" t="s">
        <v>327</v>
      </c>
      <c r="B446" s="97" t="s">
        <v>66</v>
      </c>
      <c r="C446" s="97" t="s">
        <v>497</v>
      </c>
      <c r="D446" s="97">
        <v>42.9</v>
      </c>
      <c r="E446" s="97"/>
      <c r="F446" s="97"/>
      <c r="G446" s="97" t="s">
        <v>74</v>
      </c>
      <c r="H446" s="97"/>
      <c r="I446" s="97"/>
      <c r="J446" s="99"/>
      <c r="K446" s="99"/>
      <c r="L446" s="99"/>
      <c r="M446" s="97">
        <f t="shared" si="14"/>
        <v>0</v>
      </c>
      <c r="N446" s="97">
        <f t="shared" si="13"/>
        <v>42.9</v>
      </c>
      <c r="O446" s="97"/>
    </row>
    <row r="447" spans="1:15" x14ac:dyDescent="0.3">
      <c r="A447" s="96" t="s">
        <v>327</v>
      </c>
      <c r="B447" s="97" t="s">
        <v>66</v>
      </c>
      <c r="C447" s="97" t="s">
        <v>498</v>
      </c>
      <c r="D447" s="97">
        <v>42.9</v>
      </c>
      <c r="E447" s="97"/>
      <c r="F447" s="97"/>
      <c r="G447" s="97" t="s">
        <v>74</v>
      </c>
      <c r="H447" s="97"/>
      <c r="I447" s="97"/>
      <c r="J447" s="99"/>
      <c r="K447" s="99"/>
      <c r="L447" s="99"/>
      <c r="M447" s="97">
        <f t="shared" si="14"/>
        <v>0</v>
      </c>
      <c r="N447" s="97">
        <f t="shared" si="13"/>
        <v>42.9</v>
      </c>
      <c r="O447" s="97"/>
    </row>
    <row r="448" spans="1:15" x14ac:dyDescent="0.3">
      <c r="A448" s="96" t="s">
        <v>327</v>
      </c>
      <c r="B448" s="97" t="s">
        <v>66</v>
      </c>
      <c r="C448" s="97" t="s">
        <v>499</v>
      </c>
      <c r="D448" s="97">
        <v>42.9</v>
      </c>
      <c r="E448" s="97"/>
      <c r="F448" s="97"/>
      <c r="G448" s="97" t="s">
        <v>74</v>
      </c>
      <c r="H448" s="97"/>
      <c r="I448" s="97"/>
      <c r="J448" s="99"/>
      <c r="K448" s="99"/>
      <c r="L448" s="99"/>
      <c r="M448" s="97">
        <f t="shared" si="14"/>
        <v>0</v>
      </c>
      <c r="N448" s="97">
        <f t="shared" si="13"/>
        <v>42.9</v>
      </c>
      <c r="O448" s="97"/>
    </row>
    <row r="449" spans="1:15" x14ac:dyDescent="0.3">
      <c r="A449" s="96" t="s">
        <v>327</v>
      </c>
      <c r="B449" s="97" t="s">
        <v>66</v>
      </c>
      <c r="C449" s="97" t="s">
        <v>500</v>
      </c>
      <c r="D449" s="97">
        <v>42.9</v>
      </c>
      <c r="E449" s="97"/>
      <c r="F449" s="97"/>
      <c r="G449" s="97" t="s">
        <v>74</v>
      </c>
      <c r="H449" s="97"/>
      <c r="I449" s="97"/>
      <c r="J449" s="99"/>
      <c r="K449" s="99"/>
      <c r="L449" s="99"/>
      <c r="M449" s="97">
        <f t="shared" si="14"/>
        <v>0</v>
      </c>
      <c r="N449" s="97">
        <f t="shared" si="13"/>
        <v>42.9</v>
      </c>
      <c r="O449" s="97"/>
    </row>
    <row r="450" spans="1:15" x14ac:dyDescent="0.3">
      <c r="A450" s="96" t="s">
        <v>327</v>
      </c>
      <c r="B450" s="97" t="s">
        <v>66</v>
      </c>
      <c r="C450" s="97" t="s">
        <v>501</v>
      </c>
      <c r="D450" s="97">
        <v>61.85</v>
      </c>
      <c r="E450" s="97"/>
      <c r="F450" s="97"/>
      <c r="G450" s="97" t="s">
        <v>74</v>
      </c>
      <c r="H450" s="97"/>
      <c r="I450" s="97"/>
      <c r="J450" s="99"/>
      <c r="K450" s="99"/>
      <c r="L450" s="99"/>
      <c r="M450" s="97">
        <f t="shared" si="14"/>
        <v>0</v>
      </c>
      <c r="N450" s="97">
        <f t="shared" ref="N450:N481" si="15">IF(G450="未出租",D450,0)</f>
        <v>61.85</v>
      </c>
      <c r="O450" s="97"/>
    </row>
    <row r="451" spans="1:15" x14ac:dyDescent="0.3">
      <c r="A451" s="96" t="s">
        <v>327</v>
      </c>
      <c r="B451" s="97" t="s">
        <v>66</v>
      </c>
      <c r="C451" s="97" t="s">
        <v>502</v>
      </c>
      <c r="D451" s="97">
        <v>42.9</v>
      </c>
      <c r="E451" s="97"/>
      <c r="F451" s="97"/>
      <c r="G451" s="97" t="s">
        <v>74</v>
      </c>
      <c r="H451" s="97"/>
      <c r="I451" s="97"/>
      <c r="J451" s="99"/>
      <c r="K451" s="99"/>
      <c r="L451" s="99"/>
      <c r="M451" s="97">
        <f t="shared" si="14"/>
        <v>0</v>
      </c>
      <c r="N451" s="97">
        <f t="shared" si="15"/>
        <v>42.9</v>
      </c>
      <c r="O451" s="97"/>
    </row>
    <row r="452" spans="1:15" x14ac:dyDescent="0.3">
      <c r="A452" s="96" t="s">
        <v>327</v>
      </c>
      <c r="B452" s="97" t="s">
        <v>66</v>
      </c>
      <c r="C452" s="97" t="s">
        <v>503</v>
      </c>
      <c r="D452" s="97">
        <v>42.9</v>
      </c>
      <c r="E452" s="97"/>
      <c r="F452" s="97"/>
      <c r="G452" s="97" t="s">
        <v>74</v>
      </c>
      <c r="H452" s="97"/>
      <c r="I452" s="97"/>
      <c r="J452" s="99"/>
      <c r="K452" s="99"/>
      <c r="L452" s="99"/>
      <c r="M452" s="97">
        <f t="shared" si="14"/>
        <v>0</v>
      </c>
      <c r="N452" s="97">
        <f t="shared" si="15"/>
        <v>42.9</v>
      </c>
      <c r="O452" s="97"/>
    </row>
    <row r="453" spans="1:15" x14ac:dyDescent="0.3">
      <c r="A453" s="96" t="s">
        <v>327</v>
      </c>
      <c r="B453" s="97" t="s">
        <v>66</v>
      </c>
      <c r="C453" s="97" t="s">
        <v>504</v>
      </c>
      <c r="D453" s="97">
        <v>42.9</v>
      </c>
      <c r="E453" s="97"/>
      <c r="F453" s="97"/>
      <c r="G453" s="97" t="s">
        <v>74</v>
      </c>
      <c r="H453" s="97"/>
      <c r="I453" s="97"/>
      <c r="J453" s="99"/>
      <c r="K453" s="99"/>
      <c r="L453" s="99"/>
      <c r="M453" s="97">
        <f t="shared" si="14"/>
        <v>0</v>
      </c>
      <c r="N453" s="97">
        <f t="shared" si="15"/>
        <v>42.9</v>
      </c>
      <c r="O453" s="97"/>
    </row>
    <row r="454" spans="1:15" x14ac:dyDescent="0.3">
      <c r="A454" s="96" t="s">
        <v>327</v>
      </c>
      <c r="B454" s="97" t="s">
        <v>66</v>
      </c>
      <c r="C454" s="97" t="s">
        <v>505</v>
      </c>
      <c r="D454" s="97">
        <v>74.86</v>
      </c>
      <c r="E454" s="97"/>
      <c r="F454" s="97"/>
      <c r="G454" s="97" t="s">
        <v>74</v>
      </c>
      <c r="H454" s="97"/>
      <c r="I454" s="97"/>
      <c r="J454" s="99"/>
      <c r="K454" s="99"/>
      <c r="L454" s="99"/>
      <c r="M454" s="97">
        <f t="shared" si="14"/>
        <v>0</v>
      </c>
      <c r="N454" s="97">
        <f t="shared" si="15"/>
        <v>74.86</v>
      </c>
      <c r="O454" s="97"/>
    </row>
    <row r="455" spans="1:15" x14ac:dyDescent="0.3">
      <c r="A455" s="96" t="s">
        <v>327</v>
      </c>
      <c r="B455" s="97" t="s">
        <v>66</v>
      </c>
      <c r="C455" s="97" t="s">
        <v>506</v>
      </c>
      <c r="D455" s="97">
        <v>61.85</v>
      </c>
      <c r="E455" s="97"/>
      <c r="F455" s="97"/>
      <c r="G455" s="97" t="s">
        <v>74</v>
      </c>
      <c r="H455" s="97"/>
      <c r="I455" s="97"/>
      <c r="J455" s="99"/>
      <c r="K455" s="99"/>
      <c r="L455" s="99"/>
      <c r="M455" s="97">
        <f t="shared" si="14"/>
        <v>0</v>
      </c>
      <c r="N455" s="97">
        <f t="shared" si="15"/>
        <v>61.85</v>
      </c>
      <c r="O455" s="97"/>
    </row>
    <row r="456" spans="1:15" x14ac:dyDescent="0.3">
      <c r="A456" s="96" t="s">
        <v>327</v>
      </c>
      <c r="B456" s="97" t="s">
        <v>66</v>
      </c>
      <c r="C456" s="97" t="s">
        <v>507</v>
      </c>
      <c r="D456" s="97">
        <v>42.9</v>
      </c>
      <c r="E456" s="97"/>
      <c r="F456" s="97"/>
      <c r="G456" s="97" t="s">
        <v>74</v>
      </c>
      <c r="H456" s="97"/>
      <c r="I456" s="97"/>
      <c r="J456" s="99"/>
      <c r="K456" s="99"/>
      <c r="L456" s="99"/>
      <c r="M456" s="97">
        <f t="shared" si="14"/>
        <v>0</v>
      </c>
      <c r="N456" s="97">
        <f t="shared" si="15"/>
        <v>42.9</v>
      </c>
      <c r="O456" s="97"/>
    </row>
    <row r="457" spans="1:15" x14ac:dyDescent="0.3">
      <c r="A457" s="96" t="s">
        <v>327</v>
      </c>
      <c r="B457" s="97" t="s">
        <v>66</v>
      </c>
      <c r="C457" s="97" t="s">
        <v>508</v>
      </c>
      <c r="D457" s="97">
        <v>42.9</v>
      </c>
      <c r="E457" s="97"/>
      <c r="F457" s="97"/>
      <c r="G457" s="97" t="s">
        <v>74</v>
      </c>
      <c r="H457" s="97"/>
      <c r="I457" s="97"/>
      <c r="J457" s="99"/>
      <c r="K457" s="99"/>
      <c r="L457" s="99"/>
      <c r="M457" s="97">
        <f t="shared" si="14"/>
        <v>0</v>
      </c>
      <c r="N457" s="97">
        <f t="shared" si="15"/>
        <v>42.9</v>
      </c>
      <c r="O457" s="97"/>
    </row>
    <row r="458" spans="1:15" x14ac:dyDescent="0.3">
      <c r="A458" s="96" t="s">
        <v>327</v>
      </c>
      <c r="B458" s="97" t="s">
        <v>66</v>
      </c>
      <c r="C458" s="97" t="s">
        <v>509</v>
      </c>
      <c r="D458" s="97">
        <v>42.9</v>
      </c>
      <c r="E458" s="97"/>
      <c r="F458" s="97"/>
      <c r="G458" s="97" t="s">
        <v>74</v>
      </c>
      <c r="H458" s="97"/>
      <c r="I458" s="97"/>
      <c r="J458" s="99"/>
      <c r="K458" s="99"/>
      <c r="L458" s="99"/>
      <c r="M458" s="97">
        <f t="shared" si="14"/>
        <v>0</v>
      </c>
      <c r="N458" s="97">
        <f t="shared" si="15"/>
        <v>42.9</v>
      </c>
      <c r="O458" s="97"/>
    </row>
    <row r="459" spans="1:15" x14ac:dyDescent="0.3">
      <c r="A459" s="96" t="s">
        <v>327</v>
      </c>
      <c r="B459" s="97" t="s">
        <v>66</v>
      </c>
      <c r="C459" s="97" t="s">
        <v>510</v>
      </c>
      <c r="D459" s="97">
        <v>71.86</v>
      </c>
      <c r="E459" s="97"/>
      <c r="F459" s="97"/>
      <c r="G459" s="97" t="s">
        <v>74</v>
      </c>
      <c r="H459" s="97"/>
      <c r="I459" s="97"/>
      <c r="J459" s="99"/>
      <c r="K459" s="99"/>
      <c r="L459" s="99"/>
      <c r="M459" s="97">
        <f t="shared" si="14"/>
        <v>0</v>
      </c>
      <c r="N459" s="97">
        <f t="shared" si="15"/>
        <v>71.86</v>
      </c>
      <c r="O459" s="97"/>
    </row>
    <row r="460" spans="1:15" x14ac:dyDescent="0.3">
      <c r="A460" s="96" t="s">
        <v>327</v>
      </c>
      <c r="B460" s="97" t="s">
        <v>66</v>
      </c>
      <c r="C460" s="97" t="s">
        <v>511</v>
      </c>
      <c r="D460" s="97">
        <v>76.12</v>
      </c>
      <c r="E460" s="97"/>
      <c r="F460" s="97"/>
      <c r="G460" s="97" t="s">
        <v>74</v>
      </c>
      <c r="H460" s="97"/>
      <c r="I460" s="97"/>
      <c r="J460" s="99"/>
      <c r="K460" s="99"/>
      <c r="L460" s="99"/>
      <c r="M460" s="97">
        <f t="shared" si="14"/>
        <v>0</v>
      </c>
      <c r="N460" s="97">
        <f t="shared" si="15"/>
        <v>76.12</v>
      </c>
      <c r="O460" s="97"/>
    </row>
    <row r="461" spans="1:15" x14ac:dyDescent="0.3">
      <c r="A461" s="96" t="s">
        <v>327</v>
      </c>
      <c r="B461" s="97" t="s">
        <v>66</v>
      </c>
      <c r="C461" s="97" t="s">
        <v>512</v>
      </c>
      <c r="D461" s="97">
        <v>56.25</v>
      </c>
      <c r="E461" s="97"/>
      <c r="F461" s="97"/>
      <c r="G461" s="97" t="s">
        <v>74</v>
      </c>
      <c r="H461" s="97"/>
      <c r="I461" s="97"/>
      <c r="J461" s="99"/>
      <c r="K461" s="99"/>
      <c r="L461" s="99"/>
      <c r="M461" s="97">
        <f t="shared" si="14"/>
        <v>0</v>
      </c>
      <c r="N461" s="97">
        <f t="shared" si="15"/>
        <v>56.25</v>
      </c>
      <c r="O461" s="97"/>
    </row>
    <row r="462" spans="1:15" x14ac:dyDescent="0.3">
      <c r="A462" s="96" t="s">
        <v>327</v>
      </c>
      <c r="B462" s="97" t="s">
        <v>66</v>
      </c>
      <c r="C462" s="97" t="s">
        <v>513</v>
      </c>
      <c r="D462" s="97">
        <v>62.35</v>
      </c>
      <c r="E462" s="97"/>
      <c r="F462" s="97"/>
      <c r="G462" s="97" t="s">
        <v>74</v>
      </c>
      <c r="H462" s="97"/>
      <c r="I462" s="97"/>
      <c r="J462" s="99"/>
      <c r="K462" s="99"/>
      <c r="L462" s="99"/>
      <c r="M462" s="97">
        <f t="shared" si="14"/>
        <v>0</v>
      </c>
      <c r="N462" s="97">
        <f t="shared" si="15"/>
        <v>62.35</v>
      </c>
      <c r="O462" s="97"/>
    </row>
    <row r="463" spans="1:15" x14ac:dyDescent="0.3">
      <c r="A463" s="96" t="s">
        <v>327</v>
      </c>
      <c r="B463" s="97" t="s">
        <v>66</v>
      </c>
      <c r="C463" s="97" t="s">
        <v>514</v>
      </c>
      <c r="D463" s="97">
        <v>45.9</v>
      </c>
      <c r="E463" s="97"/>
      <c r="F463" s="97"/>
      <c r="G463" s="97" t="s">
        <v>74</v>
      </c>
      <c r="H463" s="97"/>
      <c r="I463" s="97"/>
      <c r="J463" s="99"/>
      <c r="K463" s="99"/>
      <c r="L463" s="99"/>
      <c r="M463" s="97">
        <f t="shared" si="14"/>
        <v>0</v>
      </c>
      <c r="N463" s="97">
        <f t="shared" si="15"/>
        <v>45.9</v>
      </c>
      <c r="O463" s="97"/>
    </row>
    <row r="464" spans="1:15" x14ac:dyDescent="0.3">
      <c r="A464" s="96" t="s">
        <v>327</v>
      </c>
      <c r="B464" s="97" t="s">
        <v>66</v>
      </c>
      <c r="C464" s="97" t="s">
        <v>515</v>
      </c>
      <c r="D464" s="97">
        <v>45.9</v>
      </c>
      <c r="E464" s="97"/>
      <c r="F464" s="97"/>
      <c r="G464" s="97" t="s">
        <v>74</v>
      </c>
      <c r="H464" s="97"/>
      <c r="I464" s="97"/>
      <c r="J464" s="99"/>
      <c r="K464" s="99"/>
      <c r="L464" s="99"/>
      <c r="M464" s="97">
        <f t="shared" si="14"/>
        <v>0</v>
      </c>
      <c r="N464" s="97">
        <f t="shared" si="15"/>
        <v>45.9</v>
      </c>
      <c r="O464" s="97"/>
    </row>
    <row r="465" spans="1:15" x14ac:dyDescent="0.3">
      <c r="A465" s="96" t="s">
        <v>327</v>
      </c>
      <c r="B465" s="97" t="s">
        <v>66</v>
      </c>
      <c r="C465" s="97" t="s">
        <v>516</v>
      </c>
      <c r="D465" s="97">
        <v>45.9</v>
      </c>
      <c r="E465" s="97"/>
      <c r="F465" s="97"/>
      <c r="G465" s="97" t="s">
        <v>74</v>
      </c>
      <c r="H465" s="97"/>
      <c r="I465" s="97"/>
      <c r="J465" s="99"/>
      <c r="K465" s="99"/>
      <c r="L465" s="99"/>
      <c r="M465" s="97">
        <f t="shared" si="14"/>
        <v>0</v>
      </c>
      <c r="N465" s="97">
        <f t="shared" si="15"/>
        <v>45.9</v>
      </c>
      <c r="O465" s="97"/>
    </row>
    <row r="466" spans="1:15" x14ac:dyDescent="0.3">
      <c r="A466" s="96" t="s">
        <v>327</v>
      </c>
      <c r="B466" s="97" t="s">
        <v>66</v>
      </c>
      <c r="C466" s="97" t="s">
        <v>517</v>
      </c>
      <c r="D466" s="97">
        <v>45.9</v>
      </c>
      <c r="E466" s="97"/>
      <c r="F466" s="97"/>
      <c r="G466" s="97" t="s">
        <v>74</v>
      </c>
      <c r="H466" s="97"/>
      <c r="I466" s="97"/>
      <c r="J466" s="99"/>
      <c r="K466" s="99"/>
      <c r="L466" s="99"/>
      <c r="M466" s="97">
        <f t="shared" si="14"/>
        <v>0</v>
      </c>
      <c r="N466" s="97">
        <f t="shared" si="15"/>
        <v>45.9</v>
      </c>
      <c r="O466" s="97"/>
    </row>
    <row r="467" spans="1:15" x14ac:dyDescent="0.3">
      <c r="A467" s="96" t="s">
        <v>327</v>
      </c>
      <c r="B467" s="97" t="s">
        <v>66</v>
      </c>
      <c r="C467" s="97" t="s">
        <v>518</v>
      </c>
      <c r="D467" s="97">
        <v>45.9</v>
      </c>
      <c r="E467" s="97"/>
      <c r="F467" s="97"/>
      <c r="G467" s="97" t="s">
        <v>74</v>
      </c>
      <c r="H467" s="97"/>
      <c r="I467" s="97"/>
      <c r="J467" s="99"/>
      <c r="K467" s="99"/>
      <c r="L467" s="99"/>
      <c r="M467" s="97">
        <f t="shared" si="14"/>
        <v>0</v>
      </c>
      <c r="N467" s="97">
        <f t="shared" si="15"/>
        <v>45.9</v>
      </c>
      <c r="O467" s="97"/>
    </row>
    <row r="468" spans="1:15" x14ac:dyDescent="0.3">
      <c r="A468" s="96" t="s">
        <v>327</v>
      </c>
      <c r="B468" s="97" t="s">
        <v>66</v>
      </c>
      <c r="C468" s="97" t="s">
        <v>519</v>
      </c>
      <c r="D468" s="97">
        <v>45.9</v>
      </c>
      <c r="E468" s="97"/>
      <c r="F468" s="97"/>
      <c r="G468" s="97" t="s">
        <v>74</v>
      </c>
      <c r="H468" s="97"/>
      <c r="I468" s="97"/>
      <c r="J468" s="99"/>
      <c r="K468" s="99"/>
      <c r="L468" s="99"/>
      <c r="M468" s="97">
        <f t="shared" si="14"/>
        <v>0</v>
      </c>
      <c r="N468" s="97">
        <f t="shared" si="15"/>
        <v>45.9</v>
      </c>
      <c r="O468" s="97"/>
    </row>
    <row r="469" spans="1:15" x14ac:dyDescent="0.3">
      <c r="A469" s="96" t="s">
        <v>327</v>
      </c>
      <c r="B469" s="97" t="s">
        <v>66</v>
      </c>
      <c r="C469" s="97" t="s">
        <v>520</v>
      </c>
      <c r="D469" s="97">
        <v>45.9</v>
      </c>
      <c r="E469" s="97"/>
      <c r="F469" s="97"/>
      <c r="G469" s="97" t="s">
        <v>74</v>
      </c>
      <c r="H469" s="97"/>
      <c r="I469" s="97"/>
      <c r="J469" s="99"/>
      <c r="K469" s="99"/>
      <c r="L469" s="99"/>
      <c r="M469" s="97">
        <f t="shared" si="14"/>
        <v>0</v>
      </c>
      <c r="N469" s="97">
        <f t="shared" si="15"/>
        <v>45.9</v>
      </c>
      <c r="O469" s="97"/>
    </row>
    <row r="470" spans="1:15" x14ac:dyDescent="0.3">
      <c r="A470" s="96" t="s">
        <v>327</v>
      </c>
      <c r="B470" s="97" t="s">
        <v>66</v>
      </c>
      <c r="C470" s="97" t="s">
        <v>521</v>
      </c>
      <c r="D470" s="97">
        <v>66.17</v>
      </c>
      <c r="E470" s="97"/>
      <c r="F470" s="97"/>
      <c r="G470" s="97" t="s">
        <v>74</v>
      </c>
      <c r="H470" s="97"/>
      <c r="I470" s="97"/>
      <c r="J470" s="99"/>
      <c r="K470" s="99"/>
      <c r="L470" s="99"/>
      <c r="M470" s="97">
        <f t="shared" si="14"/>
        <v>0</v>
      </c>
      <c r="N470" s="97">
        <f t="shared" si="15"/>
        <v>66.17</v>
      </c>
      <c r="O470" s="97"/>
    </row>
    <row r="471" spans="1:15" x14ac:dyDescent="0.3">
      <c r="A471" s="96" t="s">
        <v>327</v>
      </c>
      <c r="B471" s="97" t="s">
        <v>66</v>
      </c>
      <c r="C471" s="97" t="s">
        <v>522</v>
      </c>
      <c r="D471" s="97">
        <v>45.9</v>
      </c>
      <c r="E471" s="97"/>
      <c r="F471" s="97"/>
      <c r="G471" s="97" t="s">
        <v>74</v>
      </c>
      <c r="H471" s="97"/>
      <c r="I471" s="97"/>
      <c r="J471" s="99"/>
      <c r="K471" s="99"/>
      <c r="L471" s="99"/>
      <c r="M471" s="97">
        <f t="shared" si="14"/>
        <v>0</v>
      </c>
      <c r="N471" s="97">
        <f t="shared" si="15"/>
        <v>45.9</v>
      </c>
      <c r="O471" s="97"/>
    </row>
    <row r="472" spans="1:15" x14ac:dyDescent="0.3">
      <c r="A472" s="96" t="s">
        <v>327</v>
      </c>
      <c r="B472" s="97" t="s">
        <v>66</v>
      </c>
      <c r="C472" s="97" t="s">
        <v>523</v>
      </c>
      <c r="D472" s="97">
        <v>45.9</v>
      </c>
      <c r="E472" s="97"/>
      <c r="F472" s="97"/>
      <c r="G472" s="97" t="s">
        <v>74</v>
      </c>
      <c r="H472" s="97"/>
      <c r="I472" s="97"/>
      <c r="J472" s="99"/>
      <c r="K472" s="99"/>
      <c r="L472" s="99"/>
      <c r="M472" s="97">
        <f t="shared" si="14"/>
        <v>0</v>
      </c>
      <c r="N472" s="97">
        <f t="shared" si="15"/>
        <v>45.9</v>
      </c>
      <c r="O472" s="97"/>
    </row>
    <row r="473" spans="1:15" x14ac:dyDescent="0.3">
      <c r="A473" s="96" t="s">
        <v>327</v>
      </c>
      <c r="B473" s="97" t="s">
        <v>66</v>
      </c>
      <c r="C473" s="97" t="s">
        <v>524</v>
      </c>
      <c r="D473" s="97">
        <v>53.55</v>
      </c>
      <c r="E473" s="97"/>
      <c r="F473" s="97"/>
      <c r="G473" s="97" t="s">
        <v>74</v>
      </c>
      <c r="H473" s="97"/>
      <c r="I473" s="97"/>
      <c r="J473" s="99"/>
      <c r="K473" s="99"/>
      <c r="L473" s="99"/>
      <c r="M473" s="97">
        <f t="shared" si="14"/>
        <v>0</v>
      </c>
      <c r="N473" s="97">
        <f t="shared" si="15"/>
        <v>53.55</v>
      </c>
      <c r="O473" s="97"/>
    </row>
    <row r="474" spans="1:15" x14ac:dyDescent="0.3">
      <c r="A474" s="96" t="s">
        <v>327</v>
      </c>
      <c r="B474" s="97" t="s">
        <v>66</v>
      </c>
      <c r="C474" s="97" t="s">
        <v>525</v>
      </c>
      <c r="D474" s="97">
        <v>76.88</v>
      </c>
      <c r="E474" s="97"/>
      <c r="F474" s="97"/>
      <c r="G474" s="97" t="s">
        <v>74</v>
      </c>
      <c r="H474" s="97"/>
      <c r="I474" s="97"/>
      <c r="J474" s="99"/>
      <c r="K474" s="99"/>
      <c r="L474" s="99"/>
      <c r="M474" s="97">
        <f t="shared" si="14"/>
        <v>0</v>
      </c>
      <c r="N474" s="97">
        <f t="shared" si="15"/>
        <v>76.88</v>
      </c>
      <c r="O474" s="97"/>
    </row>
    <row r="475" spans="1:15" x14ac:dyDescent="0.3">
      <c r="A475" s="96" t="s">
        <v>327</v>
      </c>
      <c r="B475" s="97" t="s">
        <v>66</v>
      </c>
      <c r="C475" s="97" t="s">
        <v>526</v>
      </c>
      <c r="D475" s="97">
        <v>66.17</v>
      </c>
      <c r="E475" s="97"/>
      <c r="F475" s="97"/>
      <c r="G475" s="97" t="s">
        <v>74</v>
      </c>
      <c r="H475" s="97"/>
      <c r="I475" s="97"/>
      <c r="J475" s="99"/>
      <c r="K475" s="99"/>
      <c r="L475" s="99"/>
      <c r="M475" s="97">
        <f t="shared" si="14"/>
        <v>0</v>
      </c>
      <c r="N475" s="97">
        <f t="shared" si="15"/>
        <v>66.17</v>
      </c>
      <c r="O475" s="97"/>
    </row>
    <row r="476" spans="1:15" x14ac:dyDescent="0.3">
      <c r="A476" s="96" t="s">
        <v>327</v>
      </c>
      <c r="B476" s="97" t="s">
        <v>66</v>
      </c>
      <c r="C476" s="97" t="s">
        <v>527</v>
      </c>
      <c r="D476" s="97">
        <v>45.9</v>
      </c>
      <c r="E476" s="97"/>
      <c r="F476" s="97"/>
      <c r="G476" s="97" t="s">
        <v>74</v>
      </c>
      <c r="H476" s="97"/>
      <c r="I476" s="97"/>
      <c r="J476" s="99"/>
      <c r="K476" s="99"/>
      <c r="L476" s="99"/>
      <c r="M476" s="97">
        <f t="shared" si="14"/>
        <v>0</v>
      </c>
      <c r="N476" s="97">
        <f t="shared" si="15"/>
        <v>45.9</v>
      </c>
      <c r="O476" s="97"/>
    </row>
    <row r="477" spans="1:15" x14ac:dyDescent="0.3">
      <c r="A477" s="96" t="s">
        <v>327</v>
      </c>
      <c r="B477" s="97" t="s">
        <v>66</v>
      </c>
      <c r="C477" s="97" t="s">
        <v>528</v>
      </c>
      <c r="D477" s="97">
        <v>45.9</v>
      </c>
      <c r="E477" s="97"/>
      <c r="F477" s="97"/>
      <c r="G477" s="97" t="s">
        <v>74</v>
      </c>
      <c r="H477" s="97"/>
      <c r="I477" s="97"/>
      <c r="J477" s="99"/>
      <c r="K477" s="99"/>
      <c r="L477" s="99"/>
      <c r="M477" s="97">
        <f t="shared" si="14"/>
        <v>0</v>
      </c>
      <c r="N477" s="97">
        <f t="shared" si="15"/>
        <v>45.9</v>
      </c>
      <c r="O477" s="97"/>
    </row>
    <row r="478" spans="1:15" x14ac:dyDescent="0.3">
      <c r="A478" s="96" t="s">
        <v>327</v>
      </c>
      <c r="B478" s="97" t="s">
        <v>66</v>
      </c>
      <c r="C478" s="97" t="s">
        <v>529</v>
      </c>
      <c r="D478" s="97">
        <v>53.55</v>
      </c>
      <c r="E478" s="97"/>
      <c r="F478" s="97"/>
      <c r="G478" s="97" t="s">
        <v>74</v>
      </c>
      <c r="H478" s="97"/>
      <c r="I478" s="97"/>
      <c r="J478" s="99"/>
      <c r="K478" s="99"/>
      <c r="L478" s="99"/>
      <c r="M478" s="97">
        <f t="shared" si="14"/>
        <v>0</v>
      </c>
      <c r="N478" s="97">
        <f t="shared" si="15"/>
        <v>53.55</v>
      </c>
      <c r="O478" s="97"/>
    </row>
    <row r="479" spans="1:15" x14ac:dyDescent="0.3">
      <c r="A479" s="96" t="s">
        <v>327</v>
      </c>
      <c r="B479" s="97" t="s">
        <v>66</v>
      </c>
      <c r="C479" s="97" t="s">
        <v>530</v>
      </c>
      <c r="D479" s="97">
        <v>76.88</v>
      </c>
      <c r="E479" s="97"/>
      <c r="F479" s="97"/>
      <c r="G479" s="97" t="s">
        <v>74</v>
      </c>
      <c r="H479" s="97"/>
      <c r="I479" s="97"/>
      <c r="J479" s="99"/>
      <c r="K479" s="99"/>
      <c r="L479" s="99"/>
      <c r="M479" s="97">
        <f t="shared" si="14"/>
        <v>0</v>
      </c>
      <c r="N479" s="97">
        <f t="shared" si="15"/>
        <v>76.88</v>
      </c>
      <c r="O479" s="97"/>
    </row>
    <row r="480" spans="1:15" x14ac:dyDescent="0.3">
      <c r="A480" s="96" t="s">
        <v>327</v>
      </c>
      <c r="B480" s="97" t="s">
        <v>66</v>
      </c>
      <c r="C480" s="97" t="s">
        <v>531</v>
      </c>
      <c r="D480" s="97">
        <v>56.25</v>
      </c>
      <c r="E480" s="97"/>
      <c r="F480" s="97"/>
      <c r="G480" s="97" t="s">
        <v>74</v>
      </c>
      <c r="H480" s="97"/>
      <c r="I480" s="97"/>
      <c r="J480" s="99"/>
      <c r="K480" s="99"/>
      <c r="L480" s="99"/>
      <c r="M480" s="97">
        <f t="shared" si="14"/>
        <v>0</v>
      </c>
      <c r="N480" s="97">
        <f t="shared" si="15"/>
        <v>56.25</v>
      </c>
      <c r="O480" s="97"/>
    </row>
    <row r="481" spans="1:15" x14ac:dyDescent="0.3">
      <c r="A481" s="96" t="s">
        <v>327</v>
      </c>
      <c r="B481" s="97" t="s">
        <v>66</v>
      </c>
      <c r="C481" s="97" t="s">
        <v>532</v>
      </c>
      <c r="D481" s="97">
        <v>56.25</v>
      </c>
      <c r="E481" s="8"/>
      <c r="F481" s="8"/>
      <c r="G481" s="97" t="s">
        <v>74</v>
      </c>
      <c r="H481" s="97"/>
      <c r="I481" s="97"/>
      <c r="J481" s="99"/>
      <c r="K481" s="99"/>
      <c r="L481" s="99"/>
      <c r="M481" s="97">
        <f t="shared" si="14"/>
        <v>0</v>
      </c>
      <c r="N481" s="97">
        <f t="shared" si="15"/>
        <v>56.25</v>
      </c>
      <c r="O481" s="97"/>
    </row>
  </sheetData>
  <autoFilter ref="A1:O481" xr:uid="{00000000-0009-0000-0000-000001000000}"/>
  <phoneticPr fontId="24" type="noConversion"/>
  <conditionalFormatting sqref="C55:C56 C58:C59">
    <cfRule type="duplicateValues" dxfId="220" priority="31"/>
    <cfRule type="duplicateValues" dxfId="219" priority="32"/>
  </conditionalFormatting>
  <conditionalFormatting sqref="C60">
    <cfRule type="duplicateValues" dxfId="218" priority="29"/>
    <cfRule type="duplicateValues" dxfId="217" priority="30"/>
  </conditionalFormatting>
  <conditionalFormatting sqref="C61">
    <cfRule type="duplicateValues" dxfId="216" priority="27"/>
    <cfRule type="duplicateValues" dxfId="215" priority="28"/>
  </conditionalFormatting>
  <conditionalFormatting sqref="C63">
    <cfRule type="duplicateValues" dxfId="214" priority="7"/>
    <cfRule type="duplicateValues" dxfId="213" priority="8"/>
  </conditionalFormatting>
  <conditionalFormatting sqref="C64">
    <cfRule type="duplicateValues" dxfId="212" priority="5"/>
    <cfRule type="duplicateValues" dxfId="211" priority="6"/>
  </conditionalFormatting>
  <conditionalFormatting sqref="C72:C75">
    <cfRule type="duplicateValues" dxfId="210" priority="25"/>
    <cfRule type="duplicateValues" dxfId="209" priority="26"/>
  </conditionalFormatting>
  <conditionalFormatting sqref="C78">
    <cfRule type="duplicateValues" dxfId="208" priority="21"/>
    <cfRule type="duplicateValues" dxfId="207" priority="22"/>
  </conditionalFormatting>
  <conditionalFormatting sqref="C79:C80">
    <cfRule type="duplicateValues" dxfId="206" priority="23"/>
    <cfRule type="duplicateValues" dxfId="205" priority="24"/>
  </conditionalFormatting>
  <conditionalFormatting sqref="C84">
    <cfRule type="duplicateValues" dxfId="204" priority="19"/>
    <cfRule type="duplicateValues" dxfId="203" priority="20"/>
  </conditionalFormatting>
  <conditionalFormatting sqref="C85">
    <cfRule type="duplicateValues" dxfId="202" priority="17"/>
    <cfRule type="duplicateValues" dxfId="201" priority="18"/>
  </conditionalFormatting>
  <conditionalFormatting sqref="C86:C87">
    <cfRule type="duplicateValues" dxfId="200" priority="15"/>
    <cfRule type="duplicateValues" dxfId="199" priority="16"/>
  </conditionalFormatting>
  <conditionalFormatting sqref="C91">
    <cfRule type="duplicateValues" dxfId="198" priority="3"/>
    <cfRule type="duplicateValues" dxfId="197" priority="4"/>
  </conditionalFormatting>
  <conditionalFormatting sqref="C92">
    <cfRule type="duplicateValues" dxfId="196" priority="1"/>
    <cfRule type="duplicateValues" dxfId="195" priority="2"/>
  </conditionalFormatting>
  <conditionalFormatting sqref="C114">
    <cfRule type="duplicateValues" dxfId="194" priority="9"/>
    <cfRule type="duplicateValues" dxfId="193" priority="10"/>
  </conditionalFormatting>
  <conditionalFormatting sqref="C119">
    <cfRule type="duplicateValues" dxfId="192" priority="12"/>
    <cfRule type="duplicateValues" dxfId="191" priority="14"/>
  </conditionalFormatting>
  <conditionalFormatting sqref="C120">
    <cfRule type="duplicateValues" dxfId="190" priority="11"/>
    <cfRule type="duplicateValues" dxfId="189" priority="13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4"/>
  <sheetViews>
    <sheetView workbookViewId="0">
      <pane ySplit="1" topLeftCell="A29" activePane="bottomLeft" state="frozen"/>
      <selection pane="bottomLeft" activeCell="G32" sqref="G32"/>
    </sheetView>
  </sheetViews>
  <sheetFormatPr defaultColWidth="9" defaultRowHeight="14" x14ac:dyDescent="0.3"/>
  <cols>
    <col min="1" max="2" width="12.58203125" style="1" customWidth="1"/>
    <col min="3" max="3" width="15.5" style="1" customWidth="1"/>
    <col min="4" max="4" width="12.58203125" style="1" customWidth="1"/>
    <col min="5" max="5" width="13.58203125" style="1" customWidth="1"/>
    <col min="6" max="8" width="12.58203125" style="1" customWidth="1"/>
    <col min="9" max="9" width="12.08203125" style="1" customWidth="1"/>
    <col min="10" max="14" width="12.58203125" style="1" customWidth="1"/>
    <col min="15" max="15" width="13.75" style="93" customWidth="1"/>
    <col min="17" max="17" width="8.75" customWidth="1"/>
    <col min="18" max="18" width="18.6640625" customWidth="1"/>
    <col min="19" max="19" width="16.75" customWidth="1"/>
    <col min="20" max="20" width="12.75" customWidth="1"/>
  </cols>
  <sheetData>
    <row r="1" spans="1:15" ht="39" customHeight="1" x14ac:dyDescent="0.3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  <c r="O1" s="5" t="s">
        <v>34</v>
      </c>
    </row>
    <row r="2" spans="1:15" x14ac:dyDescent="0.3">
      <c r="A2" s="15" t="s">
        <v>18</v>
      </c>
      <c r="B2" s="5" t="s">
        <v>533</v>
      </c>
      <c r="C2" s="5" t="s">
        <v>534</v>
      </c>
      <c r="D2" s="5">
        <v>113</v>
      </c>
      <c r="E2" s="5"/>
      <c r="F2" s="5"/>
      <c r="G2" s="5" t="s">
        <v>38</v>
      </c>
      <c r="H2" s="5"/>
      <c r="I2" s="5" t="s">
        <v>234</v>
      </c>
      <c r="J2" s="94">
        <f>VLOOKUP(C2,'[2]2026.3'!$C$4:$Q$157,13,0)</f>
        <v>45642</v>
      </c>
      <c r="K2" s="94">
        <f>VLOOKUP(C2,'[2]2026.3'!$C$4:$Q$157,14,0)</f>
        <v>45611</v>
      </c>
      <c r="L2" s="94">
        <f>VLOOKUP(C2,'[2]2026.3'!$C$4:$Q$157,15,0)</f>
        <v>46705</v>
      </c>
      <c r="M2" s="5">
        <f>IF(G2="已租",D2,0)</f>
        <v>113</v>
      </c>
      <c r="N2" s="5">
        <f t="shared" ref="N2:N65" si="0">IF(G2="未出租",D2,0)</f>
        <v>0</v>
      </c>
      <c r="O2" s="74"/>
    </row>
    <row r="3" spans="1:15" x14ac:dyDescent="0.3">
      <c r="A3" s="15" t="s">
        <v>18</v>
      </c>
      <c r="B3" s="5" t="s">
        <v>533</v>
      </c>
      <c r="C3" s="5" t="s">
        <v>535</v>
      </c>
      <c r="D3" s="5">
        <v>97</v>
      </c>
      <c r="E3" s="5"/>
      <c r="F3" s="5"/>
      <c r="G3" s="5" t="s">
        <v>38</v>
      </c>
      <c r="H3" s="5"/>
      <c r="I3" s="5" t="s">
        <v>234</v>
      </c>
      <c r="J3" s="94">
        <f>VLOOKUP(C3,'[2]2026.3'!$C$4:$Q$157,13,0)</f>
        <v>45617</v>
      </c>
      <c r="K3" s="94">
        <f>VLOOKUP(C3,'[2]2026.3'!$C$4:$Q$157,14,0)</f>
        <v>45611</v>
      </c>
      <c r="L3" s="94">
        <f>VLOOKUP(C3,'[2]2026.3'!$C$4:$Q$157,15,0)</f>
        <v>46705</v>
      </c>
      <c r="M3" s="5">
        <f t="shared" ref="M3:M65" si="1">IF(G3="已租",D3,0)</f>
        <v>97</v>
      </c>
      <c r="N3" s="5">
        <f t="shared" si="0"/>
        <v>0</v>
      </c>
      <c r="O3" s="74"/>
    </row>
    <row r="4" spans="1:15" x14ac:dyDescent="0.3">
      <c r="A4" s="15" t="s">
        <v>18</v>
      </c>
      <c r="B4" s="5" t="s">
        <v>533</v>
      </c>
      <c r="C4" s="5" t="s">
        <v>536</v>
      </c>
      <c r="D4" s="5">
        <v>182</v>
      </c>
      <c r="E4" s="5"/>
      <c r="F4" s="5"/>
      <c r="G4" s="5" t="s">
        <v>38</v>
      </c>
      <c r="H4" s="5"/>
      <c r="I4" s="5" t="s">
        <v>234</v>
      </c>
      <c r="J4" s="94">
        <v>45775</v>
      </c>
      <c r="K4" s="94">
        <v>45717</v>
      </c>
      <c r="L4" s="94">
        <v>46812</v>
      </c>
      <c r="M4" s="5">
        <f t="shared" si="1"/>
        <v>182</v>
      </c>
      <c r="N4" s="5">
        <f t="shared" si="0"/>
        <v>0</v>
      </c>
      <c r="O4" s="74"/>
    </row>
    <row r="5" spans="1:15" x14ac:dyDescent="0.3">
      <c r="A5" s="15" t="s">
        <v>18</v>
      </c>
      <c r="B5" s="5" t="s">
        <v>533</v>
      </c>
      <c r="C5" s="5" t="s">
        <v>537</v>
      </c>
      <c r="D5" s="5">
        <v>76</v>
      </c>
      <c r="E5" s="5"/>
      <c r="F5" s="5"/>
      <c r="G5" s="5" t="s">
        <v>38</v>
      </c>
      <c r="H5" s="5"/>
      <c r="I5" s="5" t="s">
        <v>234</v>
      </c>
      <c r="J5" s="94">
        <f>VLOOKUP(C5,'[2]2026.3'!$C$4:$Q$157,13,0)</f>
        <v>45778</v>
      </c>
      <c r="K5" s="94">
        <f>VLOOKUP(C5,'[2]2026.3'!$C$4:$Q$157,14,0)</f>
        <v>45778</v>
      </c>
      <c r="L5" s="94">
        <f>VLOOKUP(C5,'[2]2026.3'!$C$4:$Q$157,15,0)</f>
        <v>46873</v>
      </c>
      <c r="M5" s="5">
        <f t="shared" si="1"/>
        <v>76</v>
      </c>
      <c r="N5" s="5">
        <f t="shared" si="0"/>
        <v>0</v>
      </c>
      <c r="O5" s="74"/>
    </row>
    <row r="6" spans="1:15" x14ac:dyDescent="0.3">
      <c r="A6" s="15" t="s">
        <v>18</v>
      </c>
      <c r="B6" s="5" t="s">
        <v>533</v>
      </c>
      <c r="C6" s="5" t="s">
        <v>538</v>
      </c>
      <c r="D6" s="5">
        <v>65</v>
      </c>
      <c r="E6" s="5"/>
      <c r="F6" s="5"/>
      <c r="G6" s="5" t="s">
        <v>38</v>
      </c>
      <c r="H6" s="5"/>
      <c r="I6" s="5" t="s">
        <v>234</v>
      </c>
      <c r="J6" s="94">
        <f>VLOOKUP(C6,'[2]2026.3'!$C$4:$Q$157,13,0)</f>
        <v>46037</v>
      </c>
      <c r="K6" s="94">
        <f>VLOOKUP(C6,'[2]2026.3'!$C$4:$Q$157,14,0)</f>
        <v>46054</v>
      </c>
      <c r="L6" s="94">
        <f>VLOOKUP(C6,'[2]2026.3'!$C$4:$Q$157,15,0)</f>
        <v>47149</v>
      </c>
      <c r="M6" s="5">
        <f t="shared" si="1"/>
        <v>65</v>
      </c>
      <c r="N6" s="5">
        <f t="shared" si="0"/>
        <v>0</v>
      </c>
      <c r="O6" s="74"/>
    </row>
    <row r="7" spans="1:15" x14ac:dyDescent="0.3">
      <c r="A7" s="15" t="s">
        <v>18</v>
      </c>
      <c r="B7" s="5" t="s">
        <v>533</v>
      </c>
      <c r="C7" s="5" t="s">
        <v>539</v>
      </c>
      <c r="D7" s="5">
        <v>62</v>
      </c>
      <c r="E7" s="5"/>
      <c r="F7" s="5"/>
      <c r="G7" s="5" t="s">
        <v>38</v>
      </c>
      <c r="H7" s="5"/>
      <c r="I7" s="5" t="s">
        <v>234</v>
      </c>
      <c r="J7" s="94">
        <f>VLOOKUP(C7,'[2]2026.3'!$C$4:$Q$157,13,0)</f>
        <v>45708</v>
      </c>
      <c r="K7" s="94">
        <f>VLOOKUP(C7,'[2]2026.3'!$C$4:$Q$157,14,0)</f>
        <v>45717</v>
      </c>
      <c r="L7" s="94">
        <f>VLOOKUP(C7,'[2]2026.3'!$C$4:$Q$157,15,0)</f>
        <v>46811</v>
      </c>
      <c r="M7" s="5">
        <f t="shared" si="1"/>
        <v>62</v>
      </c>
      <c r="N7" s="5">
        <f t="shared" si="0"/>
        <v>0</v>
      </c>
      <c r="O7" s="74"/>
    </row>
    <row r="8" spans="1:15" x14ac:dyDescent="0.3">
      <c r="A8" s="15" t="s">
        <v>18</v>
      </c>
      <c r="B8" s="5" t="s">
        <v>533</v>
      </c>
      <c r="C8" s="5" t="s">
        <v>540</v>
      </c>
      <c r="D8" s="5">
        <v>62</v>
      </c>
      <c r="E8" s="5"/>
      <c r="F8" s="5"/>
      <c r="G8" s="5" t="s">
        <v>38</v>
      </c>
      <c r="H8" s="5"/>
      <c r="I8" s="5" t="s">
        <v>234</v>
      </c>
      <c r="J8" s="94">
        <f>VLOOKUP(C8,'[2]2026.3'!$C$4:$Q$157,13,0)</f>
        <v>45708</v>
      </c>
      <c r="K8" s="94">
        <f>VLOOKUP(C8,'[2]2026.3'!$C$4:$Q$157,14,0)</f>
        <v>45717</v>
      </c>
      <c r="L8" s="94">
        <f>VLOOKUP(C8,'[2]2026.3'!$C$4:$Q$157,15,0)</f>
        <v>46811</v>
      </c>
      <c r="M8" s="5">
        <f t="shared" si="1"/>
        <v>62</v>
      </c>
      <c r="N8" s="5">
        <f t="shared" si="0"/>
        <v>0</v>
      </c>
      <c r="O8" s="74"/>
    </row>
    <row r="9" spans="1:15" x14ac:dyDescent="0.3">
      <c r="A9" s="15" t="s">
        <v>18</v>
      </c>
      <c r="B9" s="5" t="s">
        <v>533</v>
      </c>
      <c r="C9" s="5" t="s">
        <v>541</v>
      </c>
      <c r="D9" s="5">
        <v>76</v>
      </c>
      <c r="E9" s="5"/>
      <c r="F9" s="5"/>
      <c r="G9" s="5" t="s">
        <v>38</v>
      </c>
      <c r="H9" s="5"/>
      <c r="I9" s="5" t="s">
        <v>234</v>
      </c>
      <c r="J9" s="94">
        <f>VLOOKUP(C9,'[2]2026.3'!$C$4:$Q$157,13,0)</f>
        <v>45791</v>
      </c>
      <c r="K9" s="94">
        <f>VLOOKUP(C9,'[2]2026.3'!$C$4:$Q$157,14,0)</f>
        <v>45809</v>
      </c>
      <c r="L9" s="94">
        <f>VLOOKUP(C9,'[2]2026.3'!$C$4:$Q$157,15,0)</f>
        <v>46904</v>
      </c>
      <c r="M9" s="5">
        <f t="shared" si="1"/>
        <v>76</v>
      </c>
      <c r="N9" s="5">
        <f t="shared" si="0"/>
        <v>0</v>
      </c>
      <c r="O9" s="74"/>
    </row>
    <row r="10" spans="1:15" x14ac:dyDescent="0.3">
      <c r="A10" s="15" t="s">
        <v>18</v>
      </c>
      <c r="B10" s="5" t="s">
        <v>533</v>
      </c>
      <c r="C10" s="5" t="s">
        <v>542</v>
      </c>
      <c r="D10" s="5">
        <v>81</v>
      </c>
      <c r="E10" s="5"/>
      <c r="F10" s="5"/>
      <c r="G10" s="5" t="s">
        <v>38</v>
      </c>
      <c r="H10" s="5"/>
      <c r="I10" s="5" t="s">
        <v>234</v>
      </c>
      <c r="J10" s="94">
        <f>VLOOKUP(C10,'[2]2026.3'!$C$4:$Q$157,13,0)</f>
        <v>45613</v>
      </c>
      <c r="K10" s="94">
        <f>VLOOKUP(C10,'[2]2026.3'!$C$4:$Q$157,14,0)</f>
        <v>45611</v>
      </c>
      <c r="L10" s="94">
        <f>VLOOKUP(C10,'[2]2026.3'!$C$4:$Q$157,15,0)</f>
        <v>46705</v>
      </c>
      <c r="M10" s="5">
        <f t="shared" si="1"/>
        <v>81</v>
      </c>
      <c r="N10" s="5">
        <f t="shared" si="0"/>
        <v>0</v>
      </c>
      <c r="O10" s="74"/>
    </row>
    <row r="11" spans="1:15" x14ac:dyDescent="0.3">
      <c r="A11" s="15" t="s">
        <v>18</v>
      </c>
      <c r="B11" s="5" t="s">
        <v>533</v>
      </c>
      <c r="C11" s="5" t="s">
        <v>543</v>
      </c>
      <c r="D11" s="5">
        <v>54</v>
      </c>
      <c r="E11" s="5"/>
      <c r="F11" s="5"/>
      <c r="G11" s="5" t="s">
        <v>38</v>
      </c>
      <c r="H11" s="5"/>
      <c r="I11" s="5" t="s">
        <v>234</v>
      </c>
      <c r="J11" s="94">
        <f>VLOOKUP(C11,'[2]2026.3'!$C$4:$Q$157,13,0)</f>
        <v>45703</v>
      </c>
      <c r="K11" s="94">
        <f>VLOOKUP(C11,'[2]2026.3'!$C$4:$Q$157,14,0)</f>
        <v>45703</v>
      </c>
      <c r="L11" s="94">
        <f>VLOOKUP(C11,'[2]2026.3'!$C$4:$Q$157,15,0)</f>
        <v>46797</v>
      </c>
      <c r="M11" s="5">
        <f t="shared" si="1"/>
        <v>54</v>
      </c>
      <c r="N11" s="5">
        <f t="shared" si="0"/>
        <v>0</v>
      </c>
      <c r="O11" s="74"/>
    </row>
    <row r="12" spans="1:15" x14ac:dyDescent="0.3">
      <c r="A12" s="15" t="s">
        <v>18</v>
      </c>
      <c r="B12" s="5" t="s">
        <v>533</v>
      </c>
      <c r="C12" s="5" t="s">
        <v>544</v>
      </c>
      <c r="D12" s="5">
        <v>81</v>
      </c>
      <c r="E12" s="5"/>
      <c r="F12" s="5"/>
      <c r="G12" s="5" t="s">
        <v>38</v>
      </c>
      <c r="H12" s="5"/>
      <c r="I12" s="5" t="s">
        <v>234</v>
      </c>
      <c r="J12" s="94">
        <f>VLOOKUP(C12,'[2]2026.3'!$C$4:$Q$157,13,0)</f>
        <v>45983</v>
      </c>
      <c r="K12" s="94">
        <f>VLOOKUP(C12,'[2]2026.3'!$C$4:$Q$157,14,0)</f>
        <v>45992</v>
      </c>
      <c r="L12" s="94">
        <f>VLOOKUP(C12,'[2]2026.3'!$C$4:$Q$157,15,0)</f>
        <v>46721</v>
      </c>
      <c r="M12" s="5">
        <f t="shared" si="1"/>
        <v>81</v>
      </c>
      <c r="N12" s="5">
        <f t="shared" si="0"/>
        <v>0</v>
      </c>
      <c r="O12" s="74"/>
    </row>
    <row r="13" spans="1:15" x14ac:dyDescent="0.3">
      <c r="A13" s="15" t="s">
        <v>18</v>
      </c>
      <c r="B13" s="5" t="s">
        <v>533</v>
      </c>
      <c r="C13" s="5" t="s">
        <v>545</v>
      </c>
      <c r="D13" s="5">
        <v>53</v>
      </c>
      <c r="E13" s="5"/>
      <c r="F13" s="5"/>
      <c r="G13" s="5" t="s">
        <v>38</v>
      </c>
      <c r="H13" s="5"/>
      <c r="I13" s="5" t="s">
        <v>234</v>
      </c>
      <c r="J13" s="94">
        <f>VLOOKUP(C13,'[2]2026.3'!$C$4:$Q$157,13,0)</f>
        <v>45703</v>
      </c>
      <c r="K13" s="94">
        <f>VLOOKUP(C13,'[2]2026.3'!$C$4:$Q$157,14,0)</f>
        <v>45703</v>
      </c>
      <c r="L13" s="94">
        <f>VLOOKUP(C13,'[2]2026.3'!$C$4:$Q$157,15,0)</f>
        <v>46797</v>
      </c>
      <c r="M13" s="5">
        <f t="shared" si="1"/>
        <v>53</v>
      </c>
      <c r="N13" s="5">
        <f t="shared" si="0"/>
        <v>0</v>
      </c>
      <c r="O13" s="74"/>
    </row>
    <row r="14" spans="1:15" x14ac:dyDescent="0.3">
      <c r="A14" s="15" t="s">
        <v>18</v>
      </c>
      <c r="B14" s="5" t="s">
        <v>533</v>
      </c>
      <c r="C14" s="5" t="s">
        <v>546</v>
      </c>
      <c r="D14" s="5">
        <v>100</v>
      </c>
      <c r="E14" s="5"/>
      <c r="F14" s="5"/>
      <c r="G14" s="5" t="s">
        <v>38</v>
      </c>
      <c r="H14" s="5"/>
      <c r="I14" s="5" t="s">
        <v>234</v>
      </c>
      <c r="J14" s="94">
        <v>45983</v>
      </c>
      <c r="K14" s="94">
        <v>45992</v>
      </c>
      <c r="L14" s="94">
        <v>46721</v>
      </c>
      <c r="M14" s="5">
        <f t="shared" si="1"/>
        <v>100</v>
      </c>
      <c r="N14" s="5">
        <f t="shared" si="0"/>
        <v>0</v>
      </c>
      <c r="O14" s="74"/>
    </row>
    <row r="15" spans="1:15" x14ac:dyDescent="0.3">
      <c r="A15" s="15" t="s">
        <v>18</v>
      </c>
      <c r="B15" s="5" t="s">
        <v>533</v>
      </c>
      <c r="C15" s="5" t="s">
        <v>547</v>
      </c>
      <c r="D15" s="5">
        <v>55</v>
      </c>
      <c r="E15" s="5"/>
      <c r="F15" s="5"/>
      <c r="G15" s="5" t="s">
        <v>38</v>
      </c>
      <c r="H15" s="5"/>
      <c r="I15" s="5" t="s">
        <v>234</v>
      </c>
      <c r="J15" s="94">
        <f>VLOOKUP(C15,'[2]2026.3'!$C$4:$Q$157,13,0)</f>
        <v>46002</v>
      </c>
      <c r="K15" s="94">
        <f>VLOOKUP(C15,'[2]2026.3'!$C$4:$Q$157,14,0)</f>
        <v>46003</v>
      </c>
      <c r="L15" s="94">
        <f>VLOOKUP(C15,'[2]2026.3'!$C$4:$Q$157,15,0)</f>
        <v>46732</v>
      </c>
      <c r="M15" s="5">
        <f t="shared" si="1"/>
        <v>55</v>
      </c>
      <c r="N15" s="5">
        <f t="shared" si="0"/>
        <v>0</v>
      </c>
      <c r="O15" s="74"/>
    </row>
    <row r="16" spans="1:15" x14ac:dyDescent="0.3">
      <c r="A16" s="15" t="s">
        <v>18</v>
      </c>
      <c r="B16" s="5" t="s">
        <v>533</v>
      </c>
      <c r="C16" s="5" t="s">
        <v>548</v>
      </c>
      <c r="D16" s="5">
        <v>54</v>
      </c>
      <c r="E16" s="5"/>
      <c r="F16" s="5"/>
      <c r="G16" s="5" t="s">
        <v>38</v>
      </c>
      <c r="H16" s="5"/>
      <c r="I16" s="5"/>
      <c r="J16" s="94"/>
      <c r="K16" s="94"/>
      <c r="L16" s="94"/>
      <c r="M16" s="5">
        <f t="shared" si="1"/>
        <v>54</v>
      </c>
      <c r="N16" s="5">
        <f t="shared" si="0"/>
        <v>0</v>
      </c>
      <c r="O16" s="74"/>
    </row>
    <row r="17" spans="1:16" x14ac:dyDescent="0.3">
      <c r="A17" s="15" t="s">
        <v>18</v>
      </c>
      <c r="B17" s="5" t="s">
        <v>533</v>
      </c>
      <c r="C17" s="5" t="s">
        <v>549</v>
      </c>
      <c r="D17" s="5">
        <v>53</v>
      </c>
      <c r="E17" s="5"/>
      <c r="F17" s="5"/>
      <c r="G17" s="5" t="s">
        <v>38</v>
      </c>
      <c r="H17" s="5"/>
      <c r="I17" s="5" t="s">
        <v>234</v>
      </c>
      <c r="J17" s="94">
        <f>VLOOKUP(C17,'[2]2026.3'!$C$4:$Q$157,13,0)</f>
        <v>45962</v>
      </c>
      <c r="K17" s="94">
        <f>VLOOKUP(C17,'[2]2026.3'!$C$4:$Q$157,14,0)</f>
        <v>45962</v>
      </c>
      <c r="L17" s="94">
        <f>VLOOKUP(C17,'[2]2026.3'!$C$4:$Q$157,15,0)</f>
        <v>47057</v>
      </c>
      <c r="M17" s="5">
        <f t="shared" si="1"/>
        <v>53</v>
      </c>
      <c r="N17" s="5">
        <f t="shared" si="0"/>
        <v>0</v>
      </c>
      <c r="O17" s="74"/>
    </row>
    <row r="18" spans="1:16" x14ac:dyDescent="0.3">
      <c r="A18" s="15" t="s">
        <v>18</v>
      </c>
      <c r="B18" s="5" t="s">
        <v>533</v>
      </c>
      <c r="C18" s="5" t="s">
        <v>550</v>
      </c>
      <c r="D18" s="5">
        <v>50</v>
      </c>
      <c r="E18" s="5"/>
      <c r="F18" s="5"/>
      <c r="G18" s="5" t="s">
        <v>38</v>
      </c>
      <c r="H18" s="5"/>
      <c r="I18" s="5" t="s">
        <v>234</v>
      </c>
      <c r="J18" s="94">
        <f>VLOOKUP(C18,'[2]2026.3'!$C$4:$Q$157,13,0)</f>
        <v>46003</v>
      </c>
      <c r="K18" s="94">
        <f>VLOOKUP(C18,'[2]2026.3'!$C$4:$Q$157,14,0)</f>
        <v>46023</v>
      </c>
      <c r="L18" s="94">
        <f>VLOOKUP(C18,'[2]2026.3'!$C$4:$Q$157,15,0)</f>
        <v>47118</v>
      </c>
      <c r="M18" s="5">
        <f t="shared" si="1"/>
        <v>50</v>
      </c>
      <c r="N18" s="5">
        <f t="shared" si="0"/>
        <v>0</v>
      </c>
      <c r="O18" s="74" t="s">
        <v>551</v>
      </c>
      <c r="P18" t="s">
        <v>552</v>
      </c>
    </row>
    <row r="19" spans="1:16" x14ac:dyDescent="0.3">
      <c r="A19" s="15" t="s">
        <v>18</v>
      </c>
      <c r="B19" s="5" t="s">
        <v>533</v>
      </c>
      <c r="C19" s="5" t="s">
        <v>553</v>
      </c>
      <c r="D19" s="5">
        <v>36</v>
      </c>
      <c r="E19" s="5"/>
      <c r="F19" s="5"/>
      <c r="G19" s="5" t="s">
        <v>38</v>
      </c>
      <c r="H19" s="5"/>
      <c r="I19" s="5" t="s">
        <v>234</v>
      </c>
      <c r="J19" s="94">
        <f>VLOOKUP(C19,'[2]2026.3'!$C$4:$Q$157,13,0)</f>
        <v>45723</v>
      </c>
      <c r="K19" s="94">
        <f>VLOOKUP(C19,'[2]2026.3'!$C$4:$Q$157,14,0)</f>
        <v>45723</v>
      </c>
      <c r="L19" s="94">
        <f>VLOOKUP(C19,'[2]2026.3'!$C$4:$Q$157,15,0)</f>
        <v>46818</v>
      </c>
      <c r="M19" s="5">
        <f t="shared" si="1"/>
        <v>36</v>
      </c>
      <c r="N19" s="5">
        <f t="shared" si="0"/>
        <v>0</v>
      </c>
      <c r="O19" s="74"/>
    </row>
    <row r="20" spans="1:16" x14ac:dyDescent="0.3">
      <c r="A20" s="15" t="s">
        <v>18</v>
      </c>
      <c r="B20" s="5" t="s">
        <v>533</v>
      </c>
      <c r="C20" s="5" t="s">
        <v>554</v>
      </c>
      <c r="D20" s="5">
        <v>43</v>
      </c>
      <c r="E20" s="5"/>
      <c r="F20" s="5"/>
      <c r="G20" s="5" t="s">
        <v>38</v>
      </c>
      <c r="H20" s="5"/>
      <c r="I20" s="5" t="s">
        <v>234</v>
      </c>
      <c r="J20" s="94">
        <v>46092</v>
      </c>
      <c r="K20" s="94"/>
      <c r="L20" s="94"/>
      <c r="M20" s="5">
        <f t="shared" si="1"/>
        <v>43</v>
      </c>
      <c r="N20" s="5">
        <f t="shared" si="0"/>
        <v>0</v>
      </c>
      <c r="O20" s="74"/>
    </row>
    <row r="21" spans="1:16" x14ac:dyDescent="0.3">
      <c r="A21" s="15" t="s">
        <v>18</v>
      </c>
      <c r="B21" s="5" t="s">
        <v>533</v>
      </c>
      <c r="C21" s="5" t="s">
        <v>555</v>
      </c>
      <c r="D21" s="5">
        <v>47</v>
      </c>
      <c r="E21" s="5"/>
      <c r="F21" s="5"/>
      <c r="G21" s="5" t="s">
        <v>74</v>
      </c>
      <c r="H21" s="5"/>
      <c r="I21" s="5"/>
      <c r="J21" s="94"/>
      <c r="K21" s="94"/>
      <c r="L21" s="94"/>
      <c r="M21" s="5">
        <f t="shared" si="1"/>
        <v>0</v>
      </c>
      <c r="N21" s="5">
        <f t="shared" si="0"/>
        <v>47</v>
      </c>
      <c r="O21" s="74"/>
    </row>
    <row r="22" spans="1:16" x14ac:dyDescent="0.3">
      <c r="A22" s="15" t="s">
        <v>18</v>
      </c>
      <c r="B22" s="5" t="s">
        <v>533</v>
      </c>
      <c r="C22" s="5" t="s">
        <v>556</v>
      </c>
      <c r="D22" s="5">
        <v>41</v>
      </c>
      <c r="E22" s="5"/>
      <c r="F22" s="5"/>
      <c r="G22" s="5" t="s">
        <v>74</v>
      </c>
      <c r="H22" s="5"/>
      <c r="I22" s="5"/>
      <c r="J22" s="94"/>
      <c r="K22" s="94"/>
      <c r="L22" s="94"/>
      <c r="M22" s="5">
        <f t="shared" si="1"/>
        <v>0</v>
      </c>
      <c r="N22" s="5">
        <f t="shared" si="0"/>
        <v>41</v>
      </c>
      <c r="O22" s="74"/>
    </row>
    <row r="23" spans="1:16" x14ac:dyDescent="0.3">
      <c r="A23" s="15" t="s">
        <v>18</v>
      </c>
      <c r="B23" s="5" t="s">
        <v>533</v>
      </c>
      <c r="C23" s="5" t="s">
        <v>557</v>
      </c>
      <c r="D23" s="5">
        <v>47</v>
      </c>
      <c r="E23" s="5"/>
      <c r="F23" s="5"/>
      <c r="G23" s="5" t="s">
        <v>74</v>
      </c>
      <c r="H23" s="5"/>
      <c r="I23" s="5"/>
      <c r="J23" s="94"/>
      <c r="K23" s="94"/>
      <c r="L23" s="94"/>
      <c r="M23" s="5">
        <f t="shared" si="1"/>
        <v>0</v>
      </c>
      <c r="N23" s="5">
        <f t="shared" si="0"/>
        <v>47</v>
      </c>
      <c r="O23" s="74" t="s">
        <v>191</v>
      </c>
      <c r="P23" t="s">
        <v>230</v>
      </c>
    </row>
    <row r="24" spans="1:16" x14ac:dyDescent="0.3">
      <c r="A24" s="15" t="s">
        <v>18</v>
      </c>
      <c r="B24" s="5" t="s">
        <v>533</v>
      </c>
      <c r="C24" s="5" t="s">
        <v>558</v>
      </c>
      <c r="D24" s="5">
        <v>79</v>
      </c>
      <c r="E24" s="5"/>
      <c r="F24" s="5"/>
      <c r="G24" s="5" t="s">
        <v>38</v>
      </c>
      <c r="H24" s="5"/>
      <c r="I24" s="5" t="s">
        <v>234</v>
      </c>
      <c r="J24" s="94">
        <f>VLOOKUP(C24,'[2]2026.3'!$C$4:$Q$157,13,0)</f>
        <v>45771</v>
      </c>
      <c r="K24" s="94">
        <f>VLOOKUP(C24,'[2]2026.3'!$C$4:$Q$157,14,0)</f>
        <v>45717</v>
      </c>
      <c r="L24" s="94">
        <f>VLOOKUP(C24,'[2]2026.3'!$C$4:$Q$157,15,0)</f>
        <v>46812</v>
      </c>
      <c r="M24" s="5">
        <f t="shared" si="1"/>
        <v>79</v>
      </c>
      <c r="N24" s="5">
        <f t="shared" si="0"/>
        <v>0</v>
      </c>
      <c r="O24" s="74"/>
    </row>
    <row r="25" spans="1:16" x14ac:dyDescent="0.3">
      <c r="A25" s="15" t="s">
        <v>18</v>
      </c>
      <c r="B25" s="5" t="s">
        <v>533</v>
      </c>
      <c r="C25" s="5" t="s">
        <v>559</v>
      </c>
      <c r="D25" s="5">
        <v>48</v>
      </c>
      <c r="E25" s="5"/>
      <c r="F25" s="5"/>
      <c r="G25" s="5" t="s">
        <v>38</v>
      </c>
      <c r="H25" s="5"/>
      <c r="I25" s="5" t="s">
        <v>234</v>
      </c>
      <c r="J25" s="94">
        <f>VLOOKUP(C25,'[2]2026.3'!$C$4:$Q$157,13,0)</f>
        <v>45911</v>
      </c>
      <c r="K25" s="94">
        <f>VLOOKUP(C25,'[2]2026.3'!$C$4:$Q$157,14,0)</f>
        <v>45915</v>
      </c>
      <c r="L25" s="94">
        <f>VLOOKUP(C25,'[2]2026.3'!$C$4:$Q$157,15,0)</f>
        <v>47010</v>
      </c>
      <c r="M25" s="5">
        <f t="shared" si="1"/>
        <v>48</v>
      </c>
      <c r="N25" s="5">
        <f t="shared" si="0"/>
        <v>0</v>
      </c>
      <c r="O25" s="74"/>
    </row>
    <row r="26" spans="1:16" x14ac:dyDescent="0.3">
      <c r="A26" s="15" t="s">
        <v>18</v>
      </c>
      <c r="B26" s="5" t="s">
        <v>533</v>
      </c>
      <c r="C26" s="5" t="s">
        <v>560</v>
      </c>
      <c r="D26" s="5">
        <v>67</v>
      </c>
      <c r="E26" s="5"/>
      <c r="F26" s="5"/>
      <c r="G26" s="5" t="s">
        <v>38</v>
      </c>
      <c r="H26" s="5"/>
      <c r="I26" s="5" t="s">
        <v>234</v>
      </c>
      <c r="J26" s="94">
        <f>VLOOKUP(C26,'[2]2026.3'!$C$4:$Q$157,13,0)</f>
        <v>45774</v>
      </c>
      <c r="K26" s="94">
        <f>VLOOKUP(C26,'[2]2026.3'!$C$4:$Q$157,14,0)</f>
        <v>45717</v>
      </c>
      <c r="L26" s="94">
        <f>VLOOKUP(C26,'[2]2026.3'!$C$4:$Q$157,15,0)</f>
        <v>46812</v>
      </c>
      <c r="M26" s="5">
        <f t="shared" si="1"/>
        <v>67</v>
      </c>
      <c r="N26" s="5">
        <f t="shared" si="0"/>
        <v>0</v>
      </c>
      <c r="O26" s="74"/>
    </row>
    <row r="27" spans="1:16" x14ac:dyDescent="0.3">
      <c r="A27" s="15" t="s">
        <v>18</v>
      </c>
      <c r="B27" s="5" t="s">
        <v>533</v>
      </c>
      <c r="C27" s="5" t="s">
        <v>561</v>
      </c>
      <c r="D27" s="5">
        <v>41</v>
      </c>
      <c r="E27" s="5"/>
      <c r="F27" s="5"/>
      <c r="G27" s="5" t="s">
        <v>38</v>
      </c>
      <c r="H27" s="5"/>
      <c r="I27" s="5" t="s">
        <v>234</v>
      </c>
      <c r="J27" s="94">
        <f>VLOOKUP(C27,'[2]2026.3'!$C$4:$Q$157,13,0)</f>
        <v>45911</v>
      </c>
      <c r="K27" s="94">
        <f>VLOOKUP(C27,'[2]2026.3'!$C$4:$Q$157,14,0)</f>
        <v>45915</v>
      </c>
      <c r="L27" s="94">
        <f>VLOOKUP(C27,'[2]2026.3'!$C$4:$Q$157,15,0)</f>
        <v>47010</v>
      </c>
      <c r="M27" s="5">
        <f t="shared" si="1"/>
        <v>41</v>
      </c>
      <c r="N27" s="5">
        <f t="shared" si="0"/>
        <v>0</v>
      </c>
      <c r="O27" s="74"/>
    </row>
    <row r="28" spans="1:16" x14ac:dyDescent="0.3">
      <c r="A28" s="15" t="s">
        <v>18</v>
      </c>
      <c r="B28" s="5" t="s">
        <v>533</v>
      </c>
      <c r="C28" s="5" t="s">
        <v>562</v>
      </c>
      <c r="D28" s="5">
        <v>70</v>
      </c>
      <c r="E28" s="5"/>
      <c r="F28" s="5"/>
      <c r="G28" s="5" t="s">
        <v>38</v>
      </c>
      <c r="H28" s="5"/>
      <c r="I28" s="5" t="s">
        <v>234</v>
      </c>
      <c r="J28" s="94">
        <f>VLOOKUP(C28,'[2]2026.3'!$C$4:$Q$157,13,0)</f>
        <v>45833</v>
      </c>
      <c r="K28" s="94">
        <f>VLOOKUP(C28,'[2]2026.3'!$C$4:$Q$157,14,0)</f>
        <v>45848</v>
      </c>
      <c r="L28" s="94">
        <f>VLOOKUP(C28,'[2]2026.3'!$C$4:$Q$157,15,0)</f>
        <v>46943</v>
      </c>
      <c r="M28" s="5">
        <f t="shared" si="1"/>
        <v>70</v>
      </c>
      <c r="N28" s="5">
        <f t="shared" si="0"/>
        <v>0</v>
      </c>
      <c r="O28" s="74"/>
    </row>
    <row r="29" spans="1:16" x14ac:dyDescent="0.3">
      <c r="A29" s="15" t="s">
        <v>18</v>
      </c>
      <c r="B29" s="5" t="s">
        <v>533</v>
      </c>
      <c r="C29" s="5" t="s">
        <v>563</v>
      </c>
      <c r="D29" s="5">
        <v>40</v>
      </c>
      <c r="E29" s="5"/>
      <c r="F29" s="5"/>
      <c r="G29" s="5" t="s">
        <v>74</v>
      </c>
      <c r="H29" s="5"/>
      <c r="I29" s="5"/>
      <c r="J29" s="94"/>
      <c r="K29" s="94"/>
      <c r="L29" s="94"/>
      <c r="M29" s="5">
        <f t="shared" si="1"/>
        <v>0</v>
      </c>
      <c r="N29" s="5">
        <f t="shared" si="0"/>
        <v>40</v>
      </c>
      <c r="O29" s="74"/>
    </row>
    <row r="30" spans="1:16" x14ac:dyDescent="0.3">
      <c r="A30" s="15" t="s">
        <v>18</v>
      </c>
      <c r="B30" s="5" t="s">
        <v>533</v>
      </c>
      <c r="C30" s="5" t="s">
        <v>564</v>
      </c>
      <c r="D30" s="5">
        <v>71</v>
      </c>
      <c r="E30" s="5"/>
      <c r="F30" s="5"/>
      <c r="G30" s="5" t="s">
        <v>38</v>
      </c>
      <c r="H30" s="5"/>
      <c r="I30" s="5" t="s">
        <v>234</v>
      </c>
      <c r="J30" s="94">
        <f>VLOOKUP(C30,'[2]2026.3'!$C$4:$Q$157,13,0)</f>
        <v>46038</v>
      </c>
      <c r="K30" s="94">
        <f>VLOOKUP(C30,'[2]2026.3'!$C$4:$Q$157,14,0)</f>
        <v>46042</v>
      </c>
      <c r="L30" s="94">
        <f>VLOOKUP(C30,'[2]2026.3'!$C$4:$Q$157,15,0)</f>
        <v>47137</v>
      </c>
      <c r="M30" s="5">
        <f t="shared" si="1"/>
        <v>71</v>
      </c>
      <c r="N30" s="5">
        <f t="shared" si="0"/>
        <v>0</v>
      </c>
      <c r="O30" s="74"/>
    </row>
    <row r="31" spans="1:16" x14ac:dyDescent="0.3">
      <c r="A31" s="15" t="s">
        <v>18</v>
      </c>
      <c r="B31" s="5" t="s">
        <v>533</v>
      </c>
      <c r="C31" s="5" t="s">
        <v>565</v>
      </c>
      <c r="D31" s="5">
        <v>43</v>
      </c>
      <c r="E31" s="5"/>
      <c r="F31" s="5"/>
      <c r="G31" s="5" t="s">
        <v>38</v>
      </c>
      <c r="H31" s="5"/>
      <c r="I31" s="5" t="s">
        <v>234</v>
      </c>
      <c r="J31" s="94">
        <f>VLOOKUP(C31,'[2]2026.3'!$C$4:$Q$157,13,0)</f>
        <v>46038</v>
      </c>
      <c r="K31" s="94">
        <f>VLOOKUP(C31,'[2]2026.3'!$C$4:$Q$157,14,0)</f>
        <v>46042</v>
      </c>
      <c r="L31" s="94">
        <f>VLOOKUP(C31,'[2]2026.3'!$C$4:$Q$157,15,0)</f>
        <v>47137</v>
      </c>
      <c r="M31" s="5">
        <f t="shared" si="1"/>
        <v>43</v>
      </c>
      <c r="N31" s="5">
        <f t="shared" si="0"/>
        <v>0</v>
      </c>
      <c r="O31" s="74"/>
    </row>
    <row r="32" spans="1:16" x14ac:dyDescent="0.3">
      <c r="A32" s="15" t="s">
        <v>18</v>
      </c>
      <c r="B32" s="5" t="s">
        <v>533</v>
      </c>
      <c r="C32" s="5" t="s">
        <v>566</v>
      </c>
      <c r="D32" s="5">
        <v>70</v>
      </c>
      <c r="E32" s="5"/>
      <c r="F32" s="5"/>
      <c r="G32" s="5" t="s">
        <v>38</v>
      </c>
      <c r="H32" s="5"/>
      <c r="I32" s="5" t="s">
        <v>234</v>
      </c>
      <c r="J32" s="94">
        <f>VLOOKUP(C32,'[2]2026.3'!$C$4:$Q$157,13,0)</f>
        <v>46038</v>
      </c>
      <c r="K32" s="94">
        <f>VLOOKUP(C32,'[2]2026.3'!$C$4:$Q$157,14,0)</f>
        <v>46042</v>
      </c>
      <c r="L32" s="94">
        <f>VLOOKUP(C32,'[2]2026.3'!$C$4:$Q$157,15,0)</f>
        <v>47137</v>
      </c>
      <c r="M32" s="5">
        <f t="shared" si="1"/>
        <v>70</v>
      </c>
      <c r="N32" s="5">
        <f t="shared" si="0"/>
        <v>0</v>
      </c>
      <c r="O32" s="74"/>
    </row>
    <row r="33" spans="1:15" x14ac:dyDescent="0.3">
      <c r="A33" s="15" t="s">
        <v>18</v>
      </c>
      <c r="B33" s="5" t="s">
        <v>533</v>
      </c>
      <c r="C33" s="5" t="s">
        <v>567</v>
      </c>
      <c r="D33" s="5">
        <v>79</v>
      </c>
      <c r="E33" s="5"/>
      <c r="F33" s="5"/>
      <c r="G33" s="5" t="s">
        <v>38</v>
      </c>
      <c r="H33" s="5"/>
      <c r="I33" s="5" t="s">
        <v>234</v>
      </c>
      <c r="J33" s="94">
        <v>46038</v>
      </c>
      <c r="K33" s="94">
        <v>46042</v>
      </c>
      <c r="L33" s="94">
        <v>47137</v>
      </c>
      <c r="M33" s="5">
        <f t="shared" si="1"/>
        <v>79</v>
      </c>
      <c r="N33" s="5">
        <f t="shared" si="0"/>
        <v>0</v>
      </c>
      <c r="O33" s="74"/>
    </row>
    <row r="34" spans="1:15" x14ac:dyDescent="0.3">
      <c r="A34" s="15" t="s">
        <v>18</v>
      </c>
      <c r="B34" s="5" t="s">
        <v>533</v>
      </c>
      <c r="C34" s="5" t="s">
        <v>568</v>
      </c>
      <c r="D34" s="5">
        <v>65</v>
      </c>
      <c r="E34" s="5"/>
      <c r="F34" s="5"/>
      <c r="G34" s="5" t="s">
        <v>38</v>
      </c>
      <c r="H34" s="5"/>
      <c r="I34" s="5" t="s">
        <v>234</v>
      </c>
      <c r="J34" s="94">
        <f>VLOOKUP(C34,'[2]2026.3'!$C$4:$Q$157,13,0)</f>
        <v>46006</v>
      </c>
      <c r="K34" s="94">
        <f>VLOOKUP(C34,'[2]2026.3'!$C$4:$Q$157,14,0)</f>
        <v>46007</v>
      </c>
      <c r="L34" s="94">
        <f>VLOOKUP(C34,'[2]2026.3'!$C$4:$Q$157,15,0)</f>
        <v>47102</v>
      </c>
      <c r="M34" s="5">
        <f t="shared" si="1"/>
        <v>65</v>
      </c>
      <c r="N34" s="5">
        <f t="shared" si="0"/>
        <v>0</v>
      </c>
      <c r="O34" s="74"/>
    </row>
    <row r="35" spans="1:15" x14ac:dyDescent="0.3">
      <c r="A35" s="15" t="s">
        <v>18</v>
      </c>
      <c r="B35" s="5" t="s">
        <v>533</v>
      </c>
      <c r="C35" s="5" t="s">
        <v>569</v>
      </c>
      <c r="D35" s="5">
        <v>100</v>
      </c>
      <c r="E35" s="5"/>
      <c r="F35" s="5"/>
      <c r="G35" s="5" t="s">
        <v>38</v>
      </c>
      <c r="H35" s="5"/>
      <c r="I35" s="5" t="s">
        <v>234</v>
      </c>
      <c r="J35" s="94">
        <f>VLOOKUP(C35,'[2]2026.3'!$C$4:$Q$157,13,0)</f>
        <v>45635</v>
      </c>
      <c r="K35" s="94">
        <f>VLOOKUP(C35,'[2]2026.3'!$C$4:$Q$157,14,0)</f>
        <v>45658</v>
      </c>
      <c r="L35" s="94">
        <f>VLOOKUP(C35,'[2]2026.3'!$C$4:$Q$157,15,0)</f>
        <v>47483</v>
      </c>
      <c r="M35" s="5">
        <f t="shared" si="1"/>
        <v>100</v>
      </c>
      <c r="N35" s="5">
        <f t="shared" si="0"/>
        <v>0</v>
      </c>
      <c r="O35" s="74"/>
    </row>
    <row r="36" spans="1:15" x14ac:dyDescent="0.3">
      <c r="A36" s="15" t="s">
        <v>18</v>
      </c>
      <c r="B36" s="5" t="s">
        <v>533</v>
      </c>
      <c r="C36" s="5" t="s">
        <v>570</v>
      </c>
      <c r="D36" s="5">
        <v>140</v>
      </c>
      <c r="E36" s="5"/>
      <c r="F36" s="5"/>
      <c r="G36" s="5" t="s">
        <v>38</v>
      </c>
      <c r="H36" s="5"/>
      <c r="I36" s="5" t="s">
        <v>234</v>
      </c>
      <c r="J36" s="94">
        <f>VLOOKUP(C36,'[2]2026.3'!$C$4:$Q$157,13,0)</f>
        <v>45635</v>
      </c>
      <c r="K36" s="94">
        <f>VLOOKUP(C36,'[2]2026.3'!$C$4:$Q$157,14,0)</f>
        <v>45658</v>
      </c>
      <c r="L36" s="94">
        <f>VLOOKUP(C36,'[2]2026.3'!$C$4:$Q$157,15,0)</f>
        <v>47483</v>
      </c>
      <c r="M36" s="5">
        <f t="shared" si="1"/>
        <v>140</v>
      </c>
      <c r="N36" s="5">
        <f t="shared" si="0"/>
        <v>0</v>
      </c>
      <c r="O36" s="74"/>
    </row>
    <row r="37" spans="1:15" x14ac:dyDescent="0.3">
      <c r="A37" s="15" t="s">
        <v>18</v>
      </c>
      <c r="B37" s="5" t="s">
        <v>533</v>
      </c>
      <c r="C37" s="5" t="s">
        <v>571</v>
      </c>
      <c r="D37" s="5">
        <v>156</v>
      </c>
      <c r="E37" s="5"/>
      <c r="F37" s="5"/>
      <c r="G37" s="5" t="s">
        <v>38</v>
      </c>
      <c r="H37" s="5"/>
      <c r="I37" s="5" t="s">
        <v>234</v>
      </c>
      <c r="J37" s="95">
        <v>45740</v>
      </c>
      <c r="K37" s="95">
        <v>45658</v>
      </c>
      <c r="L37" s="95">
        <v>47483</v>
      </c>
      <c r="M37" s="5">
        <f t="shared" si="1"/>
        <v>156</v>
      </c>
      <c r="N37" s="5">
        <f t="shared" si="0"/>
        <v>0</v>
      </c>
      <c r="O37" s="74"/>
    </row>
    <row r="38" spans="1:15" x14ac:dyDescent="0.3">
      <c r="A38" s="15" t="s">
        <v>18</v>
      </c>
      <c r="B38" s="5" t="s">
        <v>533</v>
      </c>
      <c r="C38" s="5" t="s">
        <v>572</v>
      </c>
      <c r="D38" s="5">
        <v>92</v>
      </c>
      <c r="E38" s="5"/>
      <c r="F38" s="5"/>
      <c r="G38" s="5" t="s">
        <v>38</v>
      </c>
      <c r="H38" s="5"/>
      <c r="I38" s="5" t="s">
        <v>234</v>
      </c>
      <c r="J38" s="95">
        <v>45719</v>
      </c>
      <c r="K38" s="95">
        <v>45721</v>
      </c>
      <c r="L38" s="95">
        <v>46816</v>
      </c>
      <c r="M38" s="5">
        <f t="shared" si="1"/>
        <v>92</v>
      </c>
      <c r="N38" s="5">
        <f t="shared" si="0"/>
        <v>0</v>
      </c>
      <c r="O38" s="74"/>
    </row>
    <row r="39" spans="1:15" x14ac:dyDescent="0.3">
      <c r="A39" s="15" t="s">
        <v>18</v>
      </c>
      <c r="B39" s="5" t="s">
        <v>533</v>
      </c>
      <c r="C39" s="5" t="s">
        <v>573</v>
      </c>
      <c r="D39" s="5">
        <v>80</v>
      </c>
      <c r="E39" s="5"/>
      <c r="F39" s="5"/>
      <c r="G39" s="5" t="s">
        <v>38</v>
      </c>
      <c r="H39" s="5"/>
      <c r="I39" s="5" t="s">
        <v>234</v>
      </c>
      <c r="J39" s="94">
        <f>VLOOKUP(C39,'[2]2026.3'!$C$4:$Q$157,13,0)</f>
        <v>45785</v>
      </c>
      <c r="K39" s="94">
        <f>VLOOKUP(C39,'[2]2026.3'!$C$4:$Q$157,14,0)</f>
        <v>45785</v>
      </c>
      <c r="L39" s="94">
        <f>VLOOKUP(C39,'[2]2026.3'!$C$4:$Q$157,15,0)</f>
        <v>46880</v>
      </c>
      <c r="M39" s="5">
        <f t="shared" si="1"/>
        <v>80</v>
      </c>
      <c r="N39" s="5">
        <f t="shared" si="0"/>
        <v>0</v>
      </c>
      <c r="O39" s="74"/>
    </row>
    <row r="40" spans="1:15" x14ac:dyDescent="0.3">
      <c r="A40" s="15" t="s">
        <v>18</v>
      </c>
      <c r="B40" s="5" t="s">
        <v>533</v>
      </c>
      <c r="C40" s="5" t="s">
        <v>574</v>
      </c>
      <c r="D40" s="5">
        <v>56</v>
      </c>
      <c r="E40" s="5"/>
      <c r="F40" s="5"/>
      <c r="G40" s="5" t="s">
        <v>38</v>
      </c>
      <c r="H40" s="5"/>
      <c r="I40" s="5" t="s">
        <v>234</v>
      </c>
      <c r="J40" s="94">
        <f>VLOOKUP(C40,'[2]2026.3'!$C$4:$Q$157,13,0)</f>
        <v>45783</v>
      </c>
      <c r="K40" s="94">
        <f>VLOOKUP(C40,'[2]2026.3'!$C$4:$Q$157,14,0)</f>
        <v>45703</v>
      </c>
      <c r="L40" s="94">
        <f>VLOOKUP(C40,'[2]2026.3'!$C$4:$Q$157,15,0)</f>
        <v>46797</v>
      </c>
      <c r="M40" s="5">
        <f t="shared" si="1"/>
        <v>56</v>
      </c>
      <c r="N40" s="5">
        <f t="shared" si="0"/>
        <v>0</v>
      </c>
      <c r="O40" s="74"/>
    </row>
    <row r="41" spans="1:15" x14ac:dyDescent="0.3">
      <c r="A41" s="15" t="s">
        <v>18</v>
      </c>
      <c r="B41" s="5" t="s">
        <v>533</v>
      </c>
      <c r="C41" s="5" t="s">
        <v>575</v>
      </c>
      <c r="D41" s="5">
        <v>50</v>
      </c>
      <c r="E41" s="5"/>
      <c r="F41" s="5"/>
      <c r="G41" s="5" t="s">
        <v>38</v>
      </c>
      <c r="H41" s="5"/>
      <c r="I41" s="5" t="s">
        <v>234</v>
      </c>
      <c r="J41" s="94">
        <f>VLOOKUP(C41,'[2]2026.3'!$C$4:$Q$157,13,0)</f>
        <v>45783</v>
      </c>
      <c r="K41" s="94">
        <f>VLOOKUP(C41,'[2]2026.3'!$C$4:$Q$157,14,0)</f>
        <v>45703</v>
      </c>
      <c r="L41" s="94">
        <f>VLOOKUP(C41,'[2]2026.3'!$C$4:$Q$157,15,0)</f>
        <v>46797</v>
      </c>
      <c r="M41" s="5">
        <f t="shared" si="1"/>
        <v>50</v>
      </c>
      <c r="N41" s="5">
        <f t="shared" si="0"/>
        <v>0</v>
      </c>
      <c r="O41" s="74"/>
    </row>
    <row r="42" spans="1:15" x14ac:dyDescent="0.3">
      <c r="A42" s="15" t="s">
        <v>18</v>
      </c>
      <c r="B42" s="5" t="s">
        <v>533</v>
      </c>
      <c r="C42" s="5" t="s">
        <v>576</v>
      </c>
      <c r="D42" s="5">
        <v>50</v>
      </c>
      <c r="E42" s="5"/>
      <c r="F42" s="5"/>
      <c r="G42" s="5" t="s">
        <v>74</v>
      </c>
      <c r="H42" s="5"/>
      <c r="I42" s="5"/>
      <c r="J42" s="94"/>
      <c r="K42" s="94"/>
      <c r="L42" s="94"/>
      <c r="M42" s="5">
        <f t="shared" si="1"/>
        <v>0</v>
      </c>
      <c r="N42" s="5">
        <f t="shared" si="0"/>
        <v>50</v>
      </c>
      <c r="O42" s="74"/>
    </row>
    <row r="43" spans="1:15" x14ac:dyDescent="0.3">
      <c r="A43" s="15" t="s">
        <v>18</v>
      </c>
      <c r="B43" s="5" t="s">
        <v>533</v>
      </c>
      <c r="C43" s="5" t="s">
        <v>577</v>
      </c>
      <c r="D43" s="5">
        <v>50</v>
      </c>
      <c r="E43" s="5"/>
      <c r="F43" s="5"/>
      <c r="G43" s="5" t="s">
        <v>38</v>
      </c>
      <c r="H43" s="5"/>
      <c r="I43" s="5"/>
      <c r="J43" s="94"/>
      <c r="K43" s="94"/>
      <c r="L43" s="94"/>
      <c r="M43" s="5">
        <f t="shared" si="1"/>
        <v>50</v>
      </c>
      <c r="N43" s="5">
        <f t="shared" si="0"/>
        <v>0</v>
      </c>
      <c r="O43" s="74"/>
    </row>
    <row r="44" spans="1:15" x14ac:dyDescent="0.3">
      <c r="A44" s="15" t="s">
        <v>18</v>
      </c>
      <c r="B44" s="5" t="s">
        <v>533</v>
      </c>
      <c r="C44" s="5" t="s">
        <v>578</v>
      </c>
      <c r="D44" s="5">
        <v>59</v>
      </c>
      <c r="E44" s="5"/>
      <c r="F44" s="5"/>
      <c r="G44" s="5" t="s">
        <v>38</v>
      </c>
      <c r="H44" s="5"/>
      <c r="I44" s="5" t="s">
        <v>234</v>
      </c>
      <c r="J44" s="94">
        <f>VLOOKUP(C44,'[2]2026.3'!$C$4:$Q$157,13,0)</f>
        <v>46010</v>
      </c>
      <c r="K44" s="94">
        <f>VLOOKUP(C44,'[2]2026.3'!$C$4:$Q$157,14,0)</f>
        <v>46011</v>
      </c>
      <c r="L44" s="94">
        <f>VLOOKUP(C44,'[2]2026.3'!$C$4:$Q$157,15,0)</f>
        <v>46100</v>
      </c>
      <c r="M44" s="5">
        <f t="shared" si="1"/>
        <v>59</v>
      </c>
      <c r="N44" s="5">
        <f t="shared" si="0"/>
        <v>0</v>
      </c>
      <c r="O44" s="74"/>
    </row>
    <row r="45" spans="1:15" x14ac:dyDescent="0.3">
      <c r="A45" s="15" t="s">
        <v>18</v>
      </c>
      <c r="B45" s="5" t="s">
        <v>533</v>
      </c>
      <c r="C45" s="5" t="s">
        <v>579</v>
      </c>
      <c r="D45" s="5">
        <v>59</v>
      </c>
      <c r="E45" s="5"/>
      <c r="F45" s="5"/>
      <c r="G45" s="5" t="s">
        <v>38</v>
      </c>
      <c r="H45" s="5"/>
      <c r="I45" s="5" t="s">
        <v>234</v>
      </c>
      <c r="J45" s="94">
        <f>VLOOKUP(C45,'[2]2026.3'!$C$4:$Q$157,13,0)</f>
        <v>45964</v>
      </c>
      <c r="K45" s="94">
        <f>VLOOKUP(C45,'[2]2026.3'!$C$4:$Q$157,14,0)</f>
        <v>45967</v>
      </c>
      <c r="L45" s="94">
        <f>VLOOKUP(C45,'[2]2026.3'!$C$4:$Q$157,15,0)</f>
        <v>47062</v>
      </c>
      <c r="M45" s="5">
        <f t="shared" si="1"/>
        <v>59</v>
      </c>
      <c r="N45" s="5">
        <f t="shared" si="0"/>
        <v>0</v>
      </c>
      <c r="O45" s="74"/>
    </row>
    <row r="46" spans="1:15" x14ac:dyDescent="0.3">
      <c r="A46" s="15" t="s">
        <v>18</v>
      </c>
      <c r="B46" s="5" t="s">
        <v>533</v>
      </c>
      <c r="C46" s="5" t="s">
        <v>580</v>
      </c>
      <c r="D46" s="5">
        <v>58</v>
      </c>
      <c r="E46" s="5"/>
      <c r="F46" s="5"/>
      <c r="G46" s="5" t="s">
        <v>38</v>
      </c>
      <c r="H46" s="5"/>
      <c r="I46" s="5"/>
      <c r="J46" s="94"/>
      <c r="K46" s="94"/>
      <c r="L46" s="94"/>
      <c r="M46" s="5">
        <f t="shared" si="1"/>
        <v>58</v>
      </c>
      <c r="N46" s="5">
        <f t="shared" si="0"/>
        <v>0</v>
      </c>
      <c r="O46" s="74"/>
    </row>
    <row r="47" spans="1:15" x14ac:dyDescent="0.3">
      <c r="A47" s="15" t="s">
        <v>18</v>
      </c>
      <c r="B47" s="5" t="s">
        <v>533</v>
      </c>
      <c r="C47" s="5" t="s">
        <v>581</v>
      </c>
      <c r="D47" s="5">
        <v>33</v>
      </c>
      <c r="E47" s="5"/>
      <c r="F47" s="5"/>
      <c r="G47" s="5" t="s">
        <v>74</v>
      </c>
      <c r="H47" s="5"/>
      <c r="I47" s="5"/>
      <c r="J47" s="94"/>
      <c r="K47" s="94"/>
      <c r="L47" s="94"/>
      <c r="M47" s="5">
        <f t="shared" si="1"/>
        <v>0</v>
      </c>
      <c r="N47" s="5">
        <f t="shared" si="0"/>
        <v>33</v>
      </c>
      <c r="O47" s="74"/>
    </row>
    <row r="48" spans="1:15" x14ac:dyDescent="0.3">
      <c r="A48" s="15" t="s">
        <v>18</v>
      </c>
      <c r="B48" s="5" t="s">
        <v>533</v>
      </c>
      <c r="C48" s="5" t="s">
        <v>582</v>
      </c>
      <c r="D48" s="5">
        <v>94.3</v>
      </c>
      <c r="E48" s="5"/>
      <c r="F48" s="5"/>
      <c r="G48" s="5" t="s">
        <v>38</v>
      </c>
      <c r="H48" s="5"/>
      <c r="I48" s="5" t="s">
        <v>234</v>
      </c>
      <c r="J48" s="94">
        <f>VLOOKUP(C48,'[2]2026.3'!$C$4:$Q$157,13,0)</f>
        <v>45774</v>
      </c>
      <c r="K48" s="94">
        <f>VLOOKUP(C48,'[2]2026.3'!$C$4:$Q$157,14,0)</f>
        <v>45717</v>
      </c>
      <c r="L48" s="94">
        <f>VLOOKUP(C48,'[2]2026.3'!$C$4:$Q$157,15,0)</f>
        <v>46812</v>
      </c>
      <c r="M48" s="5">
        <f t="shared" si="1"/>
        <v>94.3</v>
      </c>
      <c r="N48" s="5">
        <f t="shared" si="0"/>
        <v>0</v>
      </c>
      <c r="O48" s="74"/>
    </row>
    <row r="49" spans="1:16" x14ac:dyDescent="0.3">
      <c r="A49" s="15" t="s">
        <v>18</v>
      </c>
      <c r="B49" s="5" t="s">
        <v>533</v>
      </c>
      <c r="C49" s="5" t="s">
        <v>583</v>
      </c>
      <c r="D49" s="5">
        <v>127</v>
      </c>
      <c r="E49" s="5"/>
      <c r="F49" s="5"/>
      <c r="G49" s="5" t="s">
        <v>38</v>
      </c>
      <c r="H49" s="5"/>
      <c r="I49" s="5"/>
      <c r="J49" s="94"/>
      <c r="K49" s="94"/>
      <c r="L49" s="94"/>
      <c r="M49" s="5">
        <f t="shared" si="1"/>
        <v>127</v>
      </c>
      <c r="N49" s="5">
        <f t="shared" si="0"/>
        <v>0</v>
      </c>
      <c r="O49" s="74"/>
    </row>
    <row r="50" spans="1:16" x14ac:dyDescent="0.3">
      <c r="A50" s="15" t="s">
        <v>18</v>
      </c>
      <c r="B50" s="5" t="s">
        <v>533</v>
      </c>
      <c r="C50" s="5" t="s">
        <v>584</v>
      </c>
      <c r="D50" s="5">
        <v>126</v>
      </c>
      <c r="E50" s="5"/>
      <c r="F50" s="5"/>
      <c r="G50" s="5" t="s">
        <v>38</v>
      </c>
      <c r="H50" s="5"/>
      <c r="I50" s="5" t="s">
        <v>234</v>
      </c>
      <c r="J50" s="95">
        <v>45746</v>
      </c>
      <c r="K50" s="95">
        <v>45748</v>
      </c>
      <c r="L50" s="95">
        <v>46843</v>
      </c>
      <c r="M50" s="5">
        <f t="shared" si="1"/>
        <v>126</v>
      </c>
      <c r="N50" s="5">
        <f t="shared" si="0"/>
        <v>0</v>
      </c>
      <c r="O50" s="74"/>
    </row>
    <row r="51" spans="1:16" x14ac:dyDescent="0.3">
      <c r="A51" s="15" t="s">
        <v>18</v>
      </c>
      <c r="B51" s="5" t="s">
        <v>533</v>
      </c>
      <c r="C51" s="5" t="s">
        <v>585</v>
      </c>
      <c r="D51" s="5">
        <v>119</v>
      </c>
      <c r="E51" s="5"/>
      <c r="F51" s="5"/>
      <c r="G51" s="5" t="s">
        <v>38</v>
      </c>
      <c r="H51" s="5"/>
      <c r="I51" s="5" t="s">
        <v>234</v>
      </c>
      <c r="J51" s="95">
        <v>45785</v>
      </c>
      <c r="K51" s="95">
        <v>45785</v>
      </c>
      <c r="L51" s="95">
        <v>46880</v>
      </c>
      <c r="M51" s="5">
        <f t="shared" si="1"/>
        <v>119</v>
      </c>
      <c r="N51" s="5">
        <f t="shared" si="0"/>
        <v>0</v>
      </c>
      <c r="O51" s="74"/>
    </row>
    <row r="52" spans="1:16" x14ac:dyDescent="0.3">
      <c r="A52" s="15" t="s">
        <v>18</v>
      </c>
      <c r="B52" s="5" t="s">
        <v>533</v>
      </c>
      <c r="C52" s="5" t="s">
        <v>586</v>
      </c>
      <c r="D52" s="5">
        <v>128</v>
      </c>
      <c r="E52" s="5"/>
      <c r="F52" s="5"/>
      <c r="G52" s="5" t="s">
        <v>38</v>
      </c>
      <c r="H52" s="5"/>
      <c r="I52" s="5" t="s">
        <v>234</v>
      </c>
      <c r="J52" s="95">
        <v>45790</v>
      </c>
      <c r="K52" s="95">
        <v>45792</v>
      </c>
      <c r="L52" s="95">
        <v>46887</v>
      </c>
      <c r="M52" s="5">
        <f t="shared" si="1"/>
        <v>128</v>
      </c>
      <c r="N52" s="5">
        <f t="shared" si="0"/>
        <v>0</v>
      </c>
      <c r="O52" s="74"/>
    </row>
    <row r="53" spans="1:16" x14ac:dyDescent="0.3">
      <c r="A53" s="15" t="s">
        <v>18</v>
      </c>
      <c r="B53" s="5" t="s">
        <v>533</v>
      </c>
      <c r="C53" s="5" t="s">
        <v>587</v>
      </c>
      <c r="D53" s="5">
        <v>122</v>
      </c>
      <c r="E53" s="5"/>
      <c r="F53" s="5"/>
      <c r="G53" s="5" t="s">
        <v>74</v>
      </c>
      <c r="H53" s="5"/>
      <c r="I53" s="5"/>
      <c r="J53" s="94"/>
      <c r="K53" s="94"/>
      <c r="L53" s="94"/>
      <c r="M53" s="5">
        <f t="shared" si="1"/>
        <v>0</v>
      </c>
      <c r="N53" s="5">
        <f t="shared" si="0"/>
        <v>122</v>
      </c>
      <c r="O53" s="74"/>
    </row>
    <row r="54" spans="1:16" x14ac:dyDescent="0.3">
      <c r="A54" s="15" t="s">
        <v>18</v>
      </c>
      <c r="B54" s="5" t="s">
        <v>533</v>
      </c>
      <c r="C54" s="5" t="s">
        <v>588</v>
      </c>
      <c r="D54" s="5">
        <v>75.3</v>
      </c>
      <c r="E54" s="5"/>
      <c r="F54" s="5"/>
      <c r="G54" s="5" t="s">
        <v>38</v>
      </c>
      <c r="H54" s="5"/>
      <c r="I54" s="5" t="s">
        <v>234</v>
      </c>
      <c r="J54" s="94">
        <f>VLOOKUP(C54,'[2]2026.3'!$C$4:$Q$157,13,0)</f>
        <v>45774</v>
      </c>
      <c r="K54" s="94">
        <f>VLOOKUP(C54,'[2]2026.3'!$C$4:$Q$157,14,0)</f>
        <v>45717</v>
      </c>
      <c r="L54" s="94">
        <f>VLOOKUP(C54,'[2]2026.3'!$C$4:$Q$157,15,0)</f>
        <v>46812</v>
      </c>
      <c r="M54" s="5">
        <f t="shared" si="1"/>
        <v>75.3</v>
      </c>
      <c r="N54" s="5">
        <f t="shared" si="0"/>
        <v>0</v>
      </c>
      <c r="O54" s="74"/>
    </row>
    <row r="55" spans="1:16" x14ac:dyDescent="0.3">
      <c r="A55" s="15" t="s">
        <v>18</v>
      </c>
      <c r="B55" s="5" t="s">
        <v>533</v>
      </c>
      <c r="C55" s="5" t="s">
        <v>589</v>
      </c>
      <c r="D55" s="5">
        <v>62.3</v>
      </c>
      <c r="E55" s="5"/>
      <c r="F55" s="5"/>
      <c r="G55" s="5" t="s">
        <v>38</v>
      </c>
      <c r="H55" s="5"/>
      <c r="I55" s="5" t="s">
        <v>234</v>
      </c>
      <c r="J55" s="94">
        <f>VLOOKUP(C55,'[2]2026.3'!$C$4:$Q$157,13,0)</f>
        <v>45774</v>
      </c>
      <c r="K55" s="94">
        <f>VLOOKUP(C55,'[2]2026.3'!$C$4:$Q$157,14,0)</f>
        <v>45717</v>
      </c>
      <c r="L55" s="94">
        <f>VLOOKUP(C55,'[2]2026.3'!$C$4:$Q$157,15,0)</f>
        <v>46812</v>
      </c>
      <c r="M55" s="5">
        <f t="shared" si="1"/>
        <v>62.3</v>
      </c>
      <c r="N55" s="5">
        <f t="shared" si="0"/>
        <v>0</v>
      </c>
      <c r="O55" s="74"/>
    </row>
    <row r="56" spans="1:16" x14ac:dyDescent="0.3">
      <c r="A56" s="15" t="s">
        <v>18</v>
      </c>
      <c r="B56" s="5" t="s">
        <v>533</v>
      </c>
      <c r="C56" s="5" t="s">
        <v>590</v>
      </c>
      <c r="D56" s="5">
        <v>126</v>
      </c>
      <c r="E56" s="5"/>
      <c r="F56" s="5"/>
      <c r="G56" s="5" t="s">
        <v>38</v>
      </c>
      <c r="H56" s="5"/>
      <c r="I56" s="5" t="s">
        <v>234</v>
      </c>
      <c r="J56" s="95">
        <v>45642</v>
      </c>
      <c r="K56" s="95">
        <v>45611</v>
      </c>
      <c r="L56" s="95">
        <v>46705</v>
      </c>
      <c r="M56" s="5">
        <f t="shared" si="1"/>
        <v>126</v>
      </c>
      <c r="N56" s="5">
        <f t="shared" si="0"/>
        <v>0</v>
      </c>
      <c r="O56" s="74"/>
    </row>
    <row r="57" spans="1:16" x14ac:dyDescent="0.3">
      <c r="A57" s="15" t="s">
        <v>18</v>
      </c>
      <c r="B57" s="5" t="s">
        <v>533</v>
      </c>
      <c r="C57" s="5" t="s">
        <v>591</v>
      </c>
      <c r="D57" s="5">
        <v>65</v>
      </c>
      <c r="E57" s="5"/>
      <c r="F57" s="5"/>
      <c r="G57" s="5" t="s">
        <v>74</v>
      </c>
      <c r="H57" s="5"/>
      <c r="I57" s="5"/>
      <c r="J57" s="94"/>
      <c r="K57" s="94"/>
      <c r="L57" s="94"/>
      <c r="M57" s="5">
        <f t="shared" si="1"/>
        <v>0</v>
      </c>
      <c r="N57" s="5">
        <f t="shared" si="0"/>
        <v>65</v>
      </c>
      <c r="O57" s="74"/>
    </row>
    <row r="58" spans="1:16" x14ac:dyDescent="0.3">
      <c r="A58" s="15" t="s">
        <v>18</v>
      </c>
      <c r="B58" s="5" t="s">
        <v>533</v>
      </c>
      <c r="C58" s="5" t="s">
        <v>592</v>
      </c>
      <c r="D58" s="5">
        <v>40</v>
      </c>
      <c r="E58" s="5"/>
      <c r="F58" s="5"/>
      <c r="G58" s="5" t="s">
        <v>38</v>
      </c>
      <c r="H58" s="5"/>
      <c r="I58" s="5" t="s">
        <v>234</v>
      </c>
      <c r="J58" s="94">
        <f>VLOOKUP(C58,'[2]2026.3'!$C$4:$Q$157,13,0)</f>
        <v>46059</v>
      </c>
      <c r="K58" s="94">
        <f>VLOOKUP(C58,'[2]2026.3'!$C$4:$Q$157,14,0)</f>
        <v>46082</v>
      </c>
      <c r="L58" s="94">
        <f>VLOOKUP(C58,'[2]2026.3'!$C$4:$Q$157,15,0)</f>
        <v>47177</v>
      </c>
      <c r="M58" s="5">
        <f t="shared" si="1"/>
        <v>40</v>
      </c>
      <c r="N58" s="5">
        <f t="shared" si="0"/>
        <v>0</v>
      </c>
      <c r="O58" s="74"/>
    </row>
    <row r="59" spans="1:16" x14ac:dyDescent="0.3">
      <c r="A59" s="15" t="s">
        <v>18</v>
      </c>
      <c r="B59" s="5" t="s">
        <v>533</v>
      </c>
      <c r="C59" s="5" t="s">
        <v>593</v>
      </c>
      <c r="D59" s="5">
        <v>105</v>
      </c>
      <c r="E59" s="5"/>
      <c r="F59" s="5"/>
      <c r="G59" s="5" t="s">
        <v>74</v>
      </c>
      <c r="H59" s="5"/>
      <c r="I59" s="5" t="s">
        <v>234</v>
      </c>
      <c r="J59" s="94">
        <f>VLOOKUP(C59,'[2]2026.3'!$C$4:$Q$157,13,0)</f>
        <v>45950</v>
      </c>
      <c r="K59" s="94">
        <f>VLOOKUP(C59,'[2]2026.3'!$C$4:$Q$157,14,0)</f>
        <v>45955</v>
      </c>
      <c r="L59" s="94">
        <f>VLOOKUP(C59,'[2]2026.3'!$C$4:$Q$157,15,0)</f>
        <v>47050</v>
      </c>
      <c r="M59" s="5">
        <f t="shared" si="1"/>
        <v>0</v>
      </c>
      <c r="N59" s="5">
        <f t="shared" si="0"/>
        <v>105</v>
      </c>
      <c r="O59" s="74" t="s">
        <v>551</v>
      </c>
      <c r="P59" t="s">
        <v>230</v>
      </c>
    </row>
    <row r="60" spans="1:16" x14ac:dyDescent="0.3">
      <c r="A60" s="15" t="s">
        <v>18</v>
      </c>
      <c r="B60" s="5" t="s">
        <v>533</v>
      </c>
      <c r="C60" s="5" t="s">
        <v>594</v>
      </c>
      <c r="D60" s="5">
        <v>118.5</v>
      </c>
      <c r="E60" s="5"/>
      <c r="F60" s="5"/>
      <c r="G60" s="5" t="s">
        <v>38</v>
      </c>
      <c r="H60" s="5"/>
      <c r="I60" s="5" t="s">
        <v>234</v>
      </c>
      <c r="J60" s="94">
        <f>VLOOKUP(C60,'[2]2026.3'!$C$4:$Q$157,13,0)</f>
        <v>45701</v>
      </c>
      <c r="K60" s="94">
        <f>VLOOKUP(C60,'[2]2026.3'!$C$4:$Q$157,14,0)</f>
        <v>0</v>
      </c>
      <c r="L60" s="94">
        <f>VLOOKUP(C60,'[2]2026.3'!$C$4:$Q$157,15,0)</f>
        <v>0</v>
      </c>
      <c r="M60" s="5">
        <f t="shared" si="1"/>
        <v>118.5</v>
      </c>
      <c r="N60" s="5">
        <f t="shared" si="0"/>
        <v>0</v>
      </c>
      <c r="O60" s="74"/>
    </row>
    <row r="61" spans="1:16" x14ac:dyDescent="0.3">
      <c r="A61" s="15" t="s">
        <v>18</v>
      </c>
      <c r="B61" s="5" t="s">
        <v>533</v>
      </c>
      <c r="C61" s="5" t="s">
        <v>595</v>
      </c>
      <c r="D61" s="5">
        <v>192.2</v>
      </c>
      <c r="E61" s="5"/>
      <c r="F61" s="5"/>
      <c r="G61" s="5" t="s">
        <v>38</v>
      </c>
      <c r="H61" s="5"/>
      <c r="I61" s="5" t="s">
        <v>234</v>
      </c>
      <c r="J61" s="94">
        <f>VLOOKUP(C61,'[2]2026.3'!$C$4:$Q$157,13,0)</f>
        <v>45764</v>
      </c>
      <c r="K61" s="94">
        <f>VLOOKUP(C61,'[2]2026.3'!$C$4:$Q$157,14,0)</f>
        <v>45797</v>
      </c>
      <c r="L61" s="94">
        <f>VLOOKUP(C61,'[2]2026.3'!$C$4:$Q$157,15,0)</f>
        <v>46161</v>
      </c>
      <c r="M61" s="5">
        <f t="shared" si="1"/>
        <v>192.2</v>
      </c>
      <c r="N61" s="5">
        <f t="shared" si="0"/>
        <v>0</v>
      </c>
      <c r="O61" s="74"/>
    </row>
    <row r="62" spans="1:16" x14ac:dyDescent="0.3">
      <c r="A62" s="15" t="s">
        <v>18</v>
      </c>
      <c r="B62" s="5" t="s">
        <v>533</v>
      </c>
      <c r="C62" s="5" t="s">
        <v>596</v>
      </c>
      <c r="D62" s="5">
        <v>181.3</v>
      </c>
      <c r="E62" s="5"/>
      <c r="F62" s="5"/>
      <c r="G62" s="5" t="s">
        <v>38</v>
      </c>
      <c r="H62" s="5"/>
      <c r="I62" s="5" t="s">
        <v>234</v>
      </c>
      <c r="J62" s="94">
        <f>VLOOKUP(C62,'[2]2026.3'!$C$4:$Q$157,13,0)</f>
        <v>45757</v>
      </c>
      <c r="K62" s="94">
        <f>VLOOKUP(C62,'[2]2026.3'!$C$4:$Q$157,14,0)</f>
        <v>45762</v>
      </c>
      <c r="L62" s="94">
        <f>VLOOKUP(C62,'[2]2026.3'!$C$4:$Q$157,15,0)</f>
        <v>46126</v>
      </c>
      <c r="M62" s="5">
        <f t="shared" si="1"/>
        <v>181.3</v>
      </c>
      <c r="N62" s="5">
        <f t="shared" si="0"/>
        <v>0</v>
      </c>
      <c r="O62" s="74"/>
    </row>
    <row r="63" spans="1:16" x14ac:dyDescent="0.3">
      <c r="A63" s="15" t="s">
        <v>18</v>
      </c>
      <c r="B63" s="5" t="s">
        <v>533</v>
      </c>
      <c r="C63" s="5" t="s">
        <v>597</v>
      </c>
      <c r="D63" s="5">
        <v>320</v>
      </c>
      <c r="E63" s="5"/>
      <c r="F63" s="5"/>
      <c r="G63" s="5" t="s">
        <v>38</v>
      </c>
      <c r="H63" s="5"/>
      <c r="I63" s="5" t="s">
        <v>234</v>
      </c>
      <c r="J63" s="94">
        <f>VLOOKUP(C63,'[2]2026.3'!$C$4:$Q$157,13,0)</f>
        <v>46018</v>
      </c>
      <c r="K63" s="94">
        <f>VLOOKUP(C63,'[2]2026.3'!$C$4:$Q$157,14,0)</f>
        <v>46026</v>
      </c>
      <c r="L63" s="94">
        <f>VLOOKUP(C63,'[2]2026.3'!$C$4:$Q$157,15,0)</f>
        <v>46390</v>
      </c>
      <c r="M63" s="5">
        <f t="shared" si="1"/>
        <v>320</v>
      </c>
      <c r="N63" s="5">
        <f t="shared" si="0"/>
        <v>0</v>
      </c>
      <c r="O63" s="74"/>
    </row>
    <row r="64" spans="1:16" x14ac:dyDescent="0.3">
      <c r="A64" s="15" t="s">
        <v>18</v>
      </c>
      <c r="B64" s="5" t="s">
        <v>533</v>
      </c>
      <c r="C64" s="5" t="s">
        <v>598</v>
      </c>
      <c r="D64" s="5">
        <v>240</v>
      </c>
      <c r="E64" s="5"/>
      <c r="F64" s="5"/>
      <c r="G64" s="5" t="s">
        <v>38</v>
      </c>
      <c r="H64" s="5"/>
      <c r="I64" s="5" t="s">
        <v>234</v>
      </c>
      <c r="J64" s="94">
        <f>VLOOKUP(C64,'[2]2026.3'!$C$4:$Q$157,13,0)</f>
        <v>45797</v>
      </c>
      <c r="K64" s="94">
        <f>VLOOKUP(C64,'[2]2026.3'!$C$4:$Q$157,14,0)</f>
        <v>45848</v>
      </c>
      <c r="L64" s="94">
        <f>VLOOKUP(C64,'[2]2026.3'!$C$4:$Q$157,15,0)</f>
        <v>46090</v>
      </c>
      <c r="M64" s="5">
        <f t="shared" si="1"/>
        <v>240</v>
      </c>
      <c r="N64" s="5">
        <f t="shared" si="0"/>
        <v>0</v>
      </c>
      <c r="O64" s="74"/>
    </row>
    <row r="65" spans="1:15" x14ac:dyDescent="0.3">
      <c r="A65" s="15" t="s">
        <v>18</v>
      </c>
      <c r="B65" s="5" t="s">
        <v>533</v>
      </c>
      <c r="C65" s="5" t="s">
        <v>599</v>
      </c>
      <c r="D65" s="5">
        <v>269</v>
      </c>
      <c r="E65" s="5"/>
      <c r="F65" s="5"/>
      <c r="G65" s="5" t="s">
        <v>74</v>
      </c>
      <c r="H65" s="5"/>
      <c r="I65" s="5"/>
      <c r="J65" s="94"/>
      <c r="K65" s="94"/>
      <c r="L65" s="94"/>
      <c r="M65" s="5">
        <f t="shared" si="1"/>
        <v>0</v>
      </c>
      <c r="N65" s="5">
        <f t="shared" si="0"/>
        <v>269</v>
      </c>
      <c r="O65" s="74"/>
    </row>
    <row r="66" spans="1:15" x14ac:dyDescent="0.3">
      <c r="A66" s="15" t="s">
        <v>18</v>
      </c>
      <c r="B66" s="5" t="s">
        <v>533</v>
      </c>
      <c r="C66" s="5" t="s">
        <v>600</v>
      </c>
      <c r="D66" s="5">
        <v>176.5</v>
      </c>
      <c r="E66" s="5"/>
      <c r="F66" s="5"/>
      <c r="G66" s="5" t="s">
        <v>38</v>
      </c>
      <c r="H66" s="5"/>
      <c r="I66" s="5" t="s">
        <v>234</v>
      </c>
      <c r="J66" s="94">
        <f>VLOOKUP(C66,'[2]2026.3'!$C$4:$Q$157,13,0)</f>
        <v>45869</v>
      </c>
      <c r="K66" s="94">
        <f>VLOOKUP(C66,'[2]2026.3'!$C$4:$Q$157,14,0)</f>
        <v>45901</v>
      </c>
      <c r="L66" s="94">
        <f>VLOOKUP(C66,'[2]2026.3'!$C$4:$Q$157,15,0)</f>
        <v>46265</v>
      </c>
      <c r="M66" s="5">
        <f t="shared" ref="M66:M129" si="2">IF(G66="已租",D66,0)</f>
        <v>176.5</v>
      </c>
      <c r="N66" s="5">
        <f t="shared" ref="N66:N129" si="3">IF(G66="未出租",D66,0)</f>
        <v>0</v>
      </c>
      <c r="O66" s="74"/>
    </row>
    <row r="67" spans="1:15" x14ac:dyDescent="0.3">
      <c r="A67" s="15" t="s">
        <v>18</v>
      </c>
      <c r="B67" s="5" t="s">
        <v>533</v>
      </c>
      <c r="C67" s="5" t="s">
        <v>601</v>
      </c>
      <c r="D67" s="5">
        <v>155</v>
      </c>
      <c r="E67" s="5"/>
      <c r="F67" s="5"/>
      <c r="G67" s="5" t="s">
        <v>74</v>
      </c>
      <c r="H67" s="5"/>
      <c r="I67" s="5"/>
      <c r="J67" s="94"/>
      <c r="K67" s="94"/>
      <c r="L67" s="94"/>
      <c r="M67" s="5">
        <f t="shared" si="2"/>
        <v>0</v>
      </c>
      <c r="N67" s="5">
        <f t="shared" si="3"/>
        <v>155</v>
      </c>
      <c r="O67" s="74"/>
    </row>
    <row r="68" spans="1:15" x14ac:dyDescent="0.3">
      <c r="A68" s="15" t="s">
        <v>18</v>
      </c>
      <c r="B68" s="5" t="s">
        <v>533</v>
      </c>
      <c r="C68" s="5" t="s">
        <v>602</v>
      </c>
      <c r="D68" s="5">
        <v>451</v>
      </c>
      <c r="E68" s="5"/>
      <c r="F68" s="5"/>
      <c r="G68" s="5" t="s">
        <v>38</v>
      </c>
      <c r="H68" s="5"/>
      <c r="I68" s="5" t="s">
        <v>234</v>
      </c>
      <c r="J68" s="94">
        <f>VLOOKUP(C68,'[2]2026.3'!$C$4:$Q$157,13,0)</f>
        <v>45407</v>
      </c>
      <c r="K68" s="94">
        <f>VLOOKUP(C68,'[2]2026.3'!$C$4:$Q$157,14,0)</f>
        <v>45444</v>
      </c>
      <c r="L68" s="94">
        <f>VLOOKUP(C68,'[2]2026.3'!$C$4:$Q$157,15,0)</f>
        <v>46538</v>
      </c>
      <c r="M68" s="5">
        <f t="shared" si="2"/>
        <v>451</v>
      </c>
      <c r="N68" s="5">
        <f t="shared" si="3"/>
        <v>0</v>
      </c>
      <c r="O68" s="74"/>
    </row>
    <row r="69" spans="1:15" x14ac:dyDescent="0.3">
      <c r="A69" s="15" t="s">
        <v>18</v>
      </c>
      <c r="B69" s="5" t="s">
        <v>533</v>
      </c>
      <c r="C69" s="5" t="s">
        <v>603</v>
      </c>
      <c r="D69" s="5">
        <v>300</v>
      </c>
      <c r="E69" s="5"/>
      <c r="F69" s="5"/>
      <c r="G69" s="5" t="s">
        <v>74</v>
      </c>
      <c r="H69" s="5"/>
      <c r="I69" s="5"/>
      <c r="J69" s="94"/>
      <c r="K69" s="94"/>
      <c r="L69" s="94"/>
      <c r="M69" s="5">
        <f t="shared" si="2"/>
        <v>0</v>
      </c>
      <c r="N69" s="5">
        <f t="shared" si="3"/>
        <v>300</v>
      </c>
      <c r="O69" s="74"/>
    </row>
    <row r="70" spans="1:15" x14ac:dyDescent="0.3">
      <c r="A70" s="15" t="s">
        <v>18</v>
      </c>
      <c r="B70" s="5" t="s">
        <v>604</v>
      </c>
      <c r="C70" s="5" t="s">
        <v>605</v>
      </c>
      <c r="D70" s="5">
        <v>152</v>
      </c>
      <c r="E70" s="5"/>
      <c r="F70" s="5"/>
      <c r="G70" s="5" t="s">
        <v>38</v>
      </c>
      <c r="H70" s="5"/>
      <c r="I70" s="5" t="s">
        <v>234</v>
      </c>
      <c r="J70" s="94">
        <f>VLOOKUP(C70,'[2]2026.3'!$C$4:$Q$157,13,0)</f>
        <v>45775</v>
      </c>
      <c r="K70" s="94">
        <f>VLOOKUP(C70,'[2]2026.3'!$C$4:$Q$157,14,0)</f>
        <v>45717</v>
      </c>
      <c r="L70" s="94">
        <f>VLOOKUP(C70,'[2]2026.3'!$C$4:$Q$157,15,0)</f>
        <v>46812</v>
      </c>
      <c r="M70" s="5">
        <f t="shared" si="2"/>
        <v>152</v>
      </c>
      <c r="N70" s="5">
        <f t="shared" si="3"/>
        <v>0</v>
      </c>
      <c r="O70" s="74"/>
    </row>
    <row r="71" spans="1:15" x14ac:dyDescent="0.3">
      <c r="A71" s="15" t="s">
        <v>18</v>
      </c>
      <c r="B71" s="5" t="s">
        <v>604</v>
      </c>
      <c r="C71" s="5" t="s">
        <v>606</v>
      </c>
      <c r="D71" s="5">
        <v>159</v>
      </c>
      <c r="E71" s="5"/>
      <c r="F71" s="5"/>
      <c r="G71" s="5" t="s">
        <v>74</v>
      </c>
      <c r="H71" s="5"/>
      <c r="I71" s="5"/>
      <c r="J71" s="94"/>
      <c r="K71" s="94"/>
      <c r="L71" s="94"/>
      <c r="M71" s="5">
        <f t="shared" si="2"/>
        <v>0</v>
      </c>
      <c r="N71" s="5">
        <f t="shared" si="3"/>
        <v>159</v>
      </c>
      <c r="O71" s="74"/>
    </row>
    <row r="72" spans="1:15" x14ac:dyDescent="0.3">
      <c r="A72" s="15" t="s">
        <v>18</v>
      </c>
      <c r="B72" s="5" t="s">
        <v>604</v>
      </c>
      <c r="C72" s="5" t="s">
        <v>607</v>
      </c>
      <c r="D72" s="5">
        <v>195</v>
      </c>
      <c r="E72" s="5"/>
      <c r="F72" s="5"/>
      <c r="G72" s="5" t="s">
        <v>38</v>
      </c>
      <c r="H72" s="5"/>
      <c r="I72" s="5" t="s">
        <v>234</v>
      </c>
      <c r="J72" s="94">
        <f>VLOOKUP(C72,'[2]2026.3'!$C$4:$Q$157,13,0)</f>
        <v>45809</v>
      </c>
      <c r="K72" s="94">
        <f>VLOOKUP(C72,'[2]2026.3'!$C$4:$Q$157,14,0)</f>
        <v>45809</v>
      </c>
      <c r="L72" s="94">
        <f>VLOOKUP(C72,'[2]2026.3'!$C$4:$Q$157,15,0)</f>
        <v>46173</v>
      </c>
      <c r="M72" s="5">
        <f t="shared" si="2"/>
        <v>195</v>
      </c>
      <c r="N72" s="5">
        <f t="shared" si="3"/>
        <v>0</v>
      </c>
      <c r="O72" s="74"/>
    </row>
    <row r="73" spans="1:15" x14ac:dyDescent="0.3">
      <c r="A73" s="15" t="s">
        <v>18</v>
      </c>
      <c r="B73" s="5" t="s">
        <v>604</v>
      </c>
      <c r="C73" s="5" t="s">
        <v>608</v>
      </c>
      <c r="D73" s="5">
        <v>538.38</v>
      </c>
      <c r="E73" s="5"/>
      <c r="F73" s="5"/>
      <c r="G73" s="5" t="s">
        <v>38</v>
      </c>
      <c r="H73" s="5"/>
      <c r="I73" s="5" t="s">
        <v>234</v>
      </c>
      <c r="J73" s="94">
        <f>VLOOKUP(C73,'[2]2026.3'!$C$4:$Q$157,13,0)</f>
        <v>45729</v>
      </c>
      <c r="K73" s="94">
        <f>VLOOKUP(C73,'[2]2026.3'!$C$4:$Q$157,14,0)</f>
        <v>45737</v>
      </c>
      <c r="L73" s="94">
        <f>VLOOKUP(C73,'[2]2026.3'!$C$4:$Q$157,15,0)</f>
        <v>46101</v>
      </c>
      <c r="M73" s="5">
        <f t="shared" si="2"/>
        <v>538.38</v>
      </c>
      <c r="N73" s="5">
        <f t="shared" si="3"/>
        <v>0</v>
      </c>
      <c r="O73" s="74"/>
    </row>
    <row r="74" spans="1:15" x14ac:dyDescent="0.3">
      <c r="A74" s="15" t="s">
        <v>18</v>
      </c>
      <c r="B74" s="5" t="s">
        <v>604</v>
      </c>
      <c r="C74" s="5" t="s">
        <v>609</v>
      </c>
      <c r="D74" s="5">
        <v>303</v>
      </c>
      <c r="E74" s="5"/>
      <c r="F74" s="5"/>
      <c r="G74" s="5" t="s">
        <v>38</v>
      </c>
      <c r="H74" s="5"/>
      <c r="I74" s="5" t="s">
        <v>234</v>
      </c>
      <c r="J74" s="94">
        <f>VLOOKUP(C74,'[2]2026.3'!$C$4:$Q$157,13,0)</f>
        <v>45160</v>
      </c>
      <c r="K74" s="94">
        <f>VLOOKUP(C74,'[2]2026.3'!$C$4:$Q$157,14,0)</f>
        <v>45383</v>
      </c>
      <c r="L74" s="94">
        <f>VLOOKUP(C74,'[2]2026.3'!$C$4:$Q$157,15,0)</f>
        <v>46477</v>
      </c>
      <c r="M74" s="5">
        <f t="shared" si="2"/>
        <v>303</v>
      </c>
      <c r="N74" s="5">
        <f t="shared" si="3"/>
        <v>0</v>
      </c>
      <c r="O74" s="74"/>
    </row>
    <row r="75" spans="1:15" x14ac:dyDescent="0.3">
      <c r="A75" s="15" t="s">
        <v>18</v>
      </c>
      <c r="B75" s="5" t="s">
        <v>610</v>
      </c>
      <c r="C75" s="5" t="s">
        <v>611</v>
      </c>
      <c r="D75" s="5">
        <v>187.6</v>
      </c>
      <c r="E75" s="5"/>
      <c r="F75" s="5"/>
      <c r="G75" s="5" t="s">
        <v>38</v>
      </c>
      <c r="H75" s="5"/>
      <c r="I75" s="5" t="s">
        <v>234</v>
      </c>
      <c r="J75" s="94">
        <f>VLOOKUP(C75,'[2]2026.3'!$C$4:$Q$157,13,0)</f>
        <v>45464</v>
      </c>
      <c r="K75" s="94">
        <f>VLOOKUP(C75,'[2]2026.3'!$C$4:$Q$157,14,0)</f>
        <v>45560</v>
      </c>
      <c r="L75" s="94">
        <f>VLOOKUP(C75,'[2]2026.3'!$C$4:$Q$157,15,0)</f>
        <v>46289</v>
      </c>
      <c r="M75" s="5">
        <f t="shared" si="2"/>
        <v>187.6</v>
      </c>
      <c r="N75" s="5">
        <f t="shared" si="3"/>
        <v>0</v>
      </c>
      <c r="O75" s="74"/>
    </row>
    <row r="76" spans="1:15" x14ac:dyDescent="0.3">
      <c r="A76" s="15" t="s">
        <v>18</v>
      </c>
      <c r="B76" s="5" t="s">
        <v>610</v>
      </c>
      <c r="C76" s="5" t="s">
        <v>612</v>
      </c>
      <c r="D76" s="5">
        <v>84.79</v>
      </c>
      <c r="E76" s="5"/>
      <c r="F76" s="5"/>
      <c r="G76" s="5" t="s">
        <v>38</v>
      </c>
      <c r="H76" s="5"/>
      <c r="I76" s="5" t="s">
        <v>234</v>
      </c>
      <c r="J76" s="94">
        <f>VLOOKUP(C76,'[2]2026.3'!$C$4:$Q$157,13,0)</f>
        <v>45985</v>
      </c>
      <c r="K76" s="94">
        <f>VLOOKUP(C76,'[2]2026.3'!$C$4:$Q$157,14,0)</f>
        <v>46012</v>
      </c>
      <c r="L76" s="94">
        <f>VLOOKUP(C76,'[2]2026.3'!$C$4:$Q$157,15,0)</f>
        <v>46376</v>
      </c>
      <c r="M76" s="5">
        <f t="shared" si="2"/>
        <v>84.79</v>
      </c>
      <c r="N76" s="5">
        <f t="shared" si="3"/>
        <v>0</v>
      </c>
      <c r="O76" s="74"/>
    </row>
    <row r="77" spans="1:15" x14ac:dyDescent="0.3">
      <c r="A77" s="15" t="s">
        <v>18</v>
      </c>
      <c r="B77" s="5" t="s">
        <v>610</v>
      </c>
      <c r="C77" s="5" t="s">
        <v>613</v>
      </c>
      <c r="D77" s="5">
        <v>197.11</v>
      </c>
      <c r="E77" s="5"/>
      <c r="F77" s="5"/>
      <c r="G77" s="5" t="s">
        <v>38</v>
      </c>
      <c r="H77" s="5"/>
      <c r="I77" s="5" t="s">
        <v>234</v>
      </c>
      <c r="J77" s="94">
        <f>VLOOKUP(C77,'[2]2026.3'!$C$4:$Q$157,13,0)</f>
        <v>45833</v>
      </c>
      <c r="K77" s="94">
        <f>VLOOKUP(C77,'[2]2026.3'!$C$4:$Q$157,14,0)</f>
        <v>45870</v>
      </c>
      <c r="L77" s="94">
        <f>VLOOKUP(C77,'[2]2026.3'!$C$4:$Q$157,15,0)</f>
        <v>46234</v>
      </c>
      <c r="M77" s="5">
        <f t="shared" si="2"/>
        <v>197.11</v>
      </c>
      <c r="N77" s="5">
        <f t="shared" si="3"/>
        <v>0</v>
      </c>
      <c r="O77" s="74"/>
    </row>
    <row r="78" spans="1:15" x14ac:dyDescent="0.3">
      <c r="A78" s="15" t="s">
        <v>18</v>
      </c>
      <c r="B78" s="5" t="s">
        <v>610</v>
      </c>
      <c r="C78" s="5" t="s">
        <v>614</v>
      </c>
      <c r="D78" s="5">
        <v>107</v>
      </c>
      <c r="E78" s="5"/>
      <c r="F78" s="5"/>
      <c r="G78" s="5" t="s">
        <v>38</v>
      </c>
      <c r="H78" s="5"/>
      <c r="I78" s="5" t="s">
        <v>234</v>
      </c>
      <c r="J78" s="94">
        <f>VLOOKUP(C78,'[2]2026.3'!$C$4:$Q$157,13,0)</f>
        <v>45848</v>
      </c>
      <c r="K78" s="94">
        <f>VLOOKUP(C78,'[2]2026.3'!$C$4:$Q$157,14,0)</f>
        <v>45885</v>
      </c>
      <c r="L78" s="94">
        <f>VLOOKUP(C78,'[2]2026.3'!$C$4:$Q$157,15,0)</f>
        <v>46249</v>
      </c>
      <c r="M78" s="5">
        <f t="shared" si="2"/>
        <v>107</v>
      </c>
      <c r="N78" s="5">
        <f t="shared" si="3"/>
        <v>0</v>
      </c>
      <c r="O78" s="74"/>
    </row>
    <row r="79" spans="1:15" x14ac:dyDescent="0.3">
      <c r="A79" s="15" t="s">
        <v>18</v>
      </c>
      <c r="B79" s="5" t="s">
        <v>610</v>
      </c>
      <c r="C79" s="5" t="s">
        <v>615</v>
      </c>
      <c r="D79" s="5">
        <v>84</v>
      </c>
      <c r="E79" s="5"/>
      <c r="F79" s="5"/>
      <c r="G79" s="5" t="s">
        <v>38</v>
      </c>
      <c r="H79" s="5"/>
      <c r="I79" s="5" t="s">
        <v>234</v>
      </c>
      <c r="J79" s="94">
        <f>VLOOKUP(C79,'[2]2026.3'!$C$4:$Q$157,13,0)</f>
        <v>45721</v>
      </c>
      <c r="K79" s="94">
        <f>VLOOKUP(C79,'[2]2026.3'!$C$4:$Q$157,14,0)</f>
        <v>45701</v>
      </c>
      <c r="L79" s="94">
        <f>VLOOKUP(C79,'[2]2026.3'!$C$4:$Q$157,15,0)</f>
        <v>46109</v>
      </c>
      <c r="M79" s="5">
        <f t="shared" si="2"/>
        <v>84</v>
      </c>
      <c r="N79" s="5">
        <f t="shared" si="3"/>
        <v>0</v>
      </c>
      <c r="O79" s="74"/>
    </row>
    <row r="80" spans="1:15" x14ac:dyDescent="0.3">
      <c r="A80" s="15" t="s">
        <v>18</v>
      </c>
      <c r="B80" s="5" t="s">
        <v>610</v>
      </c>
      <c r="C80" s="5" t="s">
        <v>616</v>
      </c>
      <c r="D80" s="5">
        <v>150</v>
      </c>
      <c r="E80" s="5"/>
      <c r="F80" s="5"/>
      <c r="G80" s="5" t="s">
        <v>38</v>
      </c>
      <c r="H80" s="5"/>
      <c r="I80" s="5" t="s">
        <v>234</v>
      </c>
      <c r="J80" s="94">
        <f>VLOOKUP(C80,'[2]2026.3'!$C$4:$Q$157,13,0)</f>
        <v>45759</v>
      </c>
      <c r="K80" s="94">
        <f>VLOOKUP(C80,'[2]2026.3'!$C$4:$Q$157,14,0)</f>
        <v>45759</v>
      </c>
      <c r="L80" s="94">
        <f>VLOOKUP(C80,'[2]2026.3'!$C$4:$Q$157,15,0)</f>
        <v>46123</v>
      </c>
      <c r="M80" s="5">
        <f t="shared" si="2"/>
        <v>150</v>
      </c>
      <c r="N80" s="5">
        <f t="shared" si="3"/>
        <v>0</v>
      </c>
      <c r="O80" s="74"/>
    </row>
    <row r="81" spans="1:15" x14ac:dyDescent="0.3">
      <c r="A81" s="15" t="s">
        <v>18</v>
      </c>
      <c r="B81" s="5" t="s">
        <v>610</v>
      </c>
      <c r="C81" s="5" t="s">
        <v>617</v>
      </c>
      <c r="D81" s="5">
        <v>100</v>
      </c>
      <c r="E81" s="5"/>
      <c r="F81" s="5"/>
      <c r="G81" s="5" t="s">
        <v>38</v>
      </c>
      <c r="H81" s="5"/>
      <c r="I81" s="5" t="s">
        <v>234</v>
      </c>
      <c r="J81" s="94">
        <f>VLOOKUP(C81,'[2]2026.3'!$C$4:$Q$157,13,0)</f>
        <v>45709</v>
      </c>
      <c r="K81" s="94">
        <f>VLOOKUP(C81,'[2]2026.3'!$C$4:$Q$157,14,0)</f>
        <v>45723</v>
      </c>
      <c r="L81" s="94">
        <f>VLOOKUP(C81,'[2]2026.3'!$C$4:$Q$157,15,0)</f>
        <v>46109</v>
      </c>
      <c r="M81" s="5">
        <f t="shared" si="2"/>
        <v>100</v>
      </c>
      <c r="N81" s="5">
        <f t="shared" si="3"/>
        <v>0</v>
      </c>
      <c r="O81" s="74"/>
    </row>
    <row r="82" spans="1:15" x14ac:dyDescent="0.3">
      <c r="A82" s="15" t="s">
        <v>18</v>
      </c>
      <c r="B82" s="5" t="s">
        <v>610</v>
      </c>
      <c r="C82" s="5" t="s">
        <v>618</v>
      </c>
      <c r="D82" s="5">
        <v>90</v>
      </c>
      <c r="E82" s="5"/>
      <c r="F82" s="5"/>
      <c r="G82" s="5" t="s">
        <v>38</v>
      </c>
      <c r="H82" s="5"/>
      <c r="I82" s="5" t="s">
        <v>234</v>
      </c>
      <c r="J82" s="94">
        <f>VLOOKUP(C82,'[2]2026.3'!$C$4:$Q$157,13,0)</f>
        <v>45973</v>
      </c>
      <c r="K82" s="94">
        <f>VLOOKUP(C82,'[2]2026.3'!$C$4:$Q$157,14,0)</f>
        <v>45978</v>
      </c>
      <c r="L82" s="94">
        <f>VLOOKUP(C82,'[2]2026.3'!$C$4:$Q$157,15,0)</f>
        <v>46342</v>
      </c>
      <c r="M82" s="5">
        <f t="shared" si="2"/>
        <v>90</v>
      </c>
      <c r="N82" s="5">
        <f t="shared" si="3"/>
        <v>0</v>
      </c>
      <c r="O82" s="74"/>
    </row>
    <row r="83" spans="1:15" x14ac:dyDescent="0.3">
      <c r="A83" s="15" t="s">
        <v>18</v>
      </c>
      <c r="B83" s="5" t="s">
        <v>610</v>
      </c>
      <c r="C83" s="5" t="s">
        <v>619</v>
      </c>
      <c r="D83" s="5">
        <v>218</v>
      </c>
      <c r="E83" s="5"/>
      <c r="F83" s="5"/>
      <c r="G83" s="5" t="s">
        <v>38</v>
      </c>
      <c r="H83" s="5"/>
      <c r="I83" s="5"/>
      <c r="J83" s="94"/>
      <c r="K83" s="94"/>
      <c r="L83" s="94"/>
      <c r="M83" s="5">
        <f t="shared" si="2"/>
        <v>218</v>
      </c>
      <c r="N83" s="5">
        <f t="shared" si="3"/>
        <v>0</v>
      </c>
      <c r="O83" s="74"/>
    </row>
    <row r="84" spans="1:15" x14ac:dyDescent="0.3">
      <c r="A84" s="15" t="s">
        <v>18</v>
      </c>
      <c r="B84" s="5" t="s">
        <v>610</v>
      </c>
      <c r="C84" s="5" t="s">
        <v>620</v>
      </c>
      <c r="D84" s="5">
        <v>96.91</v>
      </c>
      <c r="E84" s="5"/>
      <c r="F84" s="5"/>
      <c r="G84" s="5" t="s">
        <v>38</v>
      </c>
      <c r="H84" s="5"/>
      <c r="I84" s="5" t="s">
        <v>234</v>
      </c>
      <c r="J84" s="94">
        <f>VLOOKUP(C84,'[2]2026.3'!$C$4:$Q$157,13,0)</f>
        <v>45778</v>
      </c>
      <c r="K84" s="94">
        <f>VLOOKUP(C84,'[2]2026.3'!$C$4:$Q$157,14,0)</f>
        <v>45778</v>
      </c>
      <c r="L84" s="94">
        <f>VLOOKUP(C84,'[2]2026.3'!$C$4:$Q$157,15,0)</f>
        <v>46142</v>
      </c>
      <c r="M84" s="5">
        <f t="shared" si="2"/>
        <v>96.91</v>
      </c>
      <c r="N84" s="5">
        <f t="shared" si="3"/>
        <v>0</v>
      </c>
      <c r="O84" s="74"/>
    </row>
    <row r="85" spans="1:15" ht="18" customHeight="1" x14ac:dyDescent="0.3">
      <c r="A85" s="15" t="s">
        <v>18</v>
      </c>
      <c r="B85" s="5" t="s">
        <v>610</v>
      </c>
      <c r="C85" s="5" t="s">
        <v>621</v>
      </c>
      <c r="D85" s="5">
        <v>386.39</v>
      </c>
      <c r="E85" s="5"/>
      <c r="F85" s="5"/>
      <c r="G85" s="5" t="s">
        <v>38</v>
      </c>
      <c r="H85" s="5"/>
      <c r="I85" s="5" t="s">
        <v>234</v>
      </c>
      <c r="J85" s="94">
        <f>VLOOKUP(C85,'[2]2026.3'!$C$4:$Q$157,13,0)</f>
        <v>45916</v>
      </c>
      <c r="K85" s="94">
        <f>VLOOKUP(C85,'[2]2026.3'!$C$4:$Q$157,14,0)</f>
        <v>45949</v>
      </c>
      <c r="L85" s="94">
        <f>VLOOKUP(C85,'[2]2026.3'!$C$4:$Q$157,15,0)</f>
        <v>46313</v>
      </c>
      <c r="M85" s="5">
        <f t="shared" si="2"/>
        <v>386.39</v>
      </c>
      <c r="N85" s="5">
        <f t="shared" si="3"/>
        <v>0</v>
      </c>
      <c r="O85" s="74"/>
    </row>
    <row r="86" spans="1:15" x14ac:dyDescent="0.3">
      <c r="A86" s="15" t="s">
        <v>18</v>
      </c>
      <c r="B86" s="5" t="s">
        <v>610</v>
      </c>
      <c r="C86" s="5" t="s">
        <v>622</v>
      </c>
      <c r="D86" s="5">
        <v>154.6</v>
      </c>
      <c r="E86" s="5"/>
      <c r="F86" s="5"/>
      <c r="G86" s="5" t="s">
        <v>38</v>
      </c>
      <c r="H86" s="5"/>
      <c r="I86" s="5" t="s">
        <v>234</v>
      </c>
      <c r="J86" s="94">
        <f>VLOOKUP(C86,'[2]2026.3'!$C$4:$Q$157,13,0)</f>
        <v>46036</v>
      </c>
      <c r="K86" s="94">
        <f>VLOOKUP(C86,'[2]2026.3'!$C$4:$Q$157,14,0)</f>
        <v>46082</v>
      </c>
      <c r="L86" s="94">
        <f>VLOOKUP(C86,'[2]2026.3'!$C$4:$Q$157,15,0)</f>
        <v>46446</v>
      </c>
      <c r="M86" s="5">
        <f t="shared" si="2"/>
        <v>154.6</v>
      </c>
      <c r="N86" s="5">
        <f t="shared" si="3"/>
        <v>0</v>
      </c>
      <c r="O86" s="74"/>
    </row>
    <row r="87" spans="1:15" x14ac:dyDescent="0.3">
      <c r="A87" s="15" t="s">
        <v>18</v>
      </c>
      <c r="B87" s="5" t="s">
        <v>610</v>
      </c>
      <c r="C87" s="5" t="s">
        <v>623</v>
      </c>
      <c r="D87" s="5">
        <v>88</v>
      </c>
      <c r="E87" s="5"/>
      <c r="F87" s="5"/>
      <c r="G87" s="5" t="s">
        <v>38</v>
      </c>
      <c r="H87" s="5"/>
      <c r="I87" s="5" t="s">
        <v>234</v>
      </c>
      <c r="J87" s="94">
        <f>VLOOKUP(C87,'[2]2026.3'!$C$4:$Q$157,13,0)</f>
        <v>45750</v>
      </c>
      <c r="K87" s="94">
        <f>VLOOKUP(C87,'[2]2026.3'!$C$4:$Q$157,14,0)</f>
        <v>45717</v>
      </c>
      <c r="L87" s="94">
        <f>VLOOKUP(C87,'[2]2026.3'!$C$4:$Q$157,15,0)</f>
        <v>46081</v>
      </c>
      <c r="M87" s="5">
        <f t="shared" si="2"/>
        <v>88</v>
      </c>
      <c r="N87" s="5">
        <f t="shared" si="3"/>
        <v>0</v>
      </c>
      <c r="O87" s="74"/>
    </row>
    <row r="88" spans="1:15" x14ac:dyDescent="0.3">
      <c r="A88" s="15" t="s">
        <v>18</v>
      </c>
      <c r="B88" s="5" t="s">
        <v>610</v>
      </c>
      <c r="C88" s="5" t="s">
        <v>624</v>
      </c>
      <c r="D88" s="5">
        <v>86.69</v>
      </c>
      <c r="E88" s="5"/>
      <c r="F88" s="5"/>
      <c r="G88" s="5" t="s">
        <v>38</v>
      </c>
      <c r="H88" s="5"/>
      <c r="I88" s="5" t="s">
        <v>234</v>
      </c>
      <c r="J88" s="94">
        <f>VLOOKUP(C88,'[2]2026.3'!$C$4:$Q$157,13,0)</f>
        <v>45706</v>
      </c>
      <c r="K88" s="94">
        <f>VLOOKUP(C88,'[2]2026.3'!$C$4:$Q$157,14,0)</f>
        <v>45730</v>
      </c>
      <c r="L88" s="94">
        <f>VLOOKUP(C88,'[2]2026.3'!$C$4:$Q$157,15,0)</f>
        <v>46094</v>
      </c>
      <c r="M88" s="5">
        <f t="shared" si="2"/>
        <v>86.69</v>
      </c>
      <c r="N88" s="5">
        <f t="shared" si="3"/>
        <v>0</v>
      </c>
      <c r="O88" s="74"/>
    </row>
    <row r="89" spans="1:15" x14ac:dyDescent="0.3">
      <c r="A89" s="15" t="s">
        <v>18</v>
      </c>
      <c r="B89" s="5" t="s">
        <v>610</v>
      </c>
      <c r="C89" s="5" t="s">
        <v>625</v>
      </c>
      <c r="D89" s="5">
        <v>90.12</v>
      </c>
      <c r="E89" s="5"/>
      <c r="F89" s="5"/>
      <c r="G89" s="5" t="s">
        <v>38</v>
      </c>
      <c r="H89" s="5"/>
      <c r="I89" s="5" t="s">
        <v>234</v>
      </c>
      <c r="J89" s="94">
        <f>VLOOKUP(C89,'[2]2026.3'!$C$4:$Q$157,13,0)</f>
        <v>45733</v>
      </c>
      <c r="K89" s="94">
        <f>VLOOKUP(C89,'[2]2026.3'!$C$4:$Q$157,14,0)</f>
        <v>45778</v>
      </c>
      <c r="L89" s="94">
        <f>VLOOKUP(C89,'[2]2026.3'!$C$4:$Q$157,15,0)</f>
        <v>46142</v>
      </c>
      <c r="M89" s="5">
        <f t="shared" si="2"/>
        <v>90.12</v>
      </c>
      <c r="N89" s="5">
        <f t="shared" si="3"/>
        <v>0</v>
      </c>
      <c r="O89" s="74"/>
    </row>
    <row r="90" spans="1:15" x14ac:dyDescent="0.3">
      <c r="A90" s="15" t="s">
        <v>18</v>
      </c>
      <c r="B90" s="5" t="s">
        <v>610</v>
      </c>
      <c r="C90" s="5" t="s">
        <v>626</v>
      </c>
      <c r="D90" s="5">
        <v>87</v>
      </c>
      <c r="E90" s="5"/>
      <c r="F90" s="5"/>
      <c r="G90" s="5" t="s">
        <v>38</v>
      </c>
      <c r="H90" s="5"/>
      <c r="I90" s="5" t="s">
        <v>234</v>
      </c>
      <c r="J90" s="94">
        <f>VLOOKUP(C90,'[2]2026.3'!$C$4:$Q$157,13,0)</f>
        <v>45727</v>
      </c>
      <c r="K90" s="94">
        <f>VLOOKUP(C90,'[2]2026.3'!$C$4:$Q$157,14,0)</f>
        <v>45803</v>
      </c>
      <c r="L90" s="94">
        <f>VLOOKUP(C90,'[2]2026.3'!$C$4:$Q$157,15,0)</f>
        <v>46167</v>
      </c>
      <c r="M90" s="5">
        <f t="shared" si="2"/>
        <v>87</v>
      </c>
      <c r="N90" s="5">
        <f t="shared" si="3"/>
        <v>0</v>
      </c>
      <c r="O90" s="74"/>
    </row>
    <row r="91" spans="1:15" x14ac:dyDescent="0.3">
      <c r="A91" s="15" t="s">
        <v>18</v>
      </c>
      <c r="B91" s="5" t="s">
        <v>610</v>
      </c>
      <c r="C91" s="5" t="s">
        <v>627</v>
      </c>
      <c r="D91" s="5">
        <v>80</v>
      </c>
      <c r="E91" s="5"/>
      <c r="F91" s="5"/>
      <c r="G91" s="5" t="s">
        <v>38</v>
      </c>
      <c r="H91" s="5"/>
      <c r="I91" s="5" t="s">
        <v>234</v>
      </c>
      <c r="J91" s="94">
        <f>VLOOKUP(C91,'[2]2026.3'!$C$4:$Q$157,13,0)</f>
        <v>45941</v>
      </c>
      <c r="K91" s="94">
        <f>VLOOKUP(C91,'[2]2026.3'!$C$4:$Q$157,14,0)</f>
        <v>45955</v>
      </c>
      <c r="L91" s="94">
        <f>VLOOKUP(C91,'[2]2026.3'!$C$4:$Q$157,15,0)</f>
        <v>46319</v>
      </c>
      <c r="M91" s="5">
        <f t="shared" si="2"/>
        <v>80</v>
      </c>
      <c r="N91" s="5">
        <f t="shared" si="3"/>
        <v>0</v>
      </c>
      <c r="O91" s="74"/>
    </row>
    <row r="92" spans="1:15" x14ac:dyDescent="0.3">
      <c r="A92" s="15" t="s">
        <v>18</v>
      </c>
      <c r="B92" s="5" t="s">
        <v>610</v>
      </c>
      <c r="C92" s="5" t="s">
        <v>628</v>
      </c>
      <c r="D92" s="5">
        <v>131</v>
      </c>
      <c r="E92" s="5"/>
      <c r="F92" s="5"/>
      <c r="G92" s="5" t="s">
        <v>38</v>
      </c>
      <c r="H92" s="5"/>
      <c r="I92" s="5" t="s">
        <v>234</v>
      </c>
      <c r="J92" s="94">
        <f>VLOOKUP(C92,'[2]2026.3'!$C$4:$Q$157,13,0)</f>
        <v>45775</v>
      </c>
      <c r="K92" s="94">
        <f>VLOOKUP(C92,'[2]2026.3'!$C$4:$Q$157,14,0)</f>
        <v>45777</v>
      </c>
      <c r="L92" s="94">
        <f>VLOOKUP(C92,'[2]2026.3'!$C$4:$Q$157,15,0)</f>
        <v>46141</v>
      </c>
      <c r="M92" s="5">
        <f t="shared" si="2"/>
        <v>131</v>
      </c>
      <c r="N92" s="5">
        <f t="shared" si="3"/>
        <v>0</v>
      </c>
      <c r="O92" s="74"/>
    </row>
    <row r="93" spans="1:15" x14ac:dyDescent="0.3">
      <c r="A93" s="15" t="s">
        <v>18</v>
      </c>
      <c r="B93" s="5" t="s">
        <v>610</v>
      </c>
      <c r="C93" s="5" t="s">
        <v>629</v>
      </c>
      <c r="D93" s="5">
        <v>304</v>
      </c>
      <c r="E93" s="5"/>
      <c r="F93" s="5"/>
      <c r="G93" s="5" t="s">
        <v>38</v>
      </c>
      <c r="H93" s="5"/>
      <c r="I93" s="5" t="s">
        <v>234</v>
      </c>
      <c r="J93" s="94">
        <f>VLOOKUP(C93,'[2]2026.3'!$C$4:$Q$157,13,0)</f>
        <v>45733</v>
      </c>
      <c r="K93" s="94">
        <f>VLOOKUP(C93,'[2]2026.3'!$C$4:$Q$157,14,0)</f>
        <v>45748</v>
      </c>
      <c r="L93" s="94">
        <f>VLOOKUP(C93,'[2]2026.3'!$C$4:$Q$157,15,0)</f>
        <v>46112</v>
      </c>
      <c r="M93" s="5">
        <f t="shared" si="2"/>
        <v>304</v>
      </c>
      <c r="N93" s="5">
        <f t="shared" si="3"/>
        <v>0</v>
      </c>
      <c r="O93" s="74"/>
    </row>
    <row r="94" spans="1:15" x14ac:dyDescent="0.3">
      <c r="A94" s="15" t="s">
        <v>18</v>
      </c>
      <c r="B94" s="5" t="s">
        <v>610</v>
      </c>
      <c r="C94" s="5" t="s">
        <v>630</v>
      </c>
      <c r="D94" s="5">
        <v>63</v>
      </c>
      <c r="E94" s="5"/>
      <c r="F94" s="5"/>
      <c r="G94" s="5" t="s">
        <v>38</v>
      </c>
      <c r="H94" s="5"/>
      <c r="I94" s="5" t="s">
        <v>234</v>
      </c>
      <c r="J94" s="94">
        <f>VLOOKUP(C94,'[2]2026.3'!$C$4:$Q$157,13,0)</f>
        <v>45789</v>
      </c>
      <c r="K94" s="94">
        <f>VLOOKUP(C94,'[2]2026.3'!$C$4:$Q$157,14,0)</f>
        <v>45789</v>
      </c>
      <c r="L94" s="94">
        <f>VLOOKUP(C94,'[2]2026.3'!$C$4:$Q$157,15,0)</f>
        <v>46153</v>
      </c>
      <c r="M94" s="5">
        <f t="shared" si="2"/>
        <v>63</v>
      </c>
      <c r="N94" s="5">
        <f t="shared" si="3"/>
        <v>0</v>
      </c>
      <c r="O94" s="74"/>
    </row>
    <row r="95" spans="1:15" x14ac:dyDescent="0.3">
      <c r="A95" s="15" t="s">
        <v>18</v>
      </c>
      <c r="B95" s="5" t="s">
        <v>610</v>
      </c>
      <c r="C95" s="5" t="s">
        <v>631</v>
      </c>
      <c r="D95" s="5">
        <v>181</v>
      </c>
      <c r="E95" s="5"/>
      <c r="F95" s="5"/>
      <c r="G95" s="5" t="s">
        <v>38</v>
      </c>
      <c r="H95" s="5"/>
      <c r="I95" s="5" t="s">
        <v>234</v>
      </c>
      <c r="J95" s="94">
        <f>VLOOKUP(C95,'[2]2026.3'!$C$4:$Q$157,13,0)</f>
        <v>45743</v>
      </c>
      <c r="K95" s="94">
        <f>VLOOKUP(C95,'[2]2026.3'!$C$4:$Q$157,14,0)</f>
        <v>45809</v>
      </c>
      <c r="L95" s="94">
        <f>VLOOKUP(C95,'[2]2026.3'!$C$4:$Q$157,15,0)</f>
        <v>46173</v>
      </c>
      <c r="M95" s="5">
        <f t="shared" si="2"/>
        <v>181</v>
      </c>
      <c r="N95" s="5">
        <f t="shared" si="3"/>
        <v>0</v>
      </c>
      <c r="O95" s="74"/>
    </row>
    <row r="96" spans="1:15" x14ac:dyDescent="0.3">
      <c r="A96" s="15" t="s">
        <v>18</v>
      </c>
      <c r="B96" s="5" t="s">
        <v>610</v>
      </c>
      <c r="C96" s="5" t="s">
        <v>632</v>
      </c>
      <c r="D96" s="5">
        <v>61</v>
      </c>
      <c r="E96" s="5"/>
      <c r="F96" s="5"/>
      <c r="G96" s="5" t="s">
        <v>38</v>
      </c>
      <c r="H96" s="5"/>
      <c r="I96" s="5" t="s">
        <v>234</v>
      </c>
      <c r="J96" s="94">
        <f>VLOOKUP(C96,'[2]2026.3'!$C$4:$Q$157,13,0)</f>
        <v>45713</v>
      </c>
      <c r="K96" s="94">
        <f>VLOOKUP(C96,'[2]2026.3'!$C$4:$Q$157,14,0)</f>
        <v>45726</v>
      </c>
      <c r="L96" s="94">
        <f>VLOOKUP(C96,'[2]2026.3'!$C$4:$Q$157,15,0)</f>
        <v>46090</v>
      </c>
      <c r="M96" s="5">
        <f t="shared" si="2"/>
        <v>61</v>
      </c>
      <c r="N96" s="5">
        <f t="shared" si="3"/>
        <v>0</v>
      </c>
      <c r="O96" s="74"/>
    </row>
    <row r="97" spans="1:15" x14ac:dyDescent="0.3">
      <c r="A97" s="15" t="s">
        <v>18</v>
      </c>
      <c r="B97" s="5" t="s">
        <v>610</v>
      </c>
      <c r="C97" s="5" t="s">
        <v>633</v>
      </c>
      <c r="D97" s="5">
        <v>123</v>
      </c>
      <c r="E97" s="5"/>
      <c r="F97" s="5"/>
      <c r="G97" s="5" t="s">
        <v>38</v>
      </c>
      <c r="H97" s="5"/>
      <c r="I97" s="5" t="s">
        <v>234</v>
      </c>
      <c r="J97" s="94">
        <f>VLOOKUP(C97,'[2]2026.3'!$C$4:$Q$157,13,0)</f>
        <v>45957</v>
      </c>
      <c r="K97" s="94">
        <f>VLOOKUP(C97,'[2]2026.3'!$C$4:$Q$157,14,0)</f>
        <v>45973</v>
      </c>
      <c r="L97" s="94">
        <f>VLOOKUP(C97,'[2]2026.3'!$C$4:$Q$157,15,0)</f>
        <v>46337</v>
      </c>
      <c r="M97" s="5">
        <f t="shared" si="2"/>
        <v>123</v>
      </c>
      <c r="N97" s="5">
        <f t="shared" si="3"/>
        <v>0</v>
      </c>
      <c r="O97" s="74"/>
    </row>
    <row r="98" spans="1:15" x14ac:dyDescent="0.3">
      <c r="A98" s="15" t="s">
        <v>18</v>
      </c>
      <c r="B98" s="5" t="s">
        <v>610</v>
      </c>
      <c r="C98" s="5" t="s">
        <v>634</v>
      </c>
      <c r="D98" s="5">
        <v>73.599999999999994</v>
      </c>
      <c r="E98" s="5"/>
      <c r="F98" s="5"/>
      <c r="G98" s="5" t="s">
        <v>38</v>
      </c>
      <c r="H98" s="5"/>
      <c r="I98" s="5" t="s">
        <v>234</v>
      </c>
      <c r="J98" s="94">
        <f>VLOOKUP(C98,'[2]2026.3'!$C$4:$Q$157,13,0)</f>
        <v>45761</v>
      </c>
      <c r="K98" s="94">
        <f>VLOOKUP(C98,'[2]2026.3'!$C$4:$Q$157,14,0)</f>
        <v>45761</v>
      </c>
      <c r="L98" s="94">
        <f>VLOOKUP(C98,'[2]2026.3'!$C$4:$Q$157,15,0)</f>
        <v>46125</v>
      </c>
      <c r="M98" s="5">
        <f t="shared" si="2"/>
        <v>73.599999999999994</v>
      </c>
      <c r="N98" s="5">
        <f t="shared" si="3"/>
        <v>0</v>
      </c>
      <c r="O98" s="74"/>
    </row>
    <row r="99" spans="1:15" x14ac:dyDescent="0.3">
      <c r="A99" s="15" t="s">
        <v>18</v>
      </c>
      <c r="B99" s="5" t="s">
        <v>610</v>
      </c>
      <c r="C99" s="5" t="s">
        <v>635</v>
      </c>
      <c r="D99" s="5">
        <v>127.4</v>
      </c>
      <c r="E99" s="5"/>
      <c r="F99" s="5"/>
      <c r="G99" s="5" t="s">
        <v>38</v>
      </c>
      <c r="H99" s="5"/>
      <c r="I99" s="5" t="s">
        <v>234</v>
      </c>
      <c r="J99" s="94">
        <f>VLOOKUP(C99,'[2]2026.3'!$C$4:$Q$157,13,0)</f>
        <v>45762</v>
      </c>
      <c r="K99" s="94">
        <f>VLOOKUP(C99,'[2]2026.3'!$C$4:$Q$157,14,0)</f>
        <v>45762</v>
      </c>
      <c r="L99" s="94">
        <f>VLOOKUP(C99,'[2]2026.3'!$C$4:$Q$157,15,0)</f>
        <v>46126</v>
      </c>
      <c r="M99" s="5">
        <f t="shared" si="2"/>
        <v>127.4</v>
      </c>
      <c r="N99" s="5">
        <f t="shared" si="3"/>
        <v>0</v>
      </c>
      <c r="O99" s="74"/>
    </row>
    <row r="100" spans="1:15" x14ac:dyDescent="0.3">
      <c r="A100" s="15" t="s">
        <v>18</v>
      </c>
      <c r="B100" s="5" t="s">
        <v>636</v>
      </c>
      <c r="C100" s="5" t="s">
        <v>637</v>
      </c>
      <c r="D100" s="5">
        <v>678</v>
      </c>
      <c r="E100" s="5"/>
      <c r="F100" s="5"/>
      <c r="G100" s="5" t="s">
        <v>38</v>
      </c>
      <c r="H100" s="5"/>
      <c r="I100" s="5" t="s">
        <v>234</v>
      </c>
      <c r="J100" s="95">
        <v>45766</v>
      </c>
      <c r="K100" s="95">
        <v>45861</v>
      </c>
      <c r="L100" s="95">
        <v>46225</v>
      </c>
      <c r="M100" s="5">
        <f t="shared" si="2"/>
        <v>678</v>
      </c>
      <c r="N100" s="5">
        <f t="shared" si="3"/>
        <v>0</v>
      </c>
      <c r="O100" s="74"/>
    </row>
    <row r="101" spans="1:15" x14ac:dyDescent="0.3">
      <c r="A101" s="15" t="s">
        <v>18</v>
      </c>
      <c r="B101" s="5" t="s">
        <v>636</v>
      </c>
      <c r="C101" s="5" t="s">
        <v>638</v>
      </c>
      <c r="D101" s="5">
        <v>1038</v>
      </c>
      <c r="E101" s="5"/>
      <c r="F101" s="5"/>
      <c r="G101" s="5" t="s">
        <v>38</v>
      </c>
      <c r="H101" s="5"/>
      <c r="I101" s="5" t="s">
        <v>234</v>
      </c>
      <c r="J101" s="94">
        <f>VLOOKUP(C101,'[2]2026.3'!$C$4:$Q$157,13,0)</f>
        <v>46008</v>
      </c>
      <c r="K101" s="94">
        <f>VLOOKUP(C101,'[2]2026.3'!$C$4:$Q$157,14,0)</f>
        <v>46023</v>
      </c>
      <c r="L101" s="94">
        <f>VLOOKUP(C101,'[2]2026.3'!$C$4:$Q$157,15,0)</f>
        <v>46387</v>
      </c>
      <c r="M101" s="5">
        <f t="shared" si="2"/>
        <v>1038</v>
      </c>
      <c r="N101" s="5">
        <f t="shared" si="3"/>
        <v>0</v>
      </c>
      <c r="O101" s="74"/>
    </row>
    <row r="102" spans="1:15" x14ac:dyDescent="0.3">
      <c r="A102" s="15" t="s">
        <v>18</v>
      </c>
      <c r="B102" s="5" t="s">
        <v>636</v>
      </c>
      <c r="C102" s="5" t="s">
        <v>639</v>
      </c>
      <c r="D102" s="5">
        <v>97</v>
      </c>
      <c r="E102" s="5"/>
      <c r="F102" s="5"/>
      <c r="G102" s="5" t="s">
        <v>38</v>
      </c>
      <c r="H102" s="5"/>
      <c r="I102" s="5" t="s">
        <v>234</v>
      </c>
      <c r="J102" s="94">
        <f>VLOOKUP(C102,'[2]2026.3'!$C$4:$Q$157,13,0)</f>
        <v>45866</v>
      </c>
      <c r="K102" s="94">
        <f>VLOOKUP(C102,'[2]2026.3'!$C$4:$Q$157,14,0)</f>
        <v>45901</v>
      </c>
      <c r="L102" s="94">
        <f>VLOOKUP(C102,'[2]2026.3'!$C$4:$Q$157,15,0)</f>
        <v>46265</v>
      </c>
      <c r="M102" s="5">
        <f t="shared" si="2"/>
        <v>97</v>
      </c>
      <c r="N102" s="5">
        <f t="shared" si="3"/>
        <v>0</v>
      </c>
      <c r="O102" s="74"/>
    </row>
    <row r="103" spans="1:15" x14ac:dyDescent="0.3">
      <c r="A103" s="15" t="s">
        <v>18</v>
      </c>
      <c r="B103" s="5" t="s">
        <v>636</v>
      </c>
      <c r="C103" s="5" t="s">
        <v>640</v>
      </c>
      <c r="D103" s="5">
        <v>84</v>
      </c>
      <c r="E103" s="5"/>
      <c r="F103" s="5"/>
      <c r="G103" s="5" t="s">
        <v>38</v>
      </c>
      <c r="H103" s="5"/>
      <c r="I103" s="5" t="s">
        <v>234</v>
      </c>
      <c r="J103" s="94">
        <f>VLOOKUP(C103,'[2]2026.3'!$C$4:$Q$157,13,0)</f>
        <v>45976</v>
      </c>
      <c r="K103" s="94">
        <f>VLOOKUP(C103,'[2]2026.3'!$C$4:$Q$157,14,0)</f>
        <v>45976</v>
      </c>
      <c r="L103" s="94">
        <f>VLOOKUP(C103,'[2]2026.3'!$C$4:$Q$157,15,0)</f>
        <v>46340</v>
      </c>
      <c r="M103" s="5">
        <f t="shared" si="2"/>
        <v>84</v>
      </c>
      <c r="N103" s="5">
        <f t="shared" si="3"/>
        <v>0</v>
      </c>
      <c r="O103" s="74"/>
    </row>
    <row r="104" spans="1:15" x14ac:dyDescent="0.3">
      <c r="A104" s="15" t="s">
        <v>18</v>
      </c>
      <c r="B104" s="5" t="s">
        <v>636</v>
      </c>
      <c r="C104" s="5" t="s">
        <v>641</v>
      </c>
      <c r="D104" s="5">
        <v>178</v>
      </c>
      <c r="E104" s="5"/>
      <c r="F104" s="5"/>
      <c r="G104" s="5" t="s">
        <v>38</v>
      </c>
      <c r="H104" s="5"/>
      <c r="I104" s="5" t="s">
        <v>234</v>
      </c>
      <c r="J104" s="94">
        <f>VLOOKUP(C104,'[2]2026.3'!$C$4:$Q$157,13,0)</f>
        <v>45765</v>
      </c>
      <c r="K104" s="94">
        <f>VLOOKUP(C104,'[2]2026.3'!$C$4:$Q$157,14,0)</f>
        <v>45814</v>
      </c>
      <c r="L104" s="94">
        <f>VLOOKUP(C104,'[2]2026.3'!$C$4:$Q$157,15,0)</f>
        <v>46178</v>
      </c>
      <c r="M104" s="5">
        <f t="shared" si="2"/>
        <v>178</v>
      </c>
      <c r="N104" s="5">
        <f t="shared" si="3"/>
        <v>0</v>
      </c>
      <c r="O104" s="74"/>
    </row>
    <row r="105" spans="1:15" x14ac:dyDescent="0.3">
      <c r="A105" s="15" t="s">
        <v>18</v>
      </c>
      <c r="B105" s="5" t="s">
        <v>636</v>
      </c>
      <c r="C105" s="5" t="s">
        <v>642</v>
      </c>
      <c r="D105" s="5">
        <v>81</v>
      </c>
      <c r="E105" s="5"/>
      <c r="F105" s="5"/>
      <c r="G105" s="5" t="s">
        <v>38</v>
      </c>
      <c r="H105" s="5"/>
      <c r="I105" s="5" t="s">
        <v>234</v>
      </c>
      <c r="J105" s="94">
        <f>VLOOKUP(C105,'[2]2026.3'!$C$4:$Q$157,13,0)</f>
        <v>45814</v>
      </c>
      <c r="K105" s="94">
        <f>VLOOKUP(C105,'[2]2026.3'!$C$4:$Q$157,14,0)</f>
        <v>45823</v>
      </c>
      <c r="L105" s="94">
        <f>VLOOKUP(C105,'[2]2026.3'!$C$4:$Q$157,15,0)</f>
        <v>46187</v>
      </c>
      <c r="M105" s="5">
        <f t="shared" si="2"/>
        <v>81</v>
      </c>
      <c r="N105" s="5">
        <f t="shared" si="3"/>
        <v>0</v>
      </c>
      <c r="O105" s="74"/>
    </row>
    <row r="106" spans="1:15" ht="19" customHeight="1" x14ac:dyDescent="0.3">
      <c r="A106" s="15" t="s">
        <v>18</v>
      </c>
      <c r="B106" s="5" t="s">
        <v>636</v>
      </c>
      <c r="C106" s="5" t="s">
        <v>643</v>
      </c>
      <c r="D106" s="5">
        <v>627</v>
      </c>
      <c r="E106" s="5"/>
      <c r="F106" s="5"/>
      <c r="G106" s="5" t="s">
        <v>38</v>
      </c>
      <c r="H106" s="5"/>
      <c r="I106" s="5" t="s">
        <v>234</v>
      </c>
      <c r="J106" s="94">
        <f>VLOOKUP(C106,'[2]2026.3'!$C$4:$Q$157,13,0)</f>
        <v>45766</v>
      </c>
      <c r="K106" s="94">
        <f>VLOOKUP(C106,'[2]2026.3'!$C$4:$Q$157,14,0)</f>
        <v>45860</v>
      </c>
      <c r="L106" s="94">
        <f>VLOOKUP(C106,'[2]2026.3'!$C$4:$Q$157,15,0)</f>
        <v>46224</v>
      </c>
      <c r="M106" s="5">
        <f t="shared" si="2"/>
        <v>627</v>
      </c>
      <c r="N106" s="5">
        <f t="shared" si="3"/>
        <v>0</v>
      </c>
      <c r="O106" s="74"/>
    </row>
    <row r="107" spans="1:15" x14ac:dyDescent="0.3">
      <c r="A107" s="15" t="s">
        <v>18</v>
      </c>
      <c r="B107" s="5" t="s">
        <v>636</v>
      </c>
      <c r="C107" s="5" t="s">
        <v>644</v>
      </c>
      <c r="D107" s="5">
        <v>134</v>
      </c>
      <c r="E107" s="5"/>
      <c r="F107" s="5"/>
      <c r="G107" s="5" t="s">
        <v>38</v>
      </c>
      <c r="H107" s="5"/>
      <c r="I107" s="5" t="s">
        <v>234</v>
      </c>
      <c r="J107" s="94">
        <v>46016</v>
      </c>
      <c r="K107" s="94">
        <f>VLOOKUP(C107,'[2]2026.3'!$C$4:$Q$157,14,0)</f>
        <v>46038</v>
      </c>
      <c r="L107" s="94">
        <f>VLOOKUP(C107,'[2]2026.3'!$C$4:$Q$157,15,0)</f>
        <v>46402</v>
      </c>
      <c r="M107" s="5">
        <f t="shared" si="2"/>
        <v>134</v>
      </c>
      <c r="N107" s="5">
        <f t="shared" si="3"/>
        <v>0</v>
      </c>
      <c r="O107" s="74"/>
    </row>
    <row r="108" spans="1:15" x14ac:dyDescent="0.3">
      <c r="A108" s="15" t="s">
        <v>18</v>
      </c>
      <c r="B108" s="5" t="s">
        <v>636</v>
      </c>
      <c r="C108" s="5" t="s">
        <v>645</v>
      </c>
      <c r="D108" s="5">
        <v>111</v>
      </c>
      <c r="E108" s="5"/>
      <c r="F108" s="5"/>
      <c r="G108" s="5" t="s">
        <v>38</v>
      </c>
      <c r="H108" s="5"/>
      <c r="I108" s="5" t="s">
        <v>646</v>
      </c>
      <c r="J108" s="94"/>
      <c r="K108" s="94"/>
      <c r="L108" s="94"/>
      <c r="M108" s="5">
        <f t="shared" si="2"/>
        <v>111</v>
      </c>
      <c r="N108" s="5">
        <f t="shared" si="3"/>
        <v>0</v>
      </c>
      <c r="O108" s="74"/>
    </row>
    <row r="109" spans="1:15" x14ac:dyDescent="0.3">
      <c r="A109" s="15" t="s">
        <v>18</v>
      </c>
      <c r="B109" s="5" t="s">
        <v>636</v>
      </c>
      <c r="C109" s="5" t="s">
        <v>647</v>
      </c>
      <c r="D109" s="5">
        <v>124</v>
      </c>
      <c r="E109" s="5"/>
      <c r="F109" s="5"/>
      <c r="G109" s="5" t="s">
        <v>74</v>
      </c>
      <c r="H109" s="5"/>
      <c r="I109" s="5"/>
      <c r="J109" s="94"/>
      <c r="K109" s="94"/>
      <c r="L109" s="94"/>
      <c r="M109" s="5">
        <f t="shared" si="2"/>
        <v>0</v>
      </c>
      <c r="N109" s="5">
        <f t="shared" si="3"/>
        <v>124</v>
      </c>
      <c r="O109" s="74"/>
    </row>
    <row r="110" spans="1:15" x14ac:dyDescent="0.3">
      <c r="A110" s="15" t="s">
        <v>18</v>
      </c>
      <c r="B110" s="5" t="s">
        <v>636</v>
      </c>
      <c r="C110" s="5" t="s">
        <v>648</v>
      </c>
      <c r="D110" s="5">
        <v>68</v>
      </c>
      <c r="E110" s="5"/>
      <c r="F110" s="5"/>
      <c r="G110" s="5" t="s">
        <v>38</v>
      </c>
      <c r="H110" s="5"/>
      <c r="I110" s="5" t="s">
        <v>234</v>
      </c>
      <c r="J110" s="94">
        <f>VLOOKUP(C110,'[2]2026.3'!$C$4:$Q$157,13,0)</f>
        <v>45972</v>
      </c>
      <c r="K110" s="94">
        <f>VLOOKUP(C110,'[2]2026.3'!$C$4:$Q$157,14,0)</f>
        <v>45976</v>
      </c>
      <c r="L110" s="94">
        <f>VLOOKUP(C110,'[2]2026.3'!$C$4:$Q$157,15,0)</f>
        <v>46340</v>
      </c>
      <c r="M110" s="5">
        <f t="shared" si="2"/>
        <v>68</v>
      </c>
      <c r="N110" s="5">
        <f t="shared" si="3"/>
        <v>0</v>
      </c>
      <c r="O110" s="74"/>
    </row>
    <row r="111" spans="1:15" x14ac:dyDescent="0.3">
      <c r="A111" s="15" t="s">
        <v>18</v>
      </c>
      <c r="B111" s="5" t="s">
        <v>636</v>
      </c>
      <c r="C111" s="5" t="s">
        <v>649</v>
      </c>
      <c r="D111" s="5">
        <v>73</v>
      </c>
      <c r="E111" s="5"/>
      <c r="F111" s="5"/>
      <c r="G111" s="5" t="s">
        <v>38</v>
      </c>
      <c r="H111" s="5"/>
      <c r="I111" s="5" t="s">
        <v>234</v>
      </c>
      <c r="J111" s="94">
        <f>VLOOKUP(C111,'[2]2026.3'!$C$4:$Q$157,13,0)</f>
        <v>45655</v>
      </c>
      <c r="K111" s="94">
        <f>VLOOKUP(C111,'[2]2026.3'!$C$4:$Q$157,14,0)</f>
        <v>0</v>
      </c>
      <c r="L111" s="94">
        <f>VLOOKUP(C111,'[2]2026.3'!$C$4:$Q$157,15,0)</f>
        <v>0</v>
      </c>
      <c r="M111" s="5">
        <f t="shared" si="2"/>
        <v>73</v>
      </c>
      <c r="N111" s="5">
        <f t="shared" si="3"/>
        <v>0</v>
      </c>
      <c r="O111" s="74"/>
    </row>
    <row r="112" spans="1:15" x14ac:dyDescent="0.3">
      <c r="A112" s="15" t="s">
        <v>18</v>
      </c>
      <c r="B112" s="5" t="s">
        <v>650</v>
      </c>
      <c r="C112" s="5" t="s">
        <v>651</v>
      </c>
      <c r="D112" s="5">
        <v>469.43</v>
      </c>
      <c r="E112" s="5"/>
      <c r="F112" s="5"/>
      <c r="G112" s="5" t="s">
        <v>38</v>
      </c>
      <c r="H112" s="5"/>
      <c r="I112" s="5" t="s">
        <v>234</v>
      </c>
      <c r="J112" s="94">
        <f>VLOOKUP(C112,'[2]2026.3'!$C$4:$Q$157,13,0)</f>
        <v>45916</v>
      </c>
      <c r="K112" s="94">
        <f>VLOOKUP(C112,'[2]2026.3'!$C$4:$Q$157,14,0)</f>
        <v>45916</v>
      </c>
      <c r="L112" s="94">
        <f>VLOOKUP(C112,'[2]2026.3'!$C$4:$Q$157,15,0)</f>
        <v>47011</v>
      </c>
      <c r="M112" s="5">
        <f t="shared" si="2"/>
        <v>469.43</v>
      </c>
      <c r="N112" s="5">
        <f t="shared" si="3"/>
        <v>0</v>
      </c>
      <c r="O112" s="74"/>
    </row>
    <row r="113" spans="1:15" x14ac:dyDescent="0.3">
      <c r="A113" s="15" t="s">
        <v>18</v>
      </c>
      <c r="B113" s="5" t="s">
        <v>650</v>
      </c>
      <c r="C113" s="5" t="s">
        <v>652</v>
      </c>
      <c r="D113" s="5">
        <v>100</v>
      </c>
      <c r="E113" s="5"/>
      <c r="F113" s="5"/>
      <c r="G113" s="5" t="s">
        <v>38</v>
      </c>
      <c r="H113" s="5"/>
      <c r="I113" s="5" t="s">
        <v>234</v>
      </c>
      <c r="J113" s="94">
        <f>VLOOKUP(C113,'[2]2026.3'!$C$4:$Q$157,13,0)</f>
        <v>45768</v>
      </c>
      <c r="K113" s="94">
        <f>VLOOKUP(C113,'[2]2026.3'!$C$4:$Q$157,14,0)</f>
        <v>45768</v>
      </c>
      <c r="L113" s="94">
        <f>VLOOKUP(C113,'[2]2026.3'!$C$4:$Q$157,15,0)</f>
        <v>46109</v>
      </c>
      <c r="M113" s="5">
        <f t="shared" si="2"/>
        <v>100</v>
      </c>
      <c r="N113" s="5">
        <f t="shared" si="3"/>
        <v>0</v>
      </c>
      <c r="O113" s="74"/>
    </row>
    <row r="114" spans="1:15" x14ac:dyDescent="0.3">
      <c r="A114" s="15" t="s">
        <v>18</v>
      </c>
      <c r="B114" s="5" t="s">
        <v>650</v>
      </c>
      <c r="C114" s="5" t="s">
        <v>653</v>
      </c>
      <c r="D114" s="5">
        <v>110</v>
      </c>
      <c r="E114" s="5"/>
      <c r="F114" s="5"/>
      <c r="G114" s="5" t="s">
        <v>38</v>
      </c>
      <c r="H114" s="5"/>
      <c r="I114" s="5" t="s">
        <v>234</v>
      </c>
      <c r="J114" s="94">
        <v>45986</v>
      </c>
      <c r="K114" s="94">
        <f>VLOOKUP(C114,'[2]2026.3'!$C$4:$Q$157,14,0)</f>
        <v>45986</v>
      </c>
      <c r="L114" s="94">
        <f>VLOOKUP(C114,'[2]2026.3'!$C$4:$Q$157,15,0)</f>
        <v>46474</v>
      </c>
      <c r="M114" s="5">
        <f t="shared" si="2"/>
        <v>110</v>
      </c>
      <c r="N114" s="5">
        <f t="shared" si="3"/>
        <v>0</v>
      </c>
      <c r="O114" s="74"/>
    </row>
    <row r="115" spans="1:15" x14ac:dyDescent="0.3">
      <c r="A115" s="15" t="s">
        <v>18</v>
      </c>
      <c r="B115" s="5" t="s">
        <v>650</v>
      </c>
      <c r="C115" s="5" t="s">
        <v>654</v>
      </c>
      <c r="D115" s="5">
        <v>100</v>
      </c>
      <c r="E115" s="5"/>
      <c r="F115" s="5"/>
      <c r="G115" s="5" t="s">
        <v>38</v>
      </c>
      <c r="H115" s="5"/>
      <c r="I115" s="5" t="s">
        <v>234</v>
      </c>
      <c r="J115" s="94">
        <f>VLOOKUP(C115,'[2]2026.3'!$C$4:$Q$157,13,0)</f>
        <v>45529</v>
      </c>
      <c r="K115" s="94">
        <f>VLOOKUP(C115,'[2]2026.3'!$C$4:$Q$157,14,0)</f>
        <v>0</v>
      </c>
      <c r="L115" s="94">
        <f>VLOOKUP(C115,'[2]2026.3'!$C$4:$Q$157,15,0)</f>
        <v>0</v>
      </c>
      <c r="M115" s="5">
        <f t="shared" si="2"/>
        <v>100</v>
      </c>
      <c r="N115" s="5">
        <f t="shared" si="3"/>
        <v>0</v>
      </c>
      <c r="O115" s="74"/>
    </row>
    <row r="116" spans="1:15" x14ac:dyDescent="0.3">
      <c r="A116" s="15" t="s">
        <v>18</v>
      </c>
      <c r="B116" s="5" t="s">
        <v>650</v>
      </c>
      <c r="C116" s="5" t="s">
        <v>655</v>
      </c>
      <c r="D116" s="5">
        <v>140</v>
      </c>
      <c r="E116" s="5"/>
      <c r="F116" s="5"/>
      <c r="G116" s="5" t="s">
        <v>38</v>
      </c>
      <c r="H116" s="5"/>
      <c r="I116" s="5" t="s">
        <v>234</v>
      </c>
      <c r="J116" s="94">
        <f>VLOOKUP(C116,'[2]2026.3'!$C$4:$Q$157,13,0)</f>
        <v>45706</v>
      </c>
      <c r="K116" s="94">
        <f>VLOOKUP(C116,'[2]2026.3'!$C$4:$Q$157,14,0)</f>
        <v>45736</v>
      </c>
      <c r="L116" s="94">
        <f>VLOOKUP(C116,'[2]2026.3'!$C$4:$Q$157,15,0)</f>
        <v>46100</v>
      </c>
      <c r="M116" s="5">
        <f t="shared" si="2"/>
        <v>140</v>
      </c>
      <c r="N116" s="5">
        <f t="shared" si="3"/>
        <v>0</v>
      </c>
      <c r="O116" s="74"/>
    </row>
    <row r="117" spans="1:15" x14ac:dyDescent="0.3">
      <c r="A117" s="15" t="s">
        <v>18</v>
      </c>
      <c r="B117" s="5" t="s">
        <v>650</v>
      </c>
      <c r="C117" s="5" t="s">
        <v>656</v>
      </c>
      <c r="D117" s="5">
        <v>120</v>
      </c>
      <c r="E117" s="5"/>
      <c r="F117" s="5"/>
      <c r="G117" s="5" t="s">
        <v>38</v>
      </c>
      <c r="H117" s="5"/>
      <c r="I117" s="5" t="s">
        <v>234</v>
      </c>
      <c r="J117" s="94">
        <f>VLOOKUP(C117,'[2]2026.3'!$C$4:$Q$157,13,0)</f>
        <v>45561</v>
      </c>
      <c r="K117" s="94">
        <f>VLOOKUP(C117,'[2]2026.3'!$C$4:$Q$157,14,0)</f>
        <v>45931</v>
      </c>
      <c r="L117" s="94">
        <f>VLOOKUP(C117,'[2]2026.3'!$C$4:$Q$157,15,0)</f>
        <v>46295</v>
      </c>
      <c r="M117" s="5">
        <f t="shared" si="2"/>
        <v>120</v>
      </c>
      <c r="N117" s="5">
        <f t="shared" si="3"/>
        <v>0</v>
      </c>
      <c r="O117" s="74"/>
    </row>
    <row r="118" spans="1:15" x14ac:dyDescent="0.3">
      <c r="A118" s="15" t="s">
        <v>18</v>
      </c>
      <c r="B118" s="5" t="s">
        <v>650</v>
      </c>
      <c r="C118" s="5" t="s">
        <v>657</v>
      </c>
      <c r="D118" s="5">
        <v>90</v>
      </c>
      <c r="E118" s="5"/>
      <c r="F118" s="5"/>
      <c r="G118" s="5" t="s">
        <v>38</v>
      </c>
      <c r="H118" s="5"/>
      <c r="I118" s="5" t="s">
        <v>234</v>
      </c>
      <c r="J118" s="94">
        <f>VLOOKUP(C118,'[2]2026.3'!$C$4:$Q$157,13,0)</f>
        <v>45709</v>
      </c>
      <c r="K118" s="94">
        <f>VLOOKUP(C118,'[2]2026.3'!$C$4:$Q$157,14,0)</f>
        <v>45745</v>
      </c>
      <c r="L118" s="94">
        <f>VLOOKUP(C118,'[2]2026.3'!$C$4:$Q$157,15,0)</f>
        <v>46109</v>
      </c>
      <c r="M118" s="5">
        <f t="shared" si="2"/>
        <v>90</v>
      </c>
      <c r="N118" s="5">
        <f t="shared" si="3"/>
        <v>0</v>
      </c>
      <c r="O118" s="74"/>
    </row>
    <row r="119" spans="1:15" x14ac:dyDescent="0.3">
      <c r="A119" s="15" t="s">
        <v>18</v>
      </c>
      <c r="B119" s="5" t="s">
        <v>650</v>
      </c>
      <c r="C119" s="5" t="s">
        <v>658</v>
      </c>
      <c r="D119" s="5">
        <v>110</v>
      </c>
      <c r="E119" s="5"/>
      <c r="F119" s="5"/>
      <c r="G119" s="5" t="s">
        <v>38</v>
      </c>
      <c r="H119" s="5"/>
      <c r="I119" s="5" t="s">
        <v>234</v>
      </c>
      <c r="J119" s="94">
        <f>VLOOKUP(C119,'[2]2026.3'!$C$4:$Q$157,13,0)</f>
        <v>45962</v>
      </c>
      <c r="K119" s="94">
        <f>VLOOKUP(C119,'[2]2026.3'!$C$4:$Q$157,14,0)</f>
        <v>0</v>
      </c>
      <c r="L119" s="94">
        <f>VLOOKUP(C119,'[2]2026.3'!$C$4:$Q$157,15,0)</f>
        <v>0</v>
      </c>
      <c r="M119" s="5">
        <f t="shared" si="2"/>
        <v>110</v>
      </c>
      <c r="N119" s="5">
        <f t="shared" si="3"/>
        <v>0</v>
      </c>
      <c r="O119" s="74"/>
    </row>
    <row r="120" spans="1:15" x14ac:dyDescent="0.3">
      <c r="A120" s="15" t="s">
        <v>18</v>
      </c>
      <c r="B120" s="5" t="s">
        <v>650</v>
      </c>
      <c r="C120" s="5" t="s">
        <v>659</v>
      </c>
      <c r="D120" s="5">
        <v>110</v>
      </c>
      <c r="E120" s="5"/>
      <c r="F120" s="5"/>
      <c r="G120" s="5" t="s">
        <v>38</v>
      </c>
      <c r="H120" s="5"/>
      <c r="I120" s="5" t="s">
        <v>234</v>
      </c>
      <c r="J120" s="94">
        <v>45992</v>
      </c>
      <c r="K120" s="94">
        <f>VLOOKUP(C120,'[2]2026.3'!$C$4:$Q$157,14,0)</f>
        <v>45992</v>
      </c>
      <c r="L120" s="94">
        <f>VLOOKUP(C120,'[2]2026.3'!$C$4:$Q$157,15,0)</f>
        <v>46270</v>
      </c>
      <c r="M120" s="5">
        <f t="shared" si="2"/>
        <v>110</v>
      </c>
      <c r="N120" s="5">
        <f t="shared" si="3"/>
        <v>0</v>
      </c>
      <c r="O120" s="74"/>
    </row>
    <row r="121" spans="1:15" x14ac:dyDescent="0.3">
      <c r="A121" s="15" t="s">
        <v>18</v>
      </c>
      <c r="B121" s="5" t="s">
        <v>650</v>
      </c>
      <c r="C121" s="5" t="s">
        <v>660</v>
      </c>
      <c r="D121" s="5">
        <v>167</v>
      </c>
      <c r="E121" s="5"/>
      <c r="F121" s="5"/>
      <c r="G121" s="5" t="s">
        <v>38</v>
      </c>
      <c r="H121" s="5"/>
      <c r="I121" s="5" t="s">
        <v>234</v>
      </c>
      <c r="J121" s="94">
        <v>45981</v>
      </c>
      <c r="K121" s="94">
        <f>VLOOKUP(C121,'[2]2026.3'!$C$4:$Q$157,14,0)</f>
        <v>45981</v>
      </c>
      <c r="L121" s="94">
        <f>VLOOKUP(C121,'[2]2026.3'!$C$4:$Q$157,15,0)</f>
        <v>46342</v>
      </c>
      <c r="M121" s="5">
        <f t="shared" si="2"/>
        <v>167</v>
      </c>
      <c r="N121" s="5">
        <f t="shared" si="3"/>
        <v>0</v>
      </c>
      <c r="O121" s="74"/>
    </row>
    <row r="122" spans="1:15" x14ac:dyDescent="0.3">
      <c r="A122" s="15" t="s">
        <v>18</v>
      </c>
      <c r="B122" s="5" t="s">
        <v>650</v>
      </c>
      <c r="C122" s="5" t="s">
        <v>661</v>
      </c>
      <c r="D122" s="5">
        <v>277</v>
      </c>
      <c r="E122" s="5"/>
      <c r="F122" s="5"/>
      <c r="G122" s="5" t="s">
        <v>74</v>
      </c>
      <c r="H122" s="5"/>
      <c r="I122" s="5"/>
      <c r="J122" s="94"/>
      <c r="K122" s="94"/>
      <c r="L122" s="94"/>
      <c r="M122" s="5">
        <f t="shared" si="2"/>
        <v>0</v>
      </c>
      <c r="N122" s="5">
        <f t="shared" si="3"/>
        <v>277</v>
      </c>
      <c r="O122" s="74"/>
    </row>
    <row r="123" spans="1:15" x14ac:dyDescent="0.3">
      <c r="A123" s="15" t="s">
        <v>18</v>
      </c>
      <c r="B123" s="5" t="s">
        <v>650</v>
      </c>
      <c r="C123" s="5" t="s">
        <v>662</v>
      </c>
      <c r="D123" s="5">
        <v>90</v>
      </c>
      <c r="E123" s="5"/>
      <c r="F123" s="5"/>
      <c r="G123" s="5" t="s">
        <v>74</v>
      </c>
      <c r="H123" s="5"/>
      <c r="I123" s="5"/>
      <c r="J123" s="94"/>
      <c r="K123" s="94"/>
      <c r="L123" s="94"/>
      <c r="M123" s="5">
        <f t="shared" si="2"/>
        <v>0</v>
      </c>
      <c r="N123" s="5">
        <f t="shared" si="3"/>
        <v>90</v>
      </c>
      <c r="O123" s="74"/>
    </row>
    <row r="124" spans="1:15" x14ac:dyDescent="0.3">
      <c r="A124" s="15" t="s">
        <v>18</v>
      </c>
      <c r="B124" s="5" t="s">
        <v>650</v>
      </c>
      <c r="C124" s="5" t="s">
        <v>663</v>
      </c>
      <c r="D124" s="5">
        <v>80</v>
      </c>
      <c r="E124" s="5"/>
      <c r="F124" s="5"/>
      <c r="G124" s="5" t="s">
        <v>74</v>
      </c>
      <c r="H124" s="5"/>
      <c r="I124" s="5"/>
      <c r="J124" s="94"/>
      <c r="K124" s="94"/>
      <c r="L124" s="94"/>
      <c r="M124" s="5">
        <f t="shared" si="2"/>
        <v>0</v>
      </c>
      <c r="N124" s="5">
        <f t="shared" si="3"/>
        <v>80</v>
      </c>
      <c r="O124" s="74"/>
    </row>
    <row r="125" spans="1:15" x14ac:dyDescent="0.3">
      <c r="A125" s="15" t="s">
        <v>18</v>
      </c>
      <c r="B125" s="5" t="s">
        <v>650</v>
      </c>
      <c r="C125" s="5" t="s">
        <v>664</v>
      </c>
      <c r="D125" s="5">
        <v>89.21</v>
      </c>
      <c r="E125" s="5"/>
      <c r="F125" s="5"/>
      <c r="G125" s="5" t="s">
        <v>38</v>
      </c>
      <c r="H125" s="5"/>
      <c r="I125" s="5" t="s">
        <v>234</v>
      </c>
      <c r="J125" s="94">
        <f>VLOOKUP(C125,'[2]2026.3'!$C$4:$Q$157,13,0)</f>
        <v>45901</v>
      </c>
      <c r="K125" s="94">
        <f>VLOOKUP(C125,'[2]2026.3'!$C$4:$Q$157,14,0)</f>
        <v>45901</v>
      </c>
      <c r="L125" s="94">
        <f>VLOOKUP(C125,'[2]2026.3'!$C$4:$Q$157,15,0)</f>
        <v>46265</v>
      </c>
      <c r="M125" s="5">
        <f t="shared" si="2"/>
        <v>89.21</v>
      </c>
      <c r="N125" s="5">
        <f t="shared" si="3"/>
        <v>0</v>
      </c>
      <c r="O125" s="74"/>
    </row>
    <row r="126" spans="1:15" x14ac:dyDescent="0.3">
      <c r="A126" s="15" t="s">
        <v>18</v>
      </c>
      <c r="B126" s="5" t="s">
        <v>650</v>
      </c>
      <c r="C126" s="5" t="s">
        <v>665</v>
      </c>
      <c r="D126" s="5">
        <v>295</v>
      </c>
      <c r="E126" s="5"/>
      <c r="F126" s="5"/>
      <c r="G126" s="5" t="s">
        <v>38</v>
      </c>
      <c r="H126" s="5"/>
      <c r="I126" s="5" t="s">
        <v>234</v>
      </c>
      <c r="J126" s="94">
        <f>VLOOKUP(C126,'[2]2026.3'!$C$4:$Q$157,13,0)</f>
        <v>45741</v>
      </c>
      <c r="K126" s="94">
        <f>VLOOKUP(C126,'[2]2026.3'!$C$4:$Q$157,14,0)</f>
        <v>45748</v>
      </c>
      <c r="L126" s="94">
        <f>VLOOKUP(C126,'[2]2026.3'!$C$4:$Q$157,15,0)</f>
        <v>46112</v>
      </c>
      <c r="M126" s="5">
        <f t="shared" si="2"/>
        <v>295</v>
      </c>
      <c r="N126" s="5">
        <f t="shared" si="3"/>
        <v>0</v>
      </c>
      <c r="O126" s="74"/>
    </row>
    <row r="127" spans="1:15" x14ac:dyDescent="0.3">
      <c r="A127" s="15" t="s">
        <v>18</v>
      </c>
      <c r="B127" s="5" t="s">
        <v>650</v>
      </c>
      <c r="C127" s="5" t="s">
        <v>666</v>
      </c>
      <c r="D127" s="5">
        <v>275.10000000000002</v>
      </c>
      <c r="E127" s="5"/>
      <c r="F127" s="5"/>
      <c r="G127" s="5" t="s">
        <v>38</v>
      </c>
      <c r="H127" s="5"/>
      <c r="I127" s="5" t="s">
        <v>234</v>
      </c>
      <c r="J127" s="94">
        <f>VLOOKUP(C127,'[2]2026.3'!$C$4:$Q$157,13,0)</f>
        <v>45797</v>
      </c>
      <c r="K127" s="94">
        <f>VLOOKUP(C127,'[2]2026.3'!$C$4:$Q$157,14,0)</f>
        <v>45809</v>
      </c>
      <c r="L127" s="94">
        <f>VLOOKUP(C127,'[2]2026.3'!$C$4:$Q$157,15,0)</f>
        <v>46173</v>
      </c>
      <c r="M127" s="5">
        <f t="shared" si="2"/>
        <v>275.10000000000002</v>
      </c>
      <c r="N127" s="5">
        <f t="shared" si="3"/>
        <v>0</v>
      </c>
      <c r="O127" s="74"/>
    </row>
    <row r="128" spans="1:15" x14ac:dyDescent="0.3">
      <c r="A128" s="15" t="s">
        <v>18</v>
      </c>
      <c r="B128" s="5" t="s">
        <v>650</v>
      </c>
      <c r="C128" s="5" t="s">
        <v>667</v>
      </c>
      <c r="D128" s="5">
        <v>72</v>
      </c>
      <c r="E128" s="5"/>
      <c r="F128" s="5"/>
      <c r="G128" s="5" t="s">
        <v>38</v>
      </c>
      <c r="H128" s="5"/>
      <c r="I128" s="5" t="s">
        <v>234</v>
      </c>
      <c r="J128" s="94">
        <f>VLOOKUP(C128,'[2]2026.3'!$C$4:$Q$157,13,0)</f>
        <v>45734</v>
      </c>
      <c r="K128" s="94">
        <f>VLOOKUP(C128,'[2]2026.3'!$C$4:$Q$157,14,0)</f>
        <v>0</v>
      </c>
      <c r="L128" s="94">
        <f>VLOOKUP(C128,'[2]2026.3'!$C$4:$Q$157,15,0)</f>
        <v>0</v>
      </c>
      <c r="M128" s="5">
        <f t="shared" si="2"/>
        <v>72</v>
      </c>
      <c r="N128" s="5">
        <f t="shared" si="3"/>
        <v>0</v>
      </c>
      <c r="O128" s="74"/>
    </row>
    <row r="129" spans="1:15" x14ac:dyDescent="0.3">
      <c r="A129" s="15" t="s">
        <v>18</v>
      </c>
      <c r="B129" s="5" t="s">
        <v>650</v>
      </c>
      <c r="C129" s="5" t="s">
        <v>668</v>
      </c>
      <c r="D129" s="5">
        <v>134</v>
      </c>
      <c r="E129" s="5"/>
      <c r="F129" s="5"/>
      <c r="G129" s="5" t="s">
        <v>38</v>
      </c>
      <c r="H129" s="5"/>
      <c r="I129" s="5" t="s">
        <v>234</v>
      </c>
      <c r="J129" s="94">
        <f>VLOOKUP(C129,'[2]2026.3'!$C$4:$Q$157,13,0)</f>
        <v>45707</v>
      </c>
      <c r="K129" s="94">
        <f>VLOOKUP(C129,'[2]2026.3'!$C$4:$Q$157,14,0)</f>
        <v>45735</v>
      </c>
      <c r="L129" s="94">
        <f>VLOOKUP(C129,'[2]2026.3'!$C$4:$Q$157,15,0)</f>
        <v>46099</v>
      </c>
      <c r="M129" s="5">
        <f t="shared" si="2"/>
        <v>134</v>
      </c>
      <c r="N129" s="5">
        <f t="shared" si="3"/>
        <v>0</v>
      </c>
      <c r="O129" s="74"/>
    </row>
    <row r="130" spans="1:15" x14ac:dyDescent="0.3">
      <c r="A130" s="15" t="s">
        <v>18</v>
      </c>
      <c r="B130" s="5" t="s">
        <v>650</v>
      </c>
      <c r="C130" s="5" t="s">
        <v>669</v>
      </c>
      <c r="D130" s="5">
        <v>190</v>
      </c>
      <c r="E130" s="5"/>
      <c r="F130" s="5"/>
      <c r="G130" s="5" t="s">
        <v>38</v>
      </c>
      <c r="H130" s="5"/>
      <c r="I130" s="5" t="s">
        <v>234</v>
      </c>
      <c r="J130" s="94">
        <f>VLOOKUP(C130,'[2]2026.3'!$C$4:$Q$157,13,0)</f>
        <v>45765</v>
      </c>
      <c r="K130" s="94">
        <f>VLOOKUP(C130,'[2]2026.3'!$C$4:$Q$157,14,0)</f>
        <v>45774</v>
      </c>
      <c r="L130" s="94">
        <f>VLOOKUP(C130,'[2]2026.3'!$C$4:$Q$157,15,0)</f>
        <v>46138</v>
      </c>
      <c r="M130" s="5">
        <f t="shared" ref="M130:M144" si="4">IF(G130="已租",D130,0)</f>
        <v>190</v>
      </c>
      <c r="N130" s="5">
        <f t="shared" ref="N130:N144" si="5">IF(G130="未出租",D130,0)</f>
        <v>0</v>
      </c>
      <c r="O130" s="74"/>
    </row>
    <row r="131" spans="1:15" x14ac:dyDescent="0.3">
      <c r="A131" s="15" t="s">
        <v>18</v>
      </c>
      <c r="B131" s="5" t="s">
        <v>650</v>
      </c>
      <c r="C131" s="5" t="s">
        <v>670</v>
      </c>
      <c r="D131" s="5">
        <v>68</v>
      </c>
      <c r="E131" s="5"/>
      <c r="F131" s="5"/>
      <c r="G131" s="5" t="s">
        <v>74</v>
      </c>
      <c r="H131" s="5"/>
      <c r="I131" s="5"/>
      <c r="J131" s="94"/>
      <c r="K131" s="94"/>
      <c r="L131" s="94"/>
      <c r="M131" s="5">
        <f t="shared" si="4"/>
        <v>0</v>
      </c>
      <c r="N131" s="5">
        <f t="shared" si="5"/>
        <v>68</v>
      </c>
      <c r="O131" s="74"/>
    </row>
    <row r="132" spans="1:15" x14ac:dyDescent="0.3">
      <c r="A132" s="15" t="s">
        <v>18</v>
      </c>
      <c r="B132" s="5" t="s">
        <v>650</v>
      </c>
      <c r="C132" s="5" t="s">
        <v>671</v>
      </c>
      <c r="D132" s="5">
        <v>73</v>
      </c>
      <c r="E132" s="5"/>
      <c r="F132" s="5"/>
      <c r="G132" s="5" t="s">
        <v>38</v>
      </c>
      <c r="H132" s="5"/>
      <c r="I132" s="5" t="s">
        <v>234</v>
      </c>
      <c r="J132" s="94">
        <f>VLOOKUP(C132,'[2]2026.3'!$C$4:$Q$157,13,0)</f>
        <v>45890</v>
      </c>
      <c r="K132" s="94">
        <f>VLOOKUP(C132,'[2]2026.3'!$C$4:$Q$157,14,0)</f>
        <v>45925</v>
      </c>
      <c r="L132" s="94">
        <f>VLOOKUP(C132,'[2]2026.3'!$C$4:$Q$157,15,0)</f>
        <v>46289</v>
      </c>
      <c r="M132" s="5">
        <f t="shared" si="4"/>
        <v>73</v>
      </c>
      <c r="N132" s="5">
        <f t="shared" si="5"/>
        <v>0</v>
      </c>
      <c r="O132" s="74"/>
    </row>
    <row r="133" spans="1:15" x14ac:dyDescent="0.3">
      <c r="A133" s="15" t="s">
        <v>18</v>
      </c>
      <c r="B133" s="5" t="s">
        <v>650</v>
      </c>
      <c r="C133" s="5" t="s">
        <v>672</v>
      </c>
      <c r="D133" s="5">
        <v>185</v>
      </c>
      <c r="E133" s="5"/>
      <c r="F133" s="5"/>
      <c r="G133" s="5" t="s">
        <v>38</v>
      </c>
      <c r="H133" s="5"/>
      <c r="I133" s="5" t="s">
        <v>234</v>
      </c>
      <c r="J133" s="94">
        <f>VLOOKUP(C133,'[2]2026.3'!$C$4:$Q$157,13,0)</f>
        <v>45809</v>
      </c>
      <c r="K133" s="94">
        <f>VLOOKUP(C133,'[2]2026.3'!$C$4:$Q$157,14,0)</f>
        <v>45858</v>
      </c>
      <c r="L133" s="94">
        <f>VLOOKUP(C133,'[2]2026.3'!$C$4:$Q$157,15,0)</f>
        <v>46222</v>
      </c>
      <c r="M133" s="5">
        <f t="shared" si="4"/>
        <v>185</v>
      </c>
      <c r="N133" s="5">
        <f t="shared" si="5"/>
        <v>0</v>
      </c>
      <c r="O133" s="74"/>
    </row>
    <row r="134" spans="1:15" x14ac:dyDescent="0.3">
      <c r="A134" s="15" t="s">
        <v>18</v>
      </c>
      <c r="B134" s="5" t="s">
        <v>650</v>
      </c>
      <c r="C134" s="5" t="s">
        <v>673</v>
      </c>
      <c r="D134" s="5">
        <v>183</v>
      </c>
      <c r="E134" s="5"/>
      <c r="F134" s="5"/>
      <c r="G134" s="5" t="s">
        <v>38</v>
      </c>
      <c r="H134" s="5"/>
      <c r="I134" s="5" t="s">
        <v>234</v>
      </c>
      <c r="J134" s="94">
        <f>VLOOKUP(C134,'[2]2026.3'!$C$4:$Q$157,13,0)</f>
        <v>45774</v>
      </c>
      <c r="K134" s="94">
        <f>VLOOKUP(C134,'[2]2026.3'!$C$4:$Q$157,14,0)</f>
        <v>45877</v>
      </c>
      <c r="L134" s="94">
        <f>VLOOKUP(C134,'[2]2026.3'!$C$4:$Q$157,15,0)</f>
        <v>46241</v>
      </c>
      <c r="M134" s="5">
        <f t="shared" si="4"/>
        <v>183</v>
      </c>
      <c r="N134" s="5">
        <f t="shared" si="5"/>
        <v>0</v>
      </c>
      <c r="O134" s="74"/>
    </row>
    <row r="135" spans="1:15" x14ac:dyDescent="0.3">
      <c r="A135" s="15" t="s">
        <v>18</v>
      </c>
      <c r="B135" s="5" t="s">
        <v>650</v>
      </c>
      <c r="C135" s="5" t="s">
        <v>674</v>
      </c>
      <c r="D135" s="5">
        <v>234</v>
      </c>
      <c r="E135" s="5"/>
      <c r="F135" s="5"/>
      <c r="G135" s="5" t="s">
        <v>38</v>
      </c>
      <c r="H135" s="5"/>
      <c r="I135" s="5" t="s">
        <v>234</v>
      </c>
      <c r="J135" s="94">
        <f>VLOOKUP(C135,'[2]2026.3'!$C$4:$Q$157,13,0)</f>
        <v>45798</v>
      </c>
      <c r="K135" s="94">
        <f>VLOOKUP(C135,'[2]2026.3'!$C$4:$Q$157,14,0)</f>
        <v>45814</v>
      </c>
      <c r="L135" s="94">
        <f>VLOOKUP(C135,'[2]2026.3'!$C$4:$Q$157,15,0)</f>
        <v>46178</v>
      </c>
      <c r="M135" s="5">
        <f t="shared" si="4"/>
        <v>234</v>
      </c>
      <c r="N135" s="5">
        <f t="shared" si="5"/>
        <v>0</v>
      </c>
      <c r="O135" s="74"/>
    </row>
    <row r="136" spans="1:15" x14ac:dyDescent="0.3">
      <c r="A136" s="15" t="s">
        <v>18</v>
      </c>
      <c r="B136" s="5" t="s">
        <v>675</v>
      </c>
      <c r="C136" s="5" t="s">
        <v>676</v>
      </c>
      <c r="D136" s="5">
        <v>514.65</v>
      </c>
      <c r="E136" s="5"/>
      <c r="F136" s="5"/>
      <c r="G136" s="5" t="s">
        <v>38</v>
      </c>
      <c r="H136" s="5"/>
      <c r="I136" s="5" t="s">
        <v>234</v>
      </c>
      <c r="J136" s="94">
        <f>VLOOKUP(C136,'[2]2026.3'!$C$4:$Q$157,13,0)</f>
        <v>45816</v>
      </c>
      <c r="K136" s="94">
        <f>VLOOKUP(C136,'[2]2026.3'!$C$4:$Q$157,14,0)</f>
        <v>45816</v>
      </c>
      <c r="L136" s="94">
        <f>VLOOKUP(C136,'[2]2026.3'!$C$4:$Q$157,15,0)</f>
        <v>46180</v>
      </c>
      <c r="M136" s="5">
        <f t="shared" si="4"/>
        <v>514.65</v>
      </c>
      <c r="N136" s="5">
        <f t="shared" si="5"/>
        <v>0</v>
      </c>
      <c r="O136" s="74"/>
    </row>
    <row r="137" spans="1:15" x14ac:dyDescent="0.3">
      <c r="A137" s="15" t="s">
        <v>18</v>
      </c>
      <c r="B137" s="5" t="s">
        <v>675</v>
      </c>
      <c r="C137" s="5" t="s">
        <v>677</v>
      </c>
      <c r="D137" s="5">
        <v>330.69</v>
      </c>
      <c r="E137" s="5"/>
      <c r="F137" s="5"/>
      <c r="G137" s="5" t="s">
        <v>38</v>
      </c>
      <c r="H137" s="5"/>
      <c r="I137" s="5" t="s">
        <v>234</v>
      </c>
      <c r="J137" s="94">
        <f>VLOOKUP(C137,'[2]2026.3'!$C$4:$Q$157,13,0)</f>
        <v>45968</v>
      </c>
      <c r="K137" s="94">
        <f>VLOOKUP(C137,'[2]2026.3'!$C$4:$Q$157,14,0)</f>
        <v>45889</v>
      </c>
      <c r="L137" s="94">
        <f>VLOOKUP(C137,'[2]2026.3'!$C$4:$Q$157,15,0)</f>
        <v>46081</v>
      </c>
      <c r="M137" s="5">
        <f t="shared" si="4"/>
        <v>330.69</v>
      </c>
      <c r="N137" s="5">
        <f t="shared" si="5"/>
        <v>0</v>
      </c>
      <c r="O137" s="74"/>
    </row>
    <row r="138" spans="1:15" x14ac:dyDescent="0.3">
      <c r="A138" s="15" t="s">
        <v>18</v>
      </c>
      <c r="B138" s="5" t="s">
        <v>675</v>
      </c>
      <c r="C138" s="5" t="s">
        <v>678</v>
      </c>
      <c r="D138" s="5">
        <v>199.48</v>
      </c>
      <c r="E138" s="5"/>
      <c r="F138" s="5"/>
      <c r="G138" s="5" t="s">
        <v>38</v>
      </c>
      <c r="H138" s="5"/>
      <c r="I138" s="5" t="s">
        <v>234</v>
      </c>
      <c r="J138" s="94">
        <f>VLOOKUP(C138,'[2]2026.3'!$C$4:$Q$157,13,0)</f>
        <v>45877</v>
      </c>
      <c r="K138" s="94">
        <f>VLOOKUP(C138,'[2]2026.3'!$C$4:$Q$157,14,0)</f>
        <v>45874</v>
      </c>
      <c r="L138" s="94">
        <f>VLOOKUP(C138,'[2]2026.3'!$C$4:$Q$157,15,0)</f>
        <v>46238</v>
      </c>
      <c r="M138" s="5">
        <f t="shared" si="4"/>
        <v>199.48</v>
      </c>
      <c r="N138" s="5">
        <f t="shared" si="5"/>
        <v>0</v>
      </c>
      <c r="O138" s="74"/>
    </row>
    <row r="139" spans="1:15" x14ac:dyDescent="0.3">
      <c r="A139" s="15" t="s">
        <v>18</v>
      </c>
      <c r="B139" s="5" t="s">
        <v>675</v>
      </c>
      <c r="C139" s="5" t="s">
        <v>679</v>
      </c>
      <c r="D139" s="5">
        <v>275.60000000000002</v>
      </c>
      <c r="E139" s="5"/>
      <c r="F139" s="5"/>
      <c r="G139" s="5" t="s">
        <v>74</v>
      </c>
      <c r="H139" s="5"/>
      <c r="I139" s="5"/>
      <c r="J139" s="94"/>
      <c r="K139" s="94"/>
      <c r="L139" s="94"/>
      <c r="M139" s="5">
        <f t="shared" si="4"/>
        <v>0</v>
      </c>
      <c r="N139" s="5">
        <f t="shared" si="5"/>
        <v>275.60000000000002</v>
      </c>
      <c r="O139" s="74"/>
    </row>
    <row r="140" spans="1:15" x14ac:dyDescent="0.3">
      <c r="A140" s="15" t="s">
        <v>18</v>
      </c>
      <c r="B140" s="5" t="s">
        <v>675</v>
      </c>
      <c r="C140" s="5" t="s">
        <v>680</v>
      </c>
      <c r="D140" s="5">
        <v>710.04</v>
      </c>
      <c r="E140" s="5"/>
      <c r="F140" s="5"/>
      <c r="G140" s="5" t="s">
        <v>38</v>
      </c>
      <c r="H140" s="5"/>
      <c r="I140" s="5" t="s">
        <v>234</v>
      </c>
      <c r="J140" s="94">
        <f>VLOOKUP(C140,'[2]2026.3'!$C$4:$Q$157,13,0)</f>
        <v>45877</v>
      </c>
      <c r="K140" s="94">
        <f>VLOOKUP(C140,'[2]2026.3'!$C$4:$Q$157,14,0)</f>
        <v>45910</v>
      </c>
      <c r="L140" s="94">
        <f>VLOOKUP(C140,'[2]2026.3'!$C$4:$Q$157,15,0)</f>
        <v>46274</v>
      </c>
      <c r="M140" s="5">
        <f t="shared" si="4"/>
        <v>710.04</v>
      </c>
      <c r="N140" s="5">
        <f t="shared" si="5"/>
        <v>0</v>
      </c>
      <c r="O140" s="74"/>
    </row>
    <row r="141" spans="1:15" x14ac:dyDescent="0.3">
      <c r="A141" s="15" t="s">
        <v>18</v>
      </c>
      <c r="B141" s="5" t="s">
        <v>675</v>
      </c>
      <c r="C141" s="5" t="s">
        <v>681</v>
      </c>
      <c r="D141" s="5">
        <v>168</v>
      </c>
      <c r="E141" s="5"/>
      <c r="F141" s="5"/>
      <c r="G141" s="5" t="s">
        <v>38</v>
      </c>
      <c r="H141" s="5"/>
      <c r="I141" s="5"/>
      <c r="J141" s="94"/>
      <c r="K141" s="94"/>
      <c r="L141" s="94"/>
      <c r="M141" s="5">
        <f t="shared" si="4"/>
        <v>168</v>
      </c>
      <c r="N141" s="5">
        <f t="shared" si="5"/>
        <v>0</v>
      </c>
      <c r="O141" s="74"/>
    </row>
    <row r="142" spans="1:15" x14ac:dyDescent="0.3">
      <c r="A142" s="15" t="s">
        <v>18</v>
      </c>
      <c r="B142" s="5" t="s">
        <v>675</v>
      </c>
      <c r="C142" s="5" t="s">
        <v>682</v>
      </c>
      <c r="D142" s="5">
        <v>219</v>
      </c>
      <c r="E142" s="5"/>
      <c r="F142" s="5"/>
      <c r="G142" s="5" t="s">
        <v>38</v>
      </c>
      <c r="H142" s="5"/>
      <c r="I142" s="5" t="s">
        <v>234</v>
      </c>
      <c r="J142" s="94">
        <f>VLOOKUP(C142,'[2]2026.3'!$C$4:$Q$157,13,0)</f>
        <v>45709</v>
      </c>
      <c r="K142" s="94">
        <f>VLOOKUP(C142,'[2]2026.3'!$C$4:$Q$157,14,0)</f>
        <v>46071</v>
      </c>
      <c r="L142" s="94">
        <f>VLOOKUP(C142,'[2]2026.3'!$C$4:$Q$157,15,0)</f>
        <v>46435</v>
      </c>
      <c r="M142" s="5">
        <f t="shared" si="4"/>
        <v>219</v>
      </c>
      <c r="N142" s="5">
        <f t="shared" si="5"/>
        <v>0</v>
      </c>
      <c r="O142" s="74"/>
    </row>
    <row r="143" spans="1:15" x14ac:dyDescent="0.3">
      <c r="A143" s="15" t="s">
        <v>18</v>
      </c>
      <c r="B143" s="5" t="s">
        <v>675</v>
      </c>
      <c r="C143" s="5" t="s">
        <v>683</v>
      </c>
      <c r="D143" s="5">
        <v>176</v>
      </c>
      <c r="E143" s="5"/>
      <c r="F143" s="5"/>
      <c r="G143" s="5" t="s">
        <v>38</v>
      </c>
      <c r="H143" s="5"/>
      <c r="I143" s="5" t="s">
        <v>234</v>
      </c>
      <c r="J143" s="94">
        <f>VLOOKUP(C143,'[2]2026.3'!$C$4:$Q$157,13,0)</f>
        <v>45767</v>
      </c>
      <c r="K143" s="94">
        <f>VLOOKUP(C143,'[2]2026.3'!$C$4:$Q$157,14,0)</f>
        <v>45773</v>
      </c>
      <c r="L143" s="94">
        <f>VLOOKUP(C143,'[2]2026.3'!$C$4:$Q$157,15,0)</f>
        <v>46868</v>
      </c>
      <c r="M143" s="5">
        <f t="shared" si="4"/>
        <v>176</v>
      </c>
      <c r="N143" s="5">
        <f t="shared" si="5"/>
        <v>0</v>
      </c>
      <c r="O143" s="74"/>
    </row>
    <row r="144" spans="1:15" x14ac:dyDescent="0.3">
      <c r="A144" s="15" t="s">
        <v>18</v>
      </c>
      <c r="B144" s="5" t="s">
        <v>675</v>
      </c>
      <c r="C144" s="5" t="s">
        <v>684</v>
      </c>
      <c r="D144" s="5">
        <v>60.73</v>
      </c>
      <c r="E144" s="5"/>
      <c r="F144" s="5"/>
      <c r="G144" s="5" t="s">
        <v>38</v>
      </c>
      <c r="H144" s="5"/>
      <c r="I144" s="5" t="s">
        <v>234</v>
      </c>
      <c r="J144" s="94">
        <f>VLOOKUP(C144,'[2]2026.3'!$C$4:$Q$157,13,0)</f>
        <v>45817</v>
      </c>
      <c r="K144" s="94">
        <f>VLOOKUP(C144,'[2]2026.3'!$C$4:$Q$157,14,0)</f>
        <v>45818</v>
      </c>
      <c r="L144" s="94">
        <f>VLOOKUP(C144,'[2]2026.3'!$C$4:$Q$157,15,0)</f>
        <v>46182</v>
      </c>
      <c r="M144" s="5">
        <f t="shared" si="4"/>
        <v>60.73</v>
      </c>
      <c r="N144" s="5">
        <f t="shared" si="5"/>
        <v>0</v>
      </c>
      <c r="O144" s="74"/>
    </row>
  </sheetData>
  <autoFilter ref="A1:N144" xr:uid="{00000000-0009-0000-0000-000002000000}"/>
  <phoneticPr fontId="24" type="noConversion"/>
  <pageMargins left="0.7" right="0.7" top="0.75" bottom="0.75" header="0.3" footer="0.3"/>
  <ignoredErrors>
    <ignoredError sqref="P59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P98"/>
  <sheetViews>
    <sheetView workbookViewId="0">
      <pane ySplit="1" topLeftCell="A15" activePane="bottomLeft" state="frozen"/>
      <selection pane="bottomLeft" activeCell="P89" sqref="P89"/>
    </sheetView>
  </sheetViews>
  <sheetFormatPr defaultColWidth="9" defaultRowHeight="14" x14ac:dyDescent="0.3"/>
  <cols>
    <col min="1" max="1" width="20.5" style="82" customWidth="1"/>
    <col min="2" max="2" width="25.58203125" style="82" customWidth="1"/>
    <col min="3" max="3" width="13" style="82" customWidth="1"/>
    <col min="4" max="4" width="11" style="82" customWidth="1"/>
    <col min="5" max="5" width="15.08203125" style="82" customWidth="1"/>
    <col min="6" max="6" width="17" style="82" customWidth="1"/>
    <col min="7" max="7" width="10.33203125" style="82" customWidth="1"/>
    <col min="8" max="9" width="8.6640625" style="82" customWidth="1"/>
    <col min="10" max="12" width="14.33203125" style="82" customWidth="1"/>
    <col min="13" max="13" width="11.75" style="82" customWidth="1"/>
    <col min="14" max="14" width="10.58203125" style="82" customWidth="1"/>
    <col min="15" max="15" width="15.5" style="82" customWidth="1"/>
    <col min="16" max="16370" width="8.6640625" style="83"/>
    <col min="16371" max="16384" width="9" style="83"/>
  </cols>
  <sheetData>
    <row r="1" spans="1:15" ht="28" customHeight="1" x14ac:dyDescent="0.3">
      <c r="A1" s="71" t="s">
        <v>20</v>
      </c>
      <c r="B1" s="71" t="s">
        <v>22</v>
      </c>
      <c r="C1" s="71" t="s">
        <v>23</v>
      </c>
      <c r="D1" s="71" t="s">
        <v>24</v>
      </c>
      <c r="E1" s="71" t="s">
        <v>25</v>
      </c>
      <c r="F1" s="71" t="s">
        <v>6</v>
      </c>
      <c r="G1" s="71" t="s">
        <v>26</v>
      </c>
      <c r="H1" s="8" t="s">
        <v>27</v>
      </c>
      <c r="I1" s="71" t="s">
        <v>28</v>
      </c>
      <c r="J1" s="71" t="s">
        <v>29</v>
      </c>
      <c r="K1" s="71" t="s">
        <v>30</v>
      </c>
      <c r="L1" s="71" t="s">
        <v>31</v>
      </c>
      <c r="M1" s="71" t="s">
        <v>32</v>
      </c>
      <c r="N1" s="71" t="s">
        <v>33</v>
      </c>
      <c r="O1" s="8" t="s">
        <v>34</v>
      </c>
    </row>
    <row r="2" spans="1:15" x14ac:dyDescent="0.3">
      <c r="A2" s="84" t="s">
        <v>685</v>
      </c>
      <c r="B2" s="84" t="s">
        <v>686</v>
      </c>
      <c r="C2" s="84">
        <v>73</v>
      </c>
      <c r="D2" s="84"/>
      <c r="E2" s="84"/>
      <c r="F2" s="85" t="s">
        <v>687</v>
      </c>
      <c r="G2" s="85" t="s">
        <v>74</v>
      </c>
      <c r="H2" s="85"/>
      <c r="I2" s="85"/>
      <c r="J2" s="86"/>
      <c r="K2" s="86"/>
      <c r="L2" s="86"/>
      <c r="M2" s="5">
        <f t="shared" ref="M2:M52" si="0">IF(G2="已租",C2,0)</f>
        <v>0</v>
      </c>
      <c r="N2" s="5">
        <f t="shared" ref="N2:N52" si="1">IF(G2="未出租",C2,0)</f>
        <v>73</v>
      </c>
      <c r="O2" s="85"/>
    </row>
    <row r="3" spans="1:15" hidden="1" x14ac:dyDescent="0.3">
      <c r="A3" s="84" t="s">
        <v>685</v>
      </c>
      <c r="B3" s="84" t="s">
        <v>688</v>
      </c>
      <c r="C3" s="84">
        <v>323</v>
      </c>
      <c r="D3" s="84"/>
      <c r="E3" s="84"/>
      <c r="F3" s="84"/>
      <c r="G3" s="85" t="s">
        <v>38</v>
      </c>
      <c r="H3" s="85"/>
      <c r="I3" s="85"/>
      <c r="J3" s="86">
        <f>VLOOKUP(B3,'[1]2026.3'!$C$3:$R$381,13,0)</f>
        <v>45805</v>
      </c>
      <c r="K3" s="86">
        <f>VLOOKUP(B3,'[1]2026.3'!$C$3:$R$381,14,0)</f>
        <v>45717</v>
      </c>
      <c r="L3" s="86">
        <f>VLOOKUP(B3,'[1]2026.3'!$C$3:$R$381,15,0)</f>
        <v>46081</v>
      </c>
      <c r="M3" s="5">
        <f t="shared" si="0"/>
        <v>323</v>
      </c>
      <c r="N3" s="5">
        <f t="shared" si="1"/>
        <v>0</v>
      </c>
      <c r="O3" s="85"/>
    </row>
    <row r="4" spans="1:15" hidden="1" x14ac:dyDescent="0.3">
      <c r="A4" s="84" t="s">
        <v>685</v>
      </c>
      <c r="B4" s="84" t="s">
        <v>689</v>
      </c>
      <c r="C4" s="84">
        <v>1048</v>
      </c>
      <c r="D4" s="84"/>
      <c r="E4" s="84"/>
      <c r="F4" s="84"/>
      <c r="G4" s="85" t="s">
        <v>38</v>
      </c>
      <c r="H4" s="85"/>
      <c r="I4" s="85"/>
      <c r="J4" s="86">
        <f>VLOOKUP(B4,'[1]2026.3'!$C$3:$R$381,13,0)</f>
        <v>45748</v>
      </c>
      <c r="K4" s="86">
        <f>VLOOKUP(B4,'[1]2026.3'!$C$3:$R$381,14,0)</f>
        <v>45748</v>
      </c>
      <c r="L4" s="86">
        <f>VLOOKUP(B4,'[1]2026.3'!$C$3:$R$381,15,0)</f>
        <v>46477</v>
      </c>
      <c r="M4" s="5">
        <f t="shared" si="0"/>
        <v>1048</v>
      </c>
      <c r="N4" s="5">
        <f t="shared" si="1"/>
        <v>0</v>
      </c>
      <c r="O4" s="85"/>
    </row>
    <row r="5" spans="1:15" hidden="1" x14ac:dyDescent="0.3">
      <c r="A5" s="84" t="s">
        <v>685</v>
      </c>
      <c r="B5" s="84" t="s">
        <v>690</v>
      </c>
      <c r="C5" s="84">
        <v>169</v>
      </c>
      <c r="D5" s="84"/>
      <c r="E5" s="84"/>
      <c r="F5" s="84"/>
      <c r="G5" s="85" t="s">
        <v>38</v>
      </c>
      <c r="H5" s="5"/>
      <c r="I5" s="5"/>
      <c r="J5" s="86">
        <f>VLOOKUP(B5,'[1]2026.3'!$C$3:$R$381,13,0)</f>
        <v>45999</v>
      </c>
      <c r="K5" s="86">
        <f>VLOOKUP(B5,'[1]2026.3'!$C$3:$R$381,14,0)</f>
        <v>46001</v>
      </c>
      <c r="L5" s="86">
        <f>VLOOKUP(B5,'[1]2026.3'!$C$3:$R$381,15,0)</f>
        <v>46090</v>
      </c>
      <c r="M5" s="5">
        <f t="shared" si="0"/>
        <v>169</v>
      </c>
      <c r="N5" s="5">
        <f t="shared" si="1"/>
        <v>0</v>
      </c>
      <c r="O5" s="85"/>
    </row>
    <row r="6" spans="1:15" hidden="1" x14ac:dyDescent="0.3">
      <c r="A6" s="84" t="s">
        <v>685</v>
      </c>
      <c r="B6" s="84" t="s">
        <v>691</v>
      </c>
      <c r="C6" s="84">
        <v>177</v>
      </c>
      <c r="D6" s="84"/>
      <c r="E6" s="84"/>
      <c r="F6" s="84"/>
      <c r="G6" s="85" t="s">
        <v>38</v>
      </c>
      <c r="H6" s="5"/>
      <c r="I6" s="5"/>
      <c r="J6" s="86">
        <f>VLOOKUP(B6,'[1]2026.3'!$C$3:$R$381,13,0)</f>
        <v>45823</v>
      </c>
      <c r="K6" s="86">
        <f>VLOOKUP(B6,'[1]2026.3'!$C$3:$R$381,14,0)</f>
        <v>45823</v>
      </c>
      <c r="L6" s="86">
        <f>VLOOKUP(B6,'[1]2026.3'!$C$3:$R$381,15,0)</f>
        <v>46918</v>
      </c>
      <c r="M6" s="5">
        <f t="shared" si="0"/>
        <v>177</v>
      </c>
      <c r="N6" s="5">
        <f t="shared" si="1"/>
        <v>0</v>
      </c>
      <c r="O6" s="85"/>
    </row>
    <row r="7" spans="1:15" x14ac:dyDescent="0.3">
      <c r="A7" s="84" t="s">
        <v>685</v>
      </c>
      <c r="B7" s="84" t="s">
        <v>692</v>
      </c>
      <c r="C7" s="84">
        <v>724</v>
      </c>
      <c r="D7" s="84"/>
      <c r="E7" s="84"/>
      <c r="F7" s="84"/>
      <c r="G7" s="85" t="s">
        <v>74</v>
      </c>
      <c r="H7" s="5"/>
      <c r="I7" s="5"/>
      <c r="J7" s="86"/>
      <c r="K7" s="86"/>
      <c r="L7" s="86"/>
      <c r="M7" s="5">
        <f t="shared" si="0"/>
        <v>0</v>
      </c>
      <c r="N7" s="5">
        <f t="shared" si="1"/>
        <v>724</v>
      </c>
      <c r="O7" s="85"/>
    </row>
    <row r="8" spans="1:15" hidden="1" x14ac:dyDescent="0.3">
      <c r="A8" s="84" t="s">
        <v>685</v>
      </c>
      <c r="B8" s="84" t="s">
        <v>693</v>
      </c>
      <c r="C8" s="84">
        <v>345</v>
      </c>
      <c r="D8" s="84"/>
      <c r="E8" s="84"/>
      <c r="F8" s="84"/>
      <c r="G8" s="85" t="s">
        <v>38</v>
      </c>
      <c r="H8" s="5"/>
      <c r="I8" s="5"/>
      <c r="J8" s="86">
        <f>VLOOKUP(B8,'[1]2026.3'!$C$3:$R$381,13,0)</f>
        <v>45773</v>
      </c>
      <c r="K8" s="86">
        <f>VLOOKUP(B8,'[1]2026.3'!$C$3:$R$381,14,0)</f>
        <v>45778</v>
      </c>
      <c r="L8" s="86">
        <f>VLOOKUP(B8,'[1]2026.3'!$C$3:$R$381,15,0)</f>
        <v>46507</v>
      </c>
      <c r="M8" s="5">
        <f t="shared" si="0"/>
        <v>345</v>
      </c>
      <c r="N8" s="5">
        <f t="shared" si="1"/>
        <v>0</v>
      </c>
      <c r="O8" s="85"/>
    </row>
    <row r="9" spans="1:15" hidden="1" x14ac:dyDescent="0.3">
      <c r="A9" s="84" t="s">
        <v>685</v>
      </c>
      <c r="B9" s="84" t="s">
        <v>694</v>
      </c>
      <c r="C9" s="84">
        <v>412</v>
      </c>
      <c r="D9" s="84"/>
      <c r="E9" s="84"/>
      <c r="F9" s="84"/>
      <c r="G9" s="85" t="s">
        <v>38</v>
      </c>
      <c r="H9" s="5"/>
      <c r="I9" s="5"/>
      <c r="J9" s="86">
        <f>VLOOKUP(B9,'[1]2026.3'!$C$3:$R$381,13,0)</f>
        <v>45773</v>
      </c>
      <c r="K9" s="86">
        <f>VLOOKUP(B9,'[1]2026.3'!$C$3:$R$381,14,0)</f>
        <v>45778</v>
      </c>
      <c r="L9" s="86">
        <f>VLOOKUP(B9,'[1]2026.3'!$C$3:$R$381,15,0)</f>
        <v>46507</v>
      </c>
      <c r="M9" s="5">
        <f t="shared" si="0"/>
        <v>412</v>
      </c>
      <c r="N9" s="5">
        <f t="shared" si="1"/>
        <v>0</v>
      </c>
      <c r="O9" s="85"/>
    </row>
    <row r="10" spans="1:15" x14ac:dyDescent="0.3">
      <c r="A10" s="84" t="s">
        <v>685</v>
      </c>
      <c r="B10" s="84" t="s">
        <v>695</v>
      </c>
      <c r="C10" s="84">
        <v>32</v>
      </c>
      <c r="D10" s="84"/>
      <c r="E10" s="84"/>
      <c r="F10" s="85" t="s">
        <v>696</v>
      </c>
      <c r="G10" s="85" t="s">
        <v>74</v>
      </c>
      <c r="H10" s="5"/>
      <c r="I10" s="5"/>
      <c r="J10" s="86"/>
      <c r="K10" s="86"/>
      <c r="L10" s="86"/>
      <c r="M10" s="5">
        <f t="shared" si="0"/>
        <v>0</v>
      </c>
      <c r="N10" s="5">
        <f t="shared" si="1"/>
        <v>32</v>
      </c>
      <c r="O10" s="85"/>
    </row>
    <row r="11" spans="1:15" hidden="1" x14ac:dyDescent="0.3">
      <c r="A11" s="84" t="s">
        <v>685</v>
      </c>
      <c r="B11" s="84" t="s">
        <v>697</v>
      </c>
      <c r="C11" s="84">
        <v>1851</v>
      </c>
      <c r="D11" s="84"/>
      <c r="E11" s="84"/>
      <c r="F11" s="84"/>
      <c r="G11" s="85" t="s">
        <v>38</v>
      </c>
      <c r="H11" s="5"/>
      <c r="I11" s="5"/>
      <c r="J11" s="86">
        <f>VLOOKUP(B11,'[1]2026.3'!$C$3:$R$381,13,0)</f>
        <v>46001</v>
      </c>
      <c r="K11" s="86">
        <f>VLOOKUP(B11,'[1]2026.3'!$C$3:$R$381,14,0)</f>
        <v>46023</v>
      </c>
      <c r="L11" s="86">
        <f>VLOOKUP(B11,'[1]2026.3'!$C$3:$R$381,15,0)</f>
        <v>47118</v>
      </c>
      <c r="M11" s="5">
        <f t="shared" si="0"/>
        <v>1851</v>
      </c>
      <c r="N11" s="5">
        <f t="shared" si="1"/>
        <v>0</v>
      </c>
      <c r="O11" s="85"/>
    </row>
    <row r="12" spans="1:15" hidden="1" x14ac:dyDescent="0.3">
      <c r="A12" s="84" t="s">
        <v>685</v>
      </c>
      <c r="B12" s="84" t="s">
        <v>698</v>
      </c>
      <c r="C12" s="84">
        <v>232</v>
      </c>
      <c r="D12" s="84"/>
      <c r="E12" s="84"/>
      <c r="F12" s="84"/>
      <c r="G12" s="85" t="s">
        <v>38</v>
      </c>
      <c r="H12" s="85"/>
      <c r="I12" s="85"/>
      <c r="J12" s="86">
        <f>VLOOKUP(B12,'[1]2026.3'!$C$3:$R$381,13,0)</f>
        <v>46001</v>
      </c>
      <c r="K12" s="86">
        <f>VLOOKUP(B12,'[1]2026.3'!$C$3:$R$381,14,0)</f>
        <v>46023</v>
      </c>
      <c r="L12" s="86">
        <f>VLOOKUP(B12,'[1]2026.3'!$C$3:$R$381,15,0)</f>
        <v>47118</v>
      </c>
      <c r="M12" s="5">
        <f t="shared" si="0"/>
        <v>232</v>
      </c>
      <c r="N12" s="5">
        <f t="shared" si="1"/>
        <v>0</v>
      </c>
      <c r="O12" s="85"/>
    </row>
    <row r="13" spans="1:15" hidden="1" x14ac:dyDescent="0.3">
      <c r="A13" s="84" t="s">
        <v>685</v>
      </c>
      <c r="B13" s="84" t="s">
        <v>699</v>
      </c>
      <c r="C13" s="84">
        <v>790</v>
      </c>
      <c r="D13" s="84"/>
      <c r="E13" s="84"/>
      <c r="F13" s="84"/>
      <c r="G13" s="85" t="s">
        <v>38</v>
      </c>
      <c r="H13" s="85"/>
      <c r="I13" s="85"/>
      <c r="J13" s="86">
        <f>VLOOKUP(B13,'[1]2026.3'!$C$3:$R$381,13,0)</f>
        <v>45910</v>
      </c>
      <c r="K13" s="86">
        <f>VLOOKUP(B13,'[1]2026.3'!$C$3:$R$381,14,0)</f>
        <v>45910</v>
      </c>
      <c r="L13" s="86">
        <f>VLOOKUP(B13,'[1]2026.3'!$C$3:$R$381,15,0)</f>
        <v>46274</v>
      </c>
      <c r="M13" s="5">
        <f t="shared" si="0"/>
        <v>790</v>
      </c>
      <c r="N13" s="5">
        <f t="shared" si="1"/>
        <v>0</v>
      </c>
      <c r="O13" s="85"/>
    </row>
    <row r="14" spans="1:15" hidden="1" x14ac:dyDescent="0.3">
      <c r="A14" s="84" t="s">
        <v>685</v>
      </c>
      <c r="B14" s="84" t="s">
        <v>700</v>
      </c>
      <c r="C14" s="84">
        <v>275</v>
      </c>
      <c r="D14" s="84"/>
      <c r="E14" s="84"/>
      <c r="F14" s="84"/>
      <c r="G14" s="85" t="s">
        <v>38</v>
      </c>
      <c r="H14" s="85"/>
      <c r="I14" s="85"/>
      <c r="J14" s="86">
        <f>VLOOKUP(B14,'[1]2026.3'!$C$3:$R$381,13,0)</f>
        <v>45762</v>
      </c>
      <c r="K14" s="86">
        <f>VLOOKUP(B14,'[1]2026.3'!$C$3:$R$381,14,0)</f>
        <v>45762</v>
      </c>
      <c r="L14" s="86">
        <f>VLOOKUP(B14,'[1]2026.3'!$C$3:$R$381,15,0)</f>
        <v>46491</v>
      </c>
      <c r="M14" s="5">
        <f t="shared" si="0"/>
        <v>275</v>
      </c>
      <c r="N14" s="5">
        <f t="shared" si="1"/>
        <v>0</v>
      </c>
      <c r="O14" s="85"/>
    </row>
    <row r="15" spans="1:15" x14ac:dyDescent="0.3">
      <c r="A15" s="84" t="s">
        <v>685</v>
      </c>
      <c r="B15" s="84" t="s">
        <v>701</v>
      </c>
      <c r="C15" s="84">
        <v>41</v>
      </c>
      <c r="D15" s="84"/>
      <c r="E15" s="84"/>
      <c r="F15" s="84"/>
      <c r="G15" s="85" t="s">
        <v>74</v>
      </c>
      <c r="H15" s="85"/>
      <c r="I15" s="85"/>
      <c r="J15" s="86"/>
      <c r="K15" s="86"/>
      <c r="L15" s="86"/>
      <c r="M15" s="5">
        <f t="shared" si="0"/>
        <v>0</v>
      </c>
      <c r="N15" s="5">
        <f t="shared" si="1"/>
        <v>41</v>
      </c>
      <c r="O15" s="85"/>
    </row>
    <row r="16" spans="1:15" hidden="1" x14ac:dyDescent="0.3">
      <c r="A16" s="84" t="s">
        <v>685</v>
      </c>
      <c r="B16" s="85" t="s">
        <v>702</v>
      </c>
      <c r="C16" s="85">
        <v>125</v>
      </c>
      <c r="D16" s="85"/>
      <c r="E16" s="85"/>
      <c r="F16" s="85"/>
      <c r="G16" s="85" t="s">
        <v>38</v>
      </c>
      <c r="H16" s="85"/>
      <c r="I16" s="85"/>
      <c r="J16" s="86">
        <f>VLOOKUP(B16,'[1]2026.3'!$C$3:$R$381,13,0)</f>
        <v>45748</v>
      </c>
      <c r="K16" s="86">
        <f>VLOOKUP(B16,'[1]2026.3'!$C$3:$R$381,14,0)</f>
        <v>45736</v>
      </c>
      <c r="L16" s="86">
        <f>VLOOKUP(B16,'[1]2026.3'!$C$3:$R$381,15,0)</f>
        <v>46100</v>
      </c>
      <c r="M16" s="5">
        <f t="shared" si="0"/>
        <v>125</v>
      </c>
      <c r="N16" s="5">
        <f t="shared" si="1"/>
        <v>0</v>
      </c>
      <c r="O16" s="85"/>
    </row>
    <row r="17" spans="1:15" x14ac:dyDescent="0.3">
      <c r="A17" s="84" t="s">
        <v>685</v>
      </c>
      <c r="B17" s="85" t="s">
        <v>703</v>
      </c>
      <c r="C17" s="85">
        <v>325</v>
      </c>
      <c r="D17" s="85"/>
      <c r="E17" s="85"/>
      <c r="F17" s="85" t="s">
        <v>704</v>
      </c>
      <c r="G17" s="85" t="s">
        <v>74</v>
      </c>
      <c r="H17" s="85"/>
      <c r="I17" s="85"/>
      <c r="J17" s="86"/>
      <c r="K17" s="86"/>
      <c r="L17" s="86"/>
      <c r="M17" s="5">
        <f t="shared" si="0"/>
        <v>0</v>
      </c>
      <c r="N17" s="5">
        <f t="shared" si="1"/>
        <v>325</v>
      </c>
      <c r="O17" s="85"/>
    </row>
    <row r="18" spans="1:15" x14ac:dyDescent="0.3">
      <c r="A18" s="84" t="s">
        <v>705</v>
      </c>
      <c r="B18" s="85" t="s">
        <v>706</v>
      </c>
      <c r="C18" s="85">
        <v>173</v>
      </c>
      <c r="D18" s="85"/>
      <c r="E18" s="85"/>
      <c r="F18" s="85"/>
      <c r="G18" s="85" t="s">
        <v>74</v>
      </c>
      <c r="H18" s="85"/>
      <c r="I18" s="85"/>
      <c r="J18" s="86"/>
      <c r="K18" s="86"/>
      <c r="L18" s="86"/>
      <c r="M18" s="5">
        <f t="shared" si="0"/>
        <v>0</v>
      </c>
      <c r="N18" s="5">
        <f t="shared" si="1"/>
        <v>173</v>
      </c>
      <c r="O18" s="85"/>
    </row>
    <row r="19" spans="1:15" x14ac:dyDescent="0.3">
      <c r="A19" s="84" t="s">
        <v>705</v>
      </c>
      <c r="B19" s="85" t="s">
        <v>707</v>
      </c>
      <c r="C19" s="85">
        <v>160</v>
      </c>
      <c r="D19" s="85"/>
      <c r="E19" s="85"/>
      <c r="F19" s="85"/>
      <c r="G19" s="85" t="s">
        <v>74</v>
      </c>
      <c r="H19" s="85"/>
      <c r="I19" s="85"/>
      <c r="J19" s="86"/>
      <c r="K19" s="86"/>
      <c r="L19" s="86"/>
      <c r="M19" s="5">
        <f t="shared" si="0"/>
        <v>0</v>
      </c>
      <c r="N19" s="5">
        <f t="shared" si="1"/>
        <v>160</v>
      </c>
      <c r="O19" s="85"/>
    </row>
    <row r="20" spans="1:15" x14ac:dyDescent="0.3">
      <c r="A20" s="84" t="s">
        <v>705</v>
      </c>
      <c r="B20" s="85" t="s">
        <v>708</v>
      </c>
      <c r="C20" s="85">
        <v>94</v>
      </c>
      <c r="D20" s="85"/>
      <c r="E20" s="85"/>
      <c r="F20" s="85"/>
      <c r="G20" s="85" t="s">
        <v>74</v>
      </c>
      <c r="H20" s="85"/>
      <c r="I20" s="85"/>
      <c r="J20" s="86"/>
      <c r="K20" s="86"/>
      <c r="L20" s="86"/>
      <c r="M20" s="5">
        <f t="shared" si="0"/>
        <v>0</v>
      </c>
      <c r="N20" s="5">
        <f t="shared" si="1"/>
        <v>94</v>
      </c>
      <c r="O20" s="85"/>
    </row>
    <row r="21" spans="1:15" x14ac:dyDescent="0.3">
      <c r="A21" s="84" t="s">
        <v>705</v>
      </c>
      <c r="B21" s="85" t="s">
        <v>709</v>
      </c>
      <c r="C21" s="85">
        <v>646</v>
      </c>
      <c r="D21" s="85"/>
      <c r="E21" s="85"/>
      <c r="F21" s="85"/>
      <c r="G21" s="85" t="s">
        <v>74</v>
      </c>
      <c r="H21" s="85"/>
      <c r="I21" s="85"/>
      <c r="J21" s="86"/>
      <c r="K21" s="86"/>
      <c r="L21" s="86"/>
      <c r="M21" s="5">
        <f t="shared" si="0"/>
        <v>0</v>
      </c>
      <c r="N21" s="5">
        <f t="shared" si="1"/>
        <v>646</v>
      </c>
      <c r="O21" s="85"/>
    </row>
    <row r="22" spans="1:15" hidden="1" x14ac:dyDescent="0.3">
      <c r="A22" s="84" t="s">
        <v>710</v>
      </c>
      <c r="B22" s="87" t="s">
        <v>711</v>
      </c>
      <c r="C22" s="85">
        <v>170</v>
      </c>
      <c r="D22" s="85"/>
      <c r="E22" s="85"/>
      <c r="F22" s="85"/>
      <c r="G22" s="85" t="s">
        <v>38</v>
      </c>
      <c r="H22" s="85"/>
      <c r="I22" s="85"/>
      <c r="J22" s="86">
        <f>VLOOKUP(B22,'[1]2026.3'!$C$3:$R$381,13,0)</f>
        <v>45526</v>
      </c>
      <c r="K22" s="86">
        <f>VLOOKUP(B22,'[1]2026.3'!$C$3:$R$381,14,0)</f>
        <v>45536</v>
      </c>
      <c r="L22" s="86">
        <f>VLOOKUP(B22,'[1]2026.3'!$C$3:$R$381,15,0)</f>
        <v>46265</v>
      </c>
      <c r="M22" s="5">
        <f t="shared" si="0"/>
        <v>170</v>
      </c>
      <c r="N22" s="5">
        <f t="shared" si="1"/>
        <v>0</v>
      </c>
      <c r="O22" s="85"/>
    </row>
    <row r="23" spans="1:15" hidden="1" x14ac:dyDescent="0.3">
      <c r="A23" s="84" t="s">
        <v>710</v>
      </c>
      <c r="B23" s="87" t="s">
        <v>712</v>
      </c>
      <c r="C23" s="85">
        <v>170</v>
      </c>
      <c r="D23" s="85"/>
      <c r="E23" s="85"/>
      <c r="F23" s="85"/>
      <c r="G23" s="85" t="s">
        <v>38</v>
      </c>
      <c r="H23" s="88"/>
      <c r="I23" s="85"/>
      <c r="J23" s="86">
        <f>VLOOKUP(B23,'[1]2026.3'!$C$3:$R$381,13,0)</f>
        <v>45859</v>
      </c>
      <c r="K23" s="86">
        <f>VLOOKUP(B23,'[1]2026.3'!$C$3:$R$381,14,0)</f>
        <v>45882</v>
      </c>
      <c r="L23" s="86">
        <f>VLOOKUP(B23,'[1]2026.3'!$C$3:$R$381,15,0)</f>
        <v>46611</v>
      </c>
      <c r="M23" s="5">
        <f t="shared" si="0"/>
        <v>170</v>
      </c>
      <c r="N23" s="5">
        <f t="shared" si="1"/>
        <v>0</v>
      </c>
      <c r="O23" s="85"/>
    </row>
    <row r="24" spans="1:15" x14ac:dyDescent="0.3">
      <c r="A24" s="84" t="s">
        <v>710</v>
      </c>
      <c r="B24" s="87" t="s">
        <v>713</v>
      </c>
      <c r="C24" s="85">
        <v>16</v>
      </c>
      <c r="D24" s="85"/>
      <c r="E24" s="85"/>
      <c r="F24" s="85" t="s">
        <v>714</v>
      </c>
      <c r="G24" s="85" t="s">
        <v>74</v>
      </c>
      <c r="H24" s="88"/>
      <c r="I24" s="85"/>
      <c r="J24" s="86"/>
      <c r="K24" s="86"/>
      <c r="L24" s="86"/>
      <c r="M24" s="5">
        <f t="shared" si="0"/>
        <v>0</v>
      </c>
      <c r="N24" s="5">
        <f t="shared" si="1"/>
        <v>16</v>
      </c>
      <c r="O24" s="85"/>
    </row>
    <row r="25" spans="1:15" hidden="1" x14ac:dyDescent="0.3">
      <c r="A25" s="84" t="s">
        <v>710</v>
      </c>
      <c r="B25" s="87" t="s">
        <v>715</v>
      </c>
      <c r="C25" s="85">
        <v>228</v>
      </c>
      <c r="D25" s="85"/>
      <c r="E25" s="85"/>
      <c r="F25" s="85"/>
      <c r="G25" s="85" t="s">
        <v>38</v>
      </c>
      <c r="H25" s="88"/>
      <c r="I25" s="85"/>
      <c r="J25" s="86">
        <f>VLOOKUP(B25,'[1]2026.3'!$C$3:$R$381,13,0)</f>
        <v>45987</v>
      </c>
      <c r="K25" s="86">
        <f>VLOOKUP(B25,'[1]2026.3'!$C$3:$R$381,14,0)</f>
        <v>45940</v>
      </c>
      <c r="L25" s="86">
        <f>VLOOKUP(B25,'[1]2026.3'!$C$3:$R$381,15,0)</f>
        <v>46669</v>
      </c>
      <c r="M25" s="5">
        <f t="shared" si="0"/>
        <v>228</v>
      </c>
      <c r="N25" s="5">
        <f t="shared" si="1"/>
        <v>0</v>
      </c>
      <c r="O25" s="85"/>
    </row>
    <row r="26" spans="1:15" hidden="1" x14ac:dyDescent="0.3">
      <c r="A26" s="84" t="s">
        <v>710</v>
      </c>
      <c r="B26" s="87" t="s">
        <v>716</v>
      </c>
      <c r="C26" s="85">
        <v>21</v>
      </c>
      <c r="D26" s="85"/>
      <c r="E26" s="85"/>
      <c r="F26" s="85"/>
      <c r="G26" s="85" t="s">
        <v>38</v>
      </c>
      <c r="H26" s="88"/>
      <c r="I26" s="85"/>
      <c r="J26" s="86">
        <f>VLOOKUP(B26,'[1]2026.3'!$C$3:$R$381,13,0)</f>
        <v>45974</v>
      </c>
      <c r="K26" s="86">
        <f>VLOOKUP(B26,'[1]2026.3'!$C$3:$R$381,14,0)</f>
        <v>45981</v>
      </c>
      <c r="L26" s="86">
        <f>VLOOKUP(B26,'[1]2026.3'!$C$3:$R$381,15,0)</f>
        <v>46345</v>
      </c>
      <c r="M26" s="5">
        <f t="shared" si="0"/>
        <v>21</v>
      </c>
      <c r="N26" s="5">
        <f t="shared" si="1"/>
        <v>0</v>
      </c>
      <c r="O26" s="85"/>
    </row>
    <row r="27" spans="1:15" hidden="1" x14ac:dyDescent="0.3">
      <c r="A27" s="84" t="s">
        <v>710</v>
      </c>
      <c r="B27" s="87" t="s">
        <v>717</v>
      </c>
      <c r="C27" s="85">
        <v>20</v>
      </c>
      <c r="D27" s="85"/>
      <c r="E27" s="85"/>
      <c r="F27" s="85"/>
      <c r="G27" s="85" t="s">
        <v>38</v>
      </c>
      <c r="H27" s="88"/>
      <c r="I27" s="85"/>
      <c r="J27" s="86"/>
      <c r="K27" s="86">
        <f>VLOOKUP(B27,'[1]2026.3'!$C$3:$R$381,14,0)</f>
        <v>45981</v>
      </c>
      <c r="L27" s="86">
        <f>VLOOKUP(B27,'[1]2026.3'!$C$3:$R$381,15,0)</f>
        <v>46345</v>
      </c>
      <c r="M27" s="5">
        <f t="shared" si="0"/>
        <v>20</v>
      </c>
      <c r="N27" s="5">
        <f t="shared" si="1"/>
        <v>0</v>
      </c>
      <c r="O27" s="85"/>
    </row>
    <row r="28" spans="1:15" hidden="1" x14ac:dyDescent="0.3">
      <c r="A28" s="84" t="s">
        <v>710</v>
      </c>
      <c r="B28" s="87" t="s">
        <v>718</v>
      </c>
      <c r="C28" s="85">
        <v>170</v>
      </c>
      <c r="D28" s="85"/>
      <c r="E28" s="85"/>
      <c r="F28" s="85"/>
      <c r="G28" s="85" t="s">
        <v>38</v>
      </c>
      <c r="H28" s="88"/>
      <c r="I28" s="85"/>
      <c r="J28" s="86">
        <f>VLOOKUP(B28,'[1]2026.3'!$C$3:$R$381,13,0)</f>
        <v>45916</v>
      </c>
      <c r="K28" s="86">
        <f>VLOOKUP(B28,'[1]2026.3'!$C$3:$R$381,14,0)</f>
        <v>45925</v>
      </c>
      <c r="L28" s="86">
        <f>VLOOKUP(B28,'[1]2026.3'!$C$3:$R$381,15,0)</f>
        <v>46289</v>
      </c>
      <c r="M28" s="5">
        <f t="shared" si="0"/>
        <v>170</v>
      </c>
      <c r="N28" s="5">
        <f t="shared" si="1"/>
        <v>0</v>
      </c>
      <c r="O28" s="85"/>
    </row>
    <row r="29" spans="1:15" x14ac:dyDescent="0.3">
      <c r="A29" s="84" t="s">
        <v>710</v>
      </c>
      <c r="B29" s="87" t="s">
        <v>719</v>
      </c>
      <c r="C29" s="85">
        <v>16</v>
      </c>
      <c r="D29" s="85"/>
      <c r="E29" s="85"/>
      <c r="F29" s="85" t="s">
        <v>714</v>
      </c>
      <c r="G29" s="85" t="s">
        <v>74</v>
      </c>
      <c r="H29" s="88"/>
      <c r="I29" s="85"/>
      <c r="J29" s="86"/>
      <c r="K29" s="86"/>
      <c r="L29" s="86"/>
      <c r="M29" s="5">
        <f t="shared" si="0"/>
        <v>0</v>
      </c>
      <c r="N29" s="5">
        <f t="shared" si="1"/>
        <v>16</v>
      </c>
      <c r="O29" s="85"/>
    </row>
    <row r="30" spans="1:15" hidden="1" x14ac:dyDescent="0.3">
      <c r="A30" s="84" t="s">
        <v>710</v>
      </c>
      <c r="B30" s="87" t="s">
        <v>720</v>
      </c>
      <c r="C30" s="85">
        <v>228</v>
      </c>
      <c r="D30" s="85"/>
      <c r="E30" s="85"/>
      <c r="F30" s="85"/>
      <c r="G30" s="85" t="s">
        <v>38</v>
      </c>
      <c r="H30" s="88"/>
      <c r="I30" s="85"/>
      <c r="J30" s="86">
        <f>VLOOKUP(B30,'[1]2026.3'!$C$3:$R$381,13,0)</f>
        <v>45658</v>
      </c>
      <c r="K30" s="86">
        <f>VLOOKUP(B30,'[1]2026.3'!$C$3:$R$381,14,0)</f>
        <v>45839</v>
      </c>
      <c r="L30" s="86">
        <f>VLOOKUP(B30,'[1]2026.3'!$C$3:$R$381,15,0)</f>
        <v>46022</v>
      </c>
      <c r="M30" s="5">
        <f t="shared" si="0"/>
        <v>228</v>
      </c>
      <c r="N30" s="5">
        <f t="shared" si="1"/>
        <v>0</v>
      </c>
      <c r="O30" s="85"/>
    </row>
    <row r="31" spans="1:15" x14ac:dyDescent="0.3">
      <c r="A31" s="84" t="s">
        <v>710</v>
      </c>
      <c r="B31" s="87" t="s">
        <v>721</v>
      </c>
      <c r="C31" s="85">
        <v>21</v>
      </c>
      <c r="D31" s="85"/>
      <c r="E31" s="85"/>
      <c r="F31" s="85" t="s">
        <v>714</v>
      </c>
      <c r="G31" s="85" t="s">
        <v>74</v>
      </c>
      <c r="H31" s="88"/>
      <c r="I31" s="85"/>
      <c r="J31" s="86"/>
      <c r="K31" s="86"/>
      <c r="L31" s="86"/>
      <c r="M31" s="5">
        <f t="shared" si="0"/>
        <v>0</v>
      </c>
      <c r="N31" s="5">
        <f t="shared" si="1"/>
        <v>21</v>
      </c>
      <c r="O31" s="85"/>
    </row>
    <row r="32" spans="1:15" x14ac:dyDescent="0.3">
      <c r="A32" s="84" t="s">
        <v>710</v>
      </c>
      <c r="B32" s="87" t="s">
        <v>722</v>
      </c>
      <c r="C32" s="85">
        <v>20</v>
      </c>
      <c r="D32" s="85"/>
      <c r="E32" s="85"/>
      <c r="F32" s="85" t="s">
        <v>714</v>
      </c>
      <c r="G32" s="85" t="s">
        <v>74</v>
      </c>
      <c r="H32" s="88"/>
      <c r="I32" s="85"/>
      <c r="J32" s="86"/>
      <c r="K32" s="86"/>
      <c r="L32" s="86"/>
      <c r="M32" s="5">
        <f t="shared" si="0"/>
        <v>0</v>
      </c>
      <c r="N32" s="5">
        <f t="shared" si="1"/>
        <v>20</v>
      </c>
      <c r="O32" s="85"/>
    </row>
    <row r="33" spans="1:15" x14ac:dyDescent="0.3">
      <c r="A33" s="84" t="s">
        <v>710</v>
      </c>
      <c r="B33" s="87" t="s">
        <v>723</v>
      </c>
      <c r="C33" s="85">
        <v>170</v>
      </c>
      <c r="D33" s="85"/>
      <c r="E33" s="85"/>
      <c r="F33" s="85"/>
      <c r="G33" s="85" t="s">
        <v>74</v>
      </c>
      <c r="H33" s="88"/>
      <c r="I33" s="85"/>
      <c r="J33" s="86"/>
      <c r="K33" s="86"/>
      <c r="L33" s="86"/>
      <c r="M33" s="5">
        <f t="shared" si="0"/>
        <v>0</v>
      </c>
      <c r="N33" s="5">
        <f t="shared" si="1"/>
        <v>170</v>
      </c>
      <c r="O33" s="85"/>
    </row>
    <row r="34" spans="1:15" x14ac:dyDescent="0.3">
      <c r="A34" s="84" t="s">
        <v>710</v>
      </c>
      <c r="B34" s="87" t="s">
        <v>724</v>
      </c>
      <c r="C34" s="85">
        <v>16</v>
      </c>
      <c r="D34" s="85"/>
      <c r="E34" s="85"/>
      <c r="F34" s="85" t="s">
        <v>714</v>
      </c>
      <c r="G34" s="85" t="s">
        <v>74</v>
      </c>
      <c r="H34" s="88"/>
      <c r="I34" s="85"/>
      <c r="J34" s="86"/>
      <c r="K34" s="86"/>
      <c r="L34" s="86"/>
      <c r="M34" s="5">
        <f t="shared" si="0"/>
        <v>0</v>
      </c>
      <c r="N34" s="5">
        <f t="shared" si="1"/>
        <v>16</v>
      </c>
      <c r="O34" s="85"/>
    </row>
    <row r="35" spans="1:15" x14ac:dyDescent="0.3">
      <c r="A35" s="84" t="s">
        <v>710</v>
      </c>
      <c r="B35" s="87" t="s">
        <v>725</v>
      </c>
      <c r="C35" s="85">
        <v>228</v>
      </c>
      <c r="D35" s="85"/>
      <c r="E35" s="85"/>
      <c r="F35" s="85"/>
      <c r="G35" s="85" t="s">
        <v>74</v>
      </c>
      <c r="H35" s="88"/>
      <c r="I35" s="85"/>
      <c r="J35" s="86"/>
      <c r="K35" s="86"/>
      <c r="L35" s="86"/>
      <c r="M35" s="5">
        <f t="shared" si="0"/>
        <v>0</v>
      </c>
      <c r="N35" s="5">
        <f t="shared" si="1"/>
        <v>228</v>
      </c>
      <c r="O35" s="85"/>
    </row>
    <row r="36" spans="1:15" x14ac:dyDescent="0.3">
      <c r="A36" s="84" t="s">
        <v>710</v>
      </c>
      <c r="B36" s="87" t="s">
        <v>726</v>
      </c>
      <c r="C36" s="85">
        <v>21</v>
      </c>
      <c r="D36" s="85"/>
      <c r="E36" s="85"/>
      <c r="F36" s="85" t="s">
        <v>714</v>
      </c>
      <c r="G36" s="85" t="s">
        <v>74</v>
      </c>
      <c r="H36" s="88"/>
      <c r="I36" s="85"/>
      <c r="J36" s="86"/>
      <c r="K36" s="86"/>
      <c r="L36" s="86"/>
      <c r="M36" s="5">
        <f t="shared" si="0"/>
        <v>0</v>
      </c>
      <c r="N36" s="5">
        <f t="shared" si="1"/>
        <v>21</v>
      </c>
      <c r="O36" s="85"/>
    </row>
    <row r="37" spans="1:15" x14ac:dyDescent="0.3">
      <c r="A37" s="84" t="s">
        <v>710</v>
      </c>
      <c r="B37" s="87" t="s">
        <v>727</v>
      </c>
      <c r="C37" s="85">
        <v>20</v>
      </c>
      <c r="D37" s="85"/>
      <c r="E37" s="85"/>
      <c r="F37" s="85" t="s">
        <v>714</v>
      </c>
      <c r="G37" s="85" t="s">
        <v>74</v>
      </c>
      <c r="H37" s="88"/>
      <c r="I37" s="85"/>
      <c r="J37" s="86"/>
      <c r="K37" s="86"/>
      <c r="L37" s="86"/>
      <c r="M37" s="5">
        <f t="shared" si="0"/>
        <v>0</v>
      </c>
      <c r="N37" s="5">
        <f t="shared" si="1"/>
        <v>20</v>
      </c>
      <c r="O37" s="85"/>
    </row>
    <row r="38" spans="1:15" x14ac:dyDescent="0.3">
      <c r="A38" s="84" t="s">
        <v>710</v>
      </c>
      <c r="B38" s="87" t="s">
        <v>728</v>
      </c>
      <c r="C38" s="85">
        <v>348</v>
      </c>
      <c r="D38" s="85"/>
      <c r="E38" s="85"/>
      <c r="F38" s="85"/>
      <c r="G38" s="85" t="s">
        <v>74</v>
      </c>
      <c r="H38" s="88"/>
      <c r="I38" s="85"/>
      <c r="J38" s="86"/>
      <c r="K38" s="86"/>
      <c r="L38" s="86"/>
      <c r="M38" s="5">
        <f t="shared" si="0"/>
        <v>0</v>
      </c>
      <c r="N38" s="5">
        <f t="shared" si="1"/>
        <v>348</v>
      </c>
      <c r="O38" s="85"/>
    </row>
    <row r="39" spans="1:15" x14ac:dyDescent="0.3">
      <c r="A39" s="84" t="s">
        <v>710</v>
      </c>
      <c r="B39" s="87" t="s">
        <v>729</v>
      </c>
      <c r="C39" s="85">
        <v>16</v>
      </c>
      <c r="D39" s="85"/>
      <c r="E39" s="85"/>
      <c r="F39" s="85" t="s">
        <v>714</v>
      </c>
      <c r="G39" s="85" t="s">
        <v>74</v>
      </c>
      <c r="H39" s="88"/>
      <c r="I39" s="85"/>
      <c r="J39" s="86"/>
      <c r="K39" s="86"/>
      <c r="L39" s="86"/>
      <c r="M39" s="5">
        <f t="shared" si="0"/>
        <v>0</v>
      </c>
      <c r="N39" s="5">
        <f t="shared" si="1"/>
        <v>16</v>
      </c>
      <c r="O39" s="85"/>
    </row>
    <row r="40" spans="1:15" x14ac:dyDescent="0.3">
      <c r="A40" s="84" t="s">
        <v>710</v>
      </c>
      <c r="B40" s="87" t="s">
        <v>730</v>
      </c>
      <c r="C40" s="87">
        <v>228</v>
      </c>
      <c r="D40" s="85"/>
      <c r="E40" s="85"/>
      <c r="F40" s="85"/>
      <c r="G40" s="85" t="s">
        <v>74</v>
      </c>
      <c r="H40" s="88"/>
      <c r="I40" s="85"/>
      <c r="J40" s="86"/>
      <c r="K40" s="86"/>
      <c r="L40" s="86"/>
      <c r="M40" s="5">
        <f t="shared" si="0"/>
        <v>0</v>
      </c>
      <c r="N40" s="5">
        <f t="shared" si="1"/>
        <v>228</v>
      </c>
      <c r="O40" s="85"/>
    </row>
    <row r="41" spans="1:15" x14ac:dyDescent="0.3">
      <c r="A41" s="84" t="s">
        <v>710</v>
      </c>
      <c r="B41" s="87" t="s">
        <v>731</v>
      </c>
      <c r="C41" s="85">
        <v>21</v>
      </c>
      <c r="D41" s="85"/>
      <c r="E41" s="85"/>
      <c r="F41" s="85" t="s">
        <v>714</v>
      </c>
      <c r="G41" s="85" t="s">
        <v>74</v>
      </c>
      <c r="H41" s="88"/>
      <c r="I41" s="85"/>
      <c r="J41" s="86"/>
      <c r="K41" s="86"/>
      <c r="L41" s="86"/>
      <c r="M41" s="5">
        <f t="shared" si="0"/>
        <v>0</v>
      </c>
      <c r="N41" s="5">
        <f t="shared" si="1"/>
        <v>21</v>
      </c>
      <c r="O41" s="85"/>
    </row>
    <row r="42" spans="1:15" x14ac:dyDescent="0.3">
      <c r="A42" s="84" t="s">
        <v>710</v>
      </c>
      <c r="B42" s="87" t="s">
        <v>732</v>
      </c>
      <c r="C42" s="85">
        <v>20</v>
      </c>
      <c r="D42" s="85"/>
      <c r="E42" s="85"/>
      <c r="F42" s="85" t="s">
        <v>714</v>
      </c>
      <c r="G42" s="85" t="s">
        <v>74</v>
      </c>
      <c r="H42" s="88"/>
      <c r="I42" s="85"/>
      <c r="J42" s="86"/>
      <c r="K42" s="86"/>
      <c r="L42" s="86"/>
      <c r="M42" s="5">
        <f t="shared" si="0"/>
        <v>0</v>
      </c>
      <c r="N42" s="5">
        <f t="shared" si="1"/>
        <v>20</v>
      </c>
      <c r="O42" s="85"/>
    </row>
    <row r="43" spans="1:15" ht="42" hidden="1" x14ac:dyDescent="0.3">
      <c r="A43" s="84" t="s">
        <v>710</v>
      </c>
      <c r="B43" s="85" t="s">
        <v>733</v>
      </c>
      <c r="C43" s="85">
        <v>1030</v>
      </c>
      <c r="D43" s="85"/>
      <c r="E43" s="85"/>
      <c r="F43" s="85"/>
      <c r="G43" s="85" t="s">
        <v>38</v>
      </c>
      <c r="H43" s="88"/>
      <c r="I43" s="85"/>
      <c r="J43" s="86"/>
      <c r="K43" s="86" t="e">
        <f>VLOOKUP(B43,'[1]2026.3'!$C$3:$R$381,14,0)</f>
        <v>#N/A</v>
      </c>
      <c r="L43" s="86" t="e">
        <f>VLOOKUP(B43,'[1]2026.3'!$C$3:$R$381,15,0)</f>
        <v>#N/A</v>
      </c>
      <c r="M43" s="5">
        <f t="shared" si="0"/>
        <v>1030</v>
      </c>
      <c r="N43" s="5">
        <f t="shared" si="1"/>
        <v>0</v>
      </c>
      <c r="O43" s="85"/>
    </row>
    <row r="44" spans="1:15" ht="42" hidden="1" x14ac:dyDescent="0.3">
      <c r="A44" s="84" t="s">
        <v>710</v>
      </c>
      <c r="B44" s="85" t="s">
        <v>733</v>
      </c>
      <c r="C44" s="85">
        <v>360</v>
      </c>
      <c r="D44" s="85"/>
      <c r="E44" s="85"/>
      <c r="F44" s="85"/>
      <c r="G44" s="85" t="s">
        <v>38</v>
      </c>
      <c r="H44" s="88"/>
      <c r="I44" s="85"/>
      <c r="J44" s="86"/>
      <c r="K44" s="86" t="e">
        <f>VLOOKUP(B44,'[1]2026.3'!$C$3:$R$381,14,0)</f>
        <v>#N/A</v>
      </c>
      <c r="L44" s="86" t="e">
        <f>VLOOKUP(B44,'[1]2026.3'!$C$3:$R$381,15,0)</f>
        <v>#N/A</v>
      </c>
      <c r="M44" s="5">
        <f t="shared" si="0"/>
        <v>360</v>
      </c>
      <c r="N44" s="5">
        <f t="shared" si="1"/>
        <v>0</v>
      </c>
      <c r="O44" s="85"/>
    </row>
    <row r="45" spans="1:15" ht="42" hidden="1" x14ac:dyDescent="0.3">
      <c r="A45" s="84" t="s">
        <v>710</v>
      </c>
      <c r="B45" s="85" t="s">
        <v>733</v>
      </c>
      <c r="C45" s="85">
        <v>59</v>
      </c>
      <c r="D45" s="85"/>
      <c r="E45" s="85"/>
      <c r="F45" s="85"/>
      <c r="G45" s="85" t="s">
        <v>38</v>
      </c>
      <c r="H45" s="88"/>
      <c r="I45" s="85"/>
      <c r="J45" s="86"/>
      <c r="K45" s="86" t="e">
        <f>VLOOKUP(B45,'[1]2026.3'!$C$3:$R$381,14,0)</f>
        <v>#N/A</v>
      </c>
      <c r="L45" s="86" t="e">
        <f>VLOOKUP(B45,'[1]2026.3'!$C$3:$R$381,15,0)</f>
        <v>#N/A</v>
      </c>
      <c r="M45" s="5">
        <f t="shared" si="0"/>
        <v>59</v>
      </c>
      <c r="N45" s="5">
        <f t="shared" si="1"/>
        <v>0</v>
      </c>
      <c r="O45" s="85"/>
    </row>
    <row r="46" spans="1:15" ht="42" hidden="1" x14ac:dyDescent="0.3">
      <c r="A46" s="84" t="s">
        <v>710</v>
      </c>
      <c r="B46" s="85" t="s">
        <v>733</v>
      </c>
      <c r="C46" s="85">
        <v>184</v>
      </c>
      <c r="D46" s="85"/>
      <c r="E46" s="85"/>
      <c r="F46" s="85"/>
      <c r="G46" s="85" t="s">
        <v>38</v>
      </c>
      <c r="H46" s="88"/>
      <c r="I46" s="85"/>
      <c r="J46" s="86"/>
      <c r="K46" s="86" t="e">
        <f>VLOOKUP(B46,'[1]2026.3'!$C$3:$R$381,14,0)</f>
        <v>#N/A</v>
      </c>
      <c r="L46" s="86" t="e">
        <f>VLOOKUP(B46,'[1]2026.3'!$C$3:$R$381,15,0)</f>
        <v>#N/A</v>
      </c>
      <c r="M46" s="5">
        <f t="shared" si="0"/>
        <v>184</v>
      </c>
      <c r="N46" s="5">
        <f t="shared" si="1"/>
        <v>0</v>
      </c>
      <c r="O46" s="85"/>
    </row>
    <row r="47" spans="1:15" ht="42" hidden="1" x14ac:dyDescent="0.3">
      <c r="A47" s="84" t="s">
        <v>710</v>
      </c>
      <c r="B47" s="85" t="s">
        <v>733</v>
      </c>
      <c r="C47" s="85">
        <v>325</v>
      </c>
      <c r="D47" s="85"/>
      <c r="E47" s="85"/>
      <c r="F47" s="85"/>
      <c r="G47" s="85" t="s">
        <v>38</v>
      </c>
      <c r="H47" s="88"/>
      <c r="I47" s="85"/>
      <c r="J47" s="86"/>
      <c r="K47" s="86" t="e">
        <f>VLOOKUP(B47,'[1]2026.3'!$C$3:$R$381,14,0)</f>
        <v>#N/A</v>
      </c>
      <c r="L47" s="86" t="e">
        <f>VLOOKUP(B47,'[1]2026.3'!$C$3:$R$381,15,0)</f>
        <v>#N/A</v>
      </c>
      <c r="M47" s="5">
        <f t="shared" si="0"/>
        <v>325</v>
      </c>
      <c r="N47" s="5">
        <f t="shared" si="1"/>
        <v>0</v>
      </c>
      <c r="O47" s="85"/>
    </row>
    <row r="48" spans="1:15" ht="42" hidden="1" x14ac:dyDescent="0.3">
      <c r="A48" s="84" t="s">
        <v>710</v>
      </c>
      <c r="B48" s="85" t="s">
        <v>733</v>
      </c>
      <c r="C48" s="85">
        <v>252</v>
      </c>
      <c r="D48" s="85"/>
      <c r="E48" s="85"/>
      <c r="F48" s="85"/>
      <c r="G48" s="85" t="s">
        <v>38</v>
      </c>
      <c r="H48" s="88"/>
      <c r="I48" s="85"/>
      <c r="J48" s="86"/>
      <c r="K48" s="86" t="e">
        <f>VLOOKUP(B48,'[1]2026.3'!$C$3:$R$381,14,0)</f>
        <v>#N/A</v>
      </c>
      <c r="L48" s="86" t="e">
        <f>VLOOKUP(B48,'[1]2026.3'!$C$3:$R$381,15,0)</f>
        <v>#N/A</v>
      </c>
      <c r="M48" s="5">
        <f t="shared" si="0"/>
        <v>252</v>
      </c>
      <c r="N48" s="5">
        <f t="shared" si="1"/>
        <v>0</v>
      </c>
      <c r="O48" s="85"/>
    </row>
    <row r="49" spans="1:15" ht="42" hidden="1" x14ac:dyDescent="0.3">
      <c r="A49" s="84" t="s">
        <v>710</v>
      </c>
      <c r="B49" s="85" t="s">
        <v>733</v>
      </c>
      <c r="C49" s="85">
        <v>262</v>
      </c>
      <c r="D49" s="85"/>
      <c r="E49" s="85"/>
      <c r="F49" s="85"/>
      <c r="G49" s="85" t="s">
        <v>38</v>
      </c>
      <c r="H49" s="88"/>
      <c r="I49" s="85"/>
      <c r="J49" s="86"/>
      <c r="K49" s="86" t="e">
        <f>VLOOKUP(B49,'[1]2026.3'!$C$3:$R$381,14,0)</f>
        <v>#N/A</v>
      </c>
      <c r="L49" s="86" t="e">
        <f>VLOOKUP(B49,'[1]2026.3'!$C$3:$R$381,15,0)</f>
        <v>#N/A</v>
      </c>
      <c r="M49" s="5">
        <f t="shared" si="0"/>
        <v>262</v>
      </c>
      <c r="N49" s="5">
        <f t="shared" si="1"/>
        <v>0</v>
      </c>
      <c r="O49" s="85"/>
    </row>
    <row r="50" spans="1:15" ht="42" hidden="1" x14ac:dyDescent="0.3">
      <c r="A50" s="84" t="s">
        <v>710</v>
      </c>
      <c r="B50" s="85" t="s">
        <v>733</v>
      </c>
      <c r="C50" s="85">
        <v>246</v>
      </c>
      <c r="D50" s="85"/>
      <c r="E50" s="85"/>
      <c r="F50" s="85"/>
      <c r="G50" s="85" t="s">
        <v>38</v>
      </c>
      <c r="H50" s="88"/>
      <c r="I50" s="85"/>
      <c r="J50" s="86"/>
      <c r="K50" s="86" t="e">
        <f>VLOOKUP(B50,'[1]2026.3'!$C$3:$R$381,14,0)</f>
        <v>#N/A</v>
      </c>
      <c r="L50" s="86" t="e">
        <f>VLOOKUP(B50,'[1]2026.3'!$C$3:$R$381,15,0)</f>
        <v>#N/A</v>
      </c>
      <c r="M50" s="5">
        <f t="shared" si="0"/>
        <v>246</v>
      </c>
      <c r="N50" s="5">
        <f t="shared" si="1"/>
        <v>0</v>
      </c>
      <c r="O50" s="85"/>
    </row>
    <row r="51" spans="1:15" ht="42" hidden="1" x14ac:dyDescent="0.3">
      <c r="A51" s="84" t="s">
        <v>710</v>
      </c>
      <c r="B51" s="85" t="s">
        <v>733</v>
      </c>
      <c r="C51" s="85">
        <v>263</v>
      </c>
      <c r="D51" s="85"/>
      <c r="E51" s="85"/>
      <c r="F51" s="85"/>
      <c r="G51" s="85" t="s">
        <v>38</v>
      </c>
      <c r="H51" s="88"/>
      <c r="I51" s="85"/>
      <c r="J51" s="86"/>
      <c r="K51" s="86" t="e">
        <f>VLOOKUP(B51,'[1]2026.3'!$C$3:$R$381,14,0)</f>
        <v>#N/A</v>
      </c>
      <c r="L51" s="86" t="e">
        <f>VLOOKUP(B51,'[1]2026.3'!$C$3:$R$381,15,0)</f>
        <v>#N/A</v>
      </c>
      <c r="M51" s="5">
        <f t="shared" si="0"/>
        <v>263</v>
      </c>
      <c r="N51" s="5">
        <f t="shared" si="1"/>
        <v>0</v>
      </c>
      <c r="O51" s="85"/>
    </row>
    <row r="52" spans="1:15" ht="42" hidden="1" x14ac:dyDescent="0.3">
      <c r="A52" s="84" t="s">
        <v>710</v>
      </c>
      <c r="B52" s="85" t="s">
        <v>733</v>
      </c>
      <c r="C52" s="85">
        <v>246</v>
      </c>
      <c r="D52" s="85"/>
      <c r="E52" s="85"/>
      <c r="F52" s="85"/>
      <c r="G52" s="85" t="s">
        <v>38</v>
      </c>
      <c r="H52" s="88"/>
      <c r="I52" s="85"/>
      <c r="J52" s="86"/>
      <c r="K52" s="86" t="e">
        <f>VLOOKUP(B52,'[1]2026.3'!$C$3:$R$381,14,0)</f>
        <v>#N/A</v>
      </c>
      <c r="L52" s="86" t="e">
        <f>VLOOKUP(B52,'[1]2026.3'!$C$3:$R$381,15,0)</f>
        <v>#N/A</v>
      </c>
      <c r="M52" s="5">
        <f t="shared" si="0"/>
        <v>246</v>
      </c>
      <c r="N52" s="5">
        <f t="shared" si="1"/>
        <v>0</v>
      </c>
      <c r="O52" s="85"/>
    </row>
    <row r="53" spans="1:15" hidden="1" x14ac:dyDescent="0.3">
      <c r="A53" s="85" t="s">
        <v>734</v>
      </c>
      <c r="B53" s="85" t="s">
        <v>735</v>
      </c>
      <c r="C53" s="85"/>
      <c r="D53" s="85"/>
      <c r="E53" s="85"/>
      <c r="F53" s="5" t="s">
        <v>736</v>
      </c>
      <c r="G53" s="85" t="s">
        <v>38</v>
      </c>
      <c r="H53" s="88"/>
      <c r="I53" s="85" t="s">
        <v>76</v>
      </c>
      <c r="J53" s="5" t="s">
        <v>737</v>
      </c>
      <c r="K53" s="5" t="s">
        <v>738</v>
      </c>
      <c r="L53" s="5" t="s">
        <v>739</v>
      </c>
      <c r="M53" s="5">
        <f t="shared" ref="M53:M62" si="2">IF(G53="已租",C53,0)</f>
        <v>0</v>
      </c>
      <c r="N53" s="5">
        <f t="shared" ref="N53:N64" si="3">IF(G53="未出租",C53,0)</f>
        <v>0</v>
      </c>
      <c r="O53" s="85"/>
    </row>
    <row r="54" spans="1:15" hidden="1" x14ac:dyDescent="0.3">
      <c r="A54" s="85" t="s">
        <v>740</v>
      </c>
      <c r="B54" s="85" t="s">
        <v>741</v>
      </c>
      <c r="C54" s="85"/>
      <c r="D54" s="85"/>
      <c r="E54" s="85"/>
      <c r="F54" s="5" t="s">
        <v>742</v>
      </c>
      <c r="G54" s="85" t="s">
        <v>38</v>
      </c>
      <c r="H54" s="88"/>
      <c r="I54" s="85" t="s">
        <v>76</v>
      </c>
      <c r="J54" s="5" t="s">
        <v>737</v>
      </c>
      <c r="K54" s="5" t="s">
        <v>738</v>
      </c>
      <c r="L54" s="5" t="s">
        <v>739</v>
      </c>
      <c r="M54" s="5">
        <f t="shared" si="2"/>
        <v>0</v>
      </c>
      <c r="N54" s="5">
        <f t="shared" si="3"/>
        <v>0</v>
      </c>
      <c r="O54" s="85"/>
    </row>
    <row r="55" spans="1:15" hidden="1" x14ac:dyDescent="0.3">
      <c r="A55" s="85" t="s">
        <v>734</v>
      </c>
      <c r="B55" s="85" t="s">
        <v>743</v>
      </c>
      <c r="C55" s="85">
        <v>109</v>
      </c>
      <c r="D55" s="89"/>
      <c r="E55" s="90"/>
      <c r="F55" s="85"/>
      <c r="G55" s="85" t="s">
        <v>38</v>
      </c>
      <c r="H55" s="88">
        <f>SUM(H16:H17)</f>
        <v>0</v>
      </c>
      <c r="I55" s="85"/>
      <c r="J55" s="86">
        <f>VLOOKUP(B55,'[1]2026.3'!$C$3:$R$381,13,0)</f>
        <v>45887</v>
      </c>
      <c r="K55" s="86">
        <f>VLOOKUP(B55,'[1]2026.3'!$C$3:$R$381,14,0)</f>
        <v>45885</v>
      </c>
      <c r="L55" s="86">
        <f>VLOOKUP(B55,'[1]2026.3'!$C$3:$R$381,15,0)</f>
        <v>46249</v>
      </c>
      <c r="M55" s="5">
        <f t="shared" si="2"/>
        <v>109</v>
      </c>
      <c r="N55" s="5">
        <f t="shared" si="3"/>
        <v>0</v>
      </c>
      <c r="O55" s="85"/>
    </row>
    <row r="56" spans="1:15" hidden="1" x14ac:dyDescent="0.3">
      <c r="A56" s="85" t="s">
        <v>734</v>
      </c>
      <c r="B56" s="85" t="s">
        <v>744</v>
      </c>
      <c r="C56" s="85">
        <v>1445</v>
      </c>
      <c r="D56" s="89"/>
      <c r="E56" s="90"/>
      <c r="F56" s="85"/>
      <c r="G56" s="85" t="s">
        <v>38</v>
      </c>
      <c r="H56" s="85"/>
      <c r="I56" s="85"/>
      <c r="J56" s="86">
        <f>VLOOKUP(B56,'[1]2026.3'!$C$3:$R$381,13,0)</f>
        <v>45901</v>
      </c>
      <c r="K56" s="86">
        <f>VLOOKUP(B56,'[1]2026.3'!$C$3:$R$381,14,0)</f>
        <v>45901</v>
      </c>
      <c r="L56" s="86">
        <f>VLOOKUP(B56,'[1]2026.3'!$C$3:$R$381,15,0)</f>
        <v>46265</v>
      </c>
      <c r="M56" s="5">
        <f t="shared" si="2"/>
        <v>1445</v>
      </c>
      <c r="N56" s="5">
        <f t="shared" si="3"/>
        <v>0</v>
      </c>
      <c r="O56" s="85"/>
    </row>
    <row r="57" spans="1:15" hidden="1" x14ac:dyDescent="0.3">
      <c r="A57" s="85" t="s">
        <v>734</v>
      </c>
      <c r="B57" s="85" t="s">
        <v>745</v>
      </c>
      <c r="C57" s="85">
        <v>418</v>
      </c>
      <c r="D57" s="89"/>
      <c r="E57" s="90"/>
      <c r="F57" s="85"/>
      <c r="G57" s="85" t="s">
        <v>38</v>
      </c>
      <c r="H57" s="85"/>
      <c r="I57" s="85"/>
      <c r="J57" s="86">
        <f>VLOOKUP(B57,'[1]2026.3'!$C$3:$R$381,13,0)</f>
        <v>45916</v>
      </c>
      <c r="K57" s="86">
        <f>VLOOKUP(B57,'[1]2026.3'!$C$3:$R$381,14,0)</f>
        <v>45901</v>
      </c>
      <c r="L57" s="86">
        <f>VLOOKUP(B57,'[1]2026.3'!$C$3:$R$381,15,0)</f>
        <v>46265</v>
      </c>
      <c r="M57" s="5">
        <f t="shared" si="2"/>
        <v>418</v>
      </c>
      <c r="N57" s="5">
        <f t="shared" si="3"/>
        <v>0</v>
      </c>
      <c r="O57" s="85"/>
    </row>
    <row r="58" spans="1:15" hidden="1" x14ac:dyDescent="0.3">
      <c r="A58" s="85" t="s">
        <v>734</v>
      </c>
      <c r="B58" s="85" t="s">
        <v>746</v>
      </c>
      <c r="C58" s="85">
        <v>507</v>
      </c>
      <c r="D58" s="89"/>
      <c r="E58" s="90"/>
      <c r="F58" s="85"/>
      <c r="G58" s="85" t="s">
        <v>38</v>
      </c>
      <c r="H58" s="85"/>
      <c r="I58" s="85"/>
      <c r="J58" s="86">
        <f>VLOOKUP(B58,'[1]2026.3'!$C$3:$R$381,13,0)</f>
        <v>45930</v>
      </c>
      <c r="K58" s="86">
        <f>VLOOKUP(B58,'[1]2026.3'!$C$3:$R$381,14,0)</f>
        <v>45931</v>
      </c>
      <c r="L58" s="86">
        <f>VLOOKUP(B58,'[1]2026.3'!$C$3:$R$381,15,0)</f>
        <v>46660</v>
      </c>
      <c r="M58" s="5">
        <f t="shared" si="2"/>
        <v>507</v>
      </c>
      <c r="N58" s="5">
        <f t="shared" si="3"/>
        <v>0</v>
      </c>
      <c r="O58" s="85"/>
    </row>
    <row r="59" spans="1:15" hidden="1" x14ac:dyDescent="0.3">
      <c r="A59" s="85" t="s">
        <v>734</v>
      </c>
      <c r="B59" s="85" t="s">
        <v>747</v>
      </c>
      <c r="C59" s="85">
        <v>329</v>
      </c>
      <c r="D59" s="89"/>
      <c r="E59" s="90"/>
      <c r="F59" s="85"/>
      <c r="G59" s="85" t="s">
        <v>38</v>
      </c>
      <c r="H59" s="85"/>
      <c r="I59" s="85"/>
      <c r="J59" s="86">
        <f>VLOOKUP(B59,'[1]2026.3'!$C$3:$R$381,13,0)</f>
        <v>46042</v>
      </c>
      <c r="K59" s="86">
        <f>VLOOKUP(B59,'[1]2026.3'!$C$3:$R$381,14,0)</f>
        <v>45962</v>
      </c>
      <c r="L59" s="86">
        <f>VLOOKUP(B59,'[1]2026.3'!$C$3:$R$381,15,0)</f>
        <v>46326</v>
      </c>
      <c r="M59" s="5">
        <f t="shared" si="2"/>
        <v>329</v>
      </c>
      <c r="N59" s="5">
        <f t="shared" si="3"/>
        <v>0</v>
      </c>
      <c r="O59" s="85"/>
    </row>
    <row r="60" spans="1:15" hidden="1" x14ac:dyDescent="0.3">
      <c r="A60" s="85" t="s">
        <v>734</v>
      </c>
      <c r="B60" s="85" t="s">
        <v>748</v>
      </c>
      <c r="C60" s="85">
        <v>315</v>
      </c>
      <c r="D60" s="89"/>
      <c r="E60" s="90"/>
      <c r="F60" s="85"/>
      <c r="G60" s="85" t="s">
        <v>38</v>
      </c>
      <c r="H60" s="85"/>
      <c r="I60" s="85"/>
      <c r="J60" s="86" t="e">
        <f>VLOOKUP(B60,'[1]2026.3'!$C$3:$R$381,13,0)</f>
        <v>#REF!</v>
      </c>
      <c r="K60" s="86">
        <f>VLOOKUP(B60,'[1]2026.3'!$C$3:$R$381,14,0)</f>
        <v>45962</v>
      </c>
      <c r="L60" s="86">
        <f>VLOOKUP(B60,'[1]2026.3'!$C$3:$R$381,15,0)</f>
        <v>46326</v>
      </c>
      <c r="M60" s="5">
        <f t="shared" si="2"/>
        <v>315</v>
      </c>
      <c r="N60" s="5">
        <f t="shared" si="3"/>
        <v>0</v>
      </c>
      <c r="O60" s="85"/>
    </row>
    <row r="61" spans="1:15" hidden="1" x14ac:dyDescent="0.3">
      <c r="A61" s="85" t="s">
        <v>734</v>
      </c>
      <c r="B61" s="85" t="s">
        <v>749</v>
      </c>
      <c r="C61" s="85">
        <v>116</v>
      </c>
      <c r="D61" s="89"/>
      <c r="E61" s="90"/>
      <c r="F61" s="85"/>
      <c r="G61" s="85" t="s">
        <v>38</v>
      </c>
      <c r="H61" s="85"/>
      <c r="I61" s="85"/>
      <c r="J61" s="86">
        <f>VLOOKUP(B61,'[1]2026.3'!$C$3:$R$381,13,0)</f>
        <v>45917</v>
      </c>
      <c r="K61" s="86">
        <f>VLOOKUP(B61,'[1]2026.3'!$C$3:$R$381,14,0)</f>
        <v>45917</v>
      </c>
      <c r="L61" s="86">
        <f>VLOOKUP(B61,'[1]2026.3'!$C$3:$R$381,15,0)</f>
        <v>46281</v>
      </c>
      <c r="M61" s="5">
        <f t="shared" si="2"/>
        <v>116</v>
      </c>
      <c r="N61" s="5">
        <f t="shared" si="3"/>
        <v>0</v>
      </c>
      <c r="O61" s="85"/>
    </row>
    <row r="62" spans="1:15" hidden="1" x14ac:dyDescent="0.3">
      <c r="A62" s="85" t="s">
        <v>734</v>
      </c>
      <c r="B62" s="85" t="s">
        <v>750</v>
      </c>
      <c r="C62" s="85">
        <v>210</v>
      </c>
      <c r="D62" s="89"/>
      <c r="E62" s="90"/>
      <c r="F62" s="85"/>
      <c r="G62" s="85" t="s">
        <v>38</v>
      </c>
      <c r="H62" s="85"/>
      <c r="I62" s="85"/>
      <c r="J62" s="86">
        <v>46105</v>
      </c>
      <c r="K62" s="86">
        <v>46113</v>
      </c>
      <c r="L62" s="86">
        <v>46477</v>
      </c>
      <c r="M62" s="5">
        <f t="shared" si="2"/>
        <v>210</v>
      </c>
      <c r="N62" s="5">
        <f t="shared" si="3"/>
        <v>0</v>
      </c>
      <c r="O62" s="85" t="s">
        <v>751</v>
      </c>
    </row>
    <row r="63" spans="1:15" hidden="1" x14ac:dyDescent="0.3">
      <c r="A63" s="85" t="s">
        <v>734</v>
      </c>
      <c r="B63" s="85" t="s">
        <v>752</v>
      </c>
      <c r="C63" s="85">
        <v>167</v>
      </c>
      <c r="D63" s="89"/>
      <c r="E63" s="90"/>
      <c r="F63" s="85"/>
      <c r="G63" s="85" t="s">
        <v>38</v>
      </c>
      <c r="H63" s="85"/>
      <c r="I63" s="85"/>
      <c r="J63" s="86">
        <f>VLOOKUP(B63,'[1]2026.3'!$C$3:$R$381,13,0)</f>
        <v>45900</v>
      </c>
      <c r="K63" s="86">
        <f>VLOOKUP(B63,'[1]2026.3'!$C$3:$R$381,14,0)</f>
        <v>45901</v>
      </c>
      <c r="L63" s="86">
        <f>VLOOKUP(B63,'[1]2026.3'!$C$3:$R$381,15,0)</f>
        <v>46630</v>
      </c>
      <c r="M63" s="5">
        <f t="shared" ref="M63:M86" si="4">IF(G63="已租",C63,0)</f>
        <v>167</v>
      </c>
      <c r="N63" s="5">
        <f t="shared" si="3"/>
        <v>0</v>
      </c>
      <c r="O63" s="85"/>
    </row>
    <row r="64" spans="1:15" hidden="1" x14ac:dyDescent="0.3">
      <c r="A64" s="85" t="s">
        <v>734</v>
      </c>
      <c r="B64" s="85" t="s">
        <v>753</v>
      </c>
      <c r="C64" s="85">
        <v>353</v>
      </c>
      <c r="D64" s="89"/>
      <c r="E64" s="90"/>
      <c r="F64" s="85"/>
      <c r="G64" s="85" t="s">
        <v>38</v>
      </c>
      <c r="H64" s="85"/>
      <c r="I64" s="85"/>
      <c r="J64" s="86" t="e">
        <f>VLOOKUP(B64,'[1]2026.3'!$C$3:$R$381,13,0)</f>
        <v>#REF!</v>
      </c>
      <c r="K64" s="86">
        <f>VLOOKUP(B64,'[1]2026.3'!$C$3:$R$381,14,0)</f>
        <v>46023</v>
      </c>
      <c r="L64" s="86">
        <f>VLOOKUP(B64,'[1]2026.3'!$C$3:$R$381,15,0)</f>
        <v>46752</v>
      </c>
      <c r="M64" s="5">
        <f t="shared" si="4"/>
        <v>353</v>
      </c>
      <c r="N64" s="5">
        <f t="shared" si="3"/>
        <v>0</v>
      </c>
      <c r="O64" s="85"/>
    </row>
    <row r="65" spans="1:15" hidden="1" x14ac:dyDescent="0.3">
      <c r="A65" s="85" t="s">
        <v>734</v>
      </c>
      <c r="B65" s="91" t="s">
        <v>754</v>
      </c>
      <c r="C65" s="85">
        <v>2203</v>
      </c>
      <c r="D65" s="89"/>
      <c r="E65" s="90"/>
      <c r="F65" s="85"/>
      <c r="G65" s="85" t="s">
        <v>38</v>
      </c>
      <c r="H65" s="85"/>
      <c r="I65" s="85"/>
      <c r="J65" s="86">
        <f>VLOOKUP(B65,'[1]2026.3'!$C$3:$R$381,13,0)</f>
        <v>45931</v>
      </c>
      <c r="K65" s="86">
        <f>VLOOKUP(B65,'[1]2026.3'!$C$3:$R$381,14,0)</f>
        <v>45931</v>
      </c>
      <c r="L65" s="86">
        <f>VLOOKUP(B65,'[1]2026.3'!$C$3:$R$381,15,0)</f>
        <v>47026</v>
      </c>
      <c r="M65" s="5">
        <f t="shared" si="4"/>
        <v>2203</v>
      </c>
      <c r="N65" s="5">
        <f t="shared" ref="N65:N86" si="5">IF(G65="未出租",C65,0)</f>
        <v>0</v>
      </c>
      <c r="O65" s="85"/>
    </row>
    <row r="66" spans="1:15" x14ac:dyDescent="0.3">
      <c r="A66" s="85" t="s">
        <v>734</v>
      </c>
      <c r="B66" s="85" t="s">
        <v>755</v>
      </c>
      <c r="C66" s="85">
        <v>46</v>
      </c>
      <c r="D66" s="89"/>
      <c r="E66" s="90"/>
      <c r="F66" s="85"/>
      <c r="G66" s="85" t="s">
        <v>74</v>
      </c>
      <c r="H66" s="85"/>
      <c r="I66" s="85"/>
      <c r="J66" s="86"/>
      <c r="K66" s="86"/>
      <c r="L66" s="86"/>
      <c r="M66" s="5">
        <f t="shared" si="4"/>
        <v>0</v>
      </c>
      <c r="N66" s="5">
        <f t="shared" si="5"/>
        <v>46</v>
      </c>
      <c r="O66" s="85"/>
    </row>
    <row r="67" spans="1:15" hidden="1" x14ac:dyDescent="0.3">
      <c r="A67" s="85" t="s">
        <v>734</v>
      </c>
      <c r="B67" s="85" t="s">
        <v>756</v>
      </c>
      <c r="C67" s="85">
        <v>46</v>
      </c>
      <c r="D67" s="89"/>
      <c r="E67" s="90"/>
      <c r="F67" s="85"/>
      <c r="G67" s="85" t="s">
        <v>38</v>
      </c>
      <c r="H67" s="85"/>
      <c r="I67" s="85"/>
      <c r="J67" s="86">
        <f>VLOOKUP(B67,'[1]2026.3'!$C$3:$R$381,13,0)</f>
        <v>46373</v>
      </c>
      <c r="K67" s="86">
        <f>VLOOKUP(B67,'[1]2026.3'!$C$3:$R$381,14,0)</f>
        <v>45972</v>
      </c>
      <c r="L67" s="86">
        <f>VLOOKUP(B67,'[1]2026.3'!$C$3:$R$381,15,0)</f>
        <v>46336</v>
      </c>
      <c r="M67" s="5">
        <f t="shared" si="4"/>
        <v>46</v>
      </c>
      <c r="N67" s="5">
        <f t="shared" si="5"/>
        <v>0</v>
      </c>
      <c r="O67" s="85"/>
    </row>
    <row r="68" spans="1:15" x14ac:dyDescent="0.3">
      <c r="A68" s="85" t="s">
        <v>734</v>
      </c>
      <c r="B68" s="85" t="s">
        <v>757</v>
      </c>
      <c r="C68" s="85">
        <v>59</v>
      </c>
      <c r="D68" s="89"/>
      <c r="E68" s="90"/>
      <c r="F68" s="85"/>
      <c r="G68" s="85" t="s">
        <v>74</v>
      </c>
      <c r="H68" s="85"/>
      <c r="I68" s="85"/>
      <c r="J68" s="86"/>
      <c r="K68" s="86"/>
      <c r="L68" s="86"/>
      <c r="M68" s="5">
        <f t="shared" si="4"/>
        <v>0</v>
      </c>
      <c r="N68" s="5">
        <f t="shared" si="5"/>
        <v>59</v>
      </c>
      <c r="O68" s="85"/>
    </row>
    <row r="69" spans="1:15" x14ac:dyDescent="0.3">
      <c r="A69" s="85" t="s">
        <v>734</v>
      </c>
      <c r="B69" s="85" t="s">
        <v>758</v>
      </c>
      <c r="C69" s="85">
        <v>68</v>
      </c>
      <c r="D69" s="89"/>
      <c r="E69" s="90"/>
      <c r="F69" s="85"/>
      <c r="G69" s="85" t="s">
        <v>74</v>
      </c>
      <c r="H69" s="85"/>
      <c r="I69" s="85"/>
      <c r="J69" s="86"/>
      <c r="K69" s="86"/>
      <c r="L69" s="86"/>
      <c r="M69" s="5">
        <f t="shared" si="4"/>
        <v>0</v>
      </c>
      <c r="N69" s="5">
        <f t="shared" si="5"/>
        <v>68</v>
      </c>
      <c r="O69" s="85"/>
    </row>
    <row r="70" spans="1:15" hidden="1" x14ac:dyDescent="0.3">
      <c r="A70" s="85" t="s">
        <v>759</v>
      </c>
      <c r="B70" s="85" t="s">
        <v>760</v>
      </c>
      <c r="C70" s="85"/>
      <c r="D70" s="89"/>
      <c r="E70" s="90"/>
      <c r="F70" s="85"/>
      <c r="G70" s="85" t="s">
        <v>38</v>
      </c>
      <c r="H70" s="85"/>
      <c r="I70" s="85"/>
      <c r="J70" s="86"/>
      <c r="K70" s="86"/>
      <c r="L70" s="86"/>
      <c r="M70" s="5">
        <f t="shared" si="4"/>
        <v>0</v>
      </c>
      <c r="N70" s="5">
        <f t="shared" si="5"/>
        <v>0</v>
      </c>
      <c r="O70" s="85"/>
    </row>
    <row r="71" spans="1:15" hidden="1" x14ac:dyDescent="0.3">
      <c r="A71" s="85" t="s">
        <v>759</v>
      </c>
      <c r="B71" s="85" t="s">
        <v>761</v>
      </c>
      <c r="C71" s="85">
        <v>360</v>
      </c>
      <c r="D71" s="89"/>
      <c r="E71" s="90"/>
      <c r="F71" s="85"/>
      <c r="G71" s="85" t="s">
        <v>38</v>
      </c>
      <c r="H71" s="85"/>
      <c r="I71" s="85"/>
      <c r="J71" s="86"/>
      <c r="K71" s="86"/>
      <c r="L71" s="86"/>
      <c r="M71" s="5">
        <f t="shared" si="4"/>
        <v>360</v>
      </c>
      <c r="N71" s="5">
        <f t="shared" si="5"/>
        <v>0</v>
      </c>
      <c r="O71" s="85"/>
    </row>
    <row r="72" spans="1:15" hidden="1" x14ac:dyDescent="0.3">
      <c r="A72" s="85" t="s">
        <v>759</v>
      </c>
      <c r="B72" s="85"/>
      <c r="C72" s="85"/>
      <c r="D72" s="89"/>
      <c r="E72" s="90"/>
      <c r="F72" s="85"/>
      <c r="G72" s="85" t="s">
        <v>38</v>
      </c>
      <c r="H72" s="85"/>
      <c r="I72" s="85"/>
      <c r="J72" s="86"/>
      <c r="K72" s="86"/>
      <c r="L72" s="86"/>
      <c r="M72" s="5">
        <f t="shared" si="4"/>
        <v>0</v>
      </c>
      <c r="N72" s="5">
        <f t="shared" si="5"/>
        <v>0</v>
      </c>
      <c r="O72" s="85"/>
    </row>
    <row r="73" spans="1:15" hidden="1" x14ac:dyDescent="0.3">
      <c r="A73" s="85" t="s">
        <v>759</v>
      </c>
      <c r="B73" s="85"/>
      <c r="C73" s="85"/>
      <c r="D73" s="89"/>
      <c r="E73" s="90"/>
      <c r="F73" s="85"/>
      <c r="G73" s="85" t="s">
        <v>38</v>
      </c>
      <c r="H73" s="85"/>
      <c r="I73" s="85"/>
      <c r="J73" s="86"/>
      <c r="K73" s="86"/>
      <c r="L73" s="86"/>
      <c r="M73" s="5">
        <f t="shared" si="4"/>
        <v>0</v>
      </c>
      <c r="N73" s="5">
        <f t="shared" si="5"/>
        <v>0</v>
      </c>
      <c r="O73" s="85"/>
    </row>
    <row r="74" spans="1:15" hidden="1" x14ac:dyDescent="0.3">
      <c r="A74" s="85" t="s">
        <v>759</v>
      </c>
      <c r="B74" s="85" t="s">
        <v>762</v>
      </c>
      <c r="C74" s="85">
        <v>55</v>
      </c>
      <c r="D74" s="89"/>
      <c r="E74" s="90"/>
      <c r="F74" s="85"/>
      <c r="G74" s="85" t="s">
        <v>38</v>
      </c>
      <c r="H74" s="85"/>
      <c r="I74" s="85"/>
      <c r="J74" s="86"/>
      <c r="K74" s="86"/>
      <c r="L74" s="86"/>
      <c r="M74" s="5">
        <f t="shared" si="4"/>
        <v>55</v>
      </c>
      <c r="N74" s="5">
        <f t="shared" si="5"/>
        <v>0</v>
      </c>
      <c r="O74" s="85"/>
    </row>
    <row r="75" spans="1:15" hidden="1" x14ac:dyDescent="0.3">
      <c r="A75" s="85" t="s">
        <v>759</v>
      </c>
      <c r="B75" s="85" t="s">
        <v>763</v>
      </c>
      <c r="C75" s="127">
        <v>457</v>
      </c>
      <c r="D75" s="89"/>
      <c r="E75" s="90"/>
      <c r="F75" s="85"/>
      <c r="G75" s="85" t="s">
        <v>38</v>
      </c>
      <c r="H75" s="85"/>
      <c r="I75" s="85"/>
      <c r="J75" s="86"/>
      <c r="K75" s="86"/>
      <c r="L75" s="86"/>
      <c r="M75" s="5">
        <f t="shared" si="4"/>
        <v>457</v>
      </c>
      <c r="N75" s="5">
        <f t="shared" si="5"/>
        <v>0</v>
      </c>
      <c r="O75" s="85"/>
    </row>
    <row r="76" spans="1:15" hidden="1" x14ac:dyDescent="0.3">
      <c r="A76" s="85" t="s">
        <v>759</v>
      </c>
      <c r="B76" s="85"/>
      <c r="C76" s="127"/>
      <c r="D76" s="89"/>
      <c r="E76" s="90"/>
      <c r="F76" s="85"/>
      <c r="G76" s="85" t="s">
        <v>38</v>
      </c>
      <c r="H76" s="85"/>
      <c r="I76" s="85"/>
      <c r="J76" s="86"/>
      <c r="K76" s="86"/>
      <c r="L76" s="86"/>
      <c r="M76" s="5">
        <f t="shared" si="4"/>
        <v>0</v>
      </c>
      <c r="N76" s="5">
        <f t="shared" si="5"/>
        <v>0</v>
      </c>
      <c r="O76" s="85"/>
    </row>
    <row r="77" spans="1:15" hidden="1" x14ac:dyDescent="0.3">
      <c r="A77" s="85" t="s">
        <v>759</v>
      </c>
      <c r="B77" s="85"/>
      <c r="C77" s="127"/>
      <c r="D77" s="89"/>
      <c r="E77" s="90"/>
      <c r="F77" s="85"/>
      <c r="G77" s="85" t="s">
        <v>38</v>
      </c>
      <c r="H77" s="85"/>
      <c r="I77" s="85"/>
      <c r="J77" s="86"/>
      <c r="K77" s="86"/>
      <c r="L77" s="86"/>
      <c r="M77" s="5">
        <f t="shared" si="4"/>
        <v>0</v>
      </c>
      <c r="N77" s="5">
        <f t="shared" si="5"/>
        <v>0</v>
      </c>
      <c r="O77" s="85"/>
    </row>
    <row r="78" spans="1:15" hidden="1" x14ac:dyDescent="0.3">
      <c r="A78" s="85" t="s">
        <v>759</v>
      </c>
      <c r="B78" s="85"/>
      <c r="C78" s="127"/>
      <c r="D78" s="89"/>
      <c r="E78" s="90"/>
      <c r="F78" s="85"/>
      <c r="G78" s="85" t="s">
        <v>38</v>
      </c>
      <c r="H78" s="85"/>
      <c r="I78" s="85"/>
      <c r="J78" s="86"/>
      <c r="K78" s="86"/>
      <c r="L78" s="86"/>
      <c r="M78" s="5">
        <f t="shared" si="4"/>
        <v>0</v>
      </c>
      <c r="N78" s="5">
        <f t="shared" si="5"/>
        <v>0</v>
      </c>
      <c r="O78" s="85"/>
    </row>
    <row r="79" spans="1:15" hidden="1" x14ac:dyDescent="0.3">
      <c r="A79" s="85" t="s">
        <v>759</v>
      </c>
      <c r="B79" s="85"/>
      <c r="C79" s="127"/>
      <c r="D79" s="89"/>
      <c r="E79" s="90"/>
      <c r="F79" s="85"/>
      <c r="G79" s="85" t="s">
        <v>38</v>
      </c>
      <c r="H79" s="85"/>
      <c r="I79" s="85"/>
      <c r="J79" s="86"/>
      <c r="K79" s="86"/>
      <c r="L79" s="86"/>
      <c r="M79" s="5">
        <f t="shared" si="4"/>
        <v>0</v>
      </c>
      <c r="N79" s="5">
        <f t="shared" si="5"/>
        <v>0</v>
      </c>
      <c r="O79" s="85"/>
    </row>
    <row r="80" spans="1:15" hidden="1" x14ac:dyDescent="0.3">
      <c r="A80" s="85" t="s">
        <v>759</v>
      </c>
      <c r="B80" s="85"/>
      <c r="C80" s="127"/>
      <c r="D80" s="89"/>
      <c r="E80" s="90"/>
      <c r="F80" s="85"/>
      <c r="G80" s="85" t="s">
        <v>38</v>
      </c>
      <c r="H80" s="85"/>
      <c r="I80" s="85"/>
      <c r="J80" s="86"/>
      <c r="K80" s="86"/>
      <c r="L80" s="86"/>
      <c r="M80" s="5">
        <f t="shared" si="4"/>
        <v>0</v>
      </c>
      <c r="N80" s="5">
        <f t="shared" si="5"/>
        <v>0</v>
      </c>
      <c r="O80" s="85"/>
    </row>
    <row r="81" spans="1:16" hidden="1" x14ac:dyDescent="0.3">
      <c r="A81" s="85" t="s">
        <v>759</v>
      </c>
      <c r="B81" s="85" t="s">
        <v>764</v>
      </c>
      <c r="C81" s="127">
        <v>468</v>
      </c>
      <c r="D81" s="89"/>
      <c r="E81" s="90"/>
      <c r="F81" s="85"/>
      <c r="G81" s="85" t="s">
        <v>38</v>
      </c>
      <c r="H81" s="85"/>
      <c r="I81" s="85"/>
      <c r="J81" s="86"/>
      <c r="K81" s="86"/>
      <c r="L81" s="86"/>
      <c r="M81" s="5">
        <f t="shared" si="4"/>
        <v>468</v>
      </c>
      <c r="N81" s="5">
        <f t="shared" si="5"/>
        <v>0</v>
      </c>
      <c r="O81" s="85"/>
    </row>
    <row r="82" spans="1:16" hidden="1" x14ac:dyDescent="0.3">
      <c r="A82" s="85" t="s">
        <v>759</v>
      </c>
      <c r="B82" s="85"/>
      <c r="C82" s="127"/>
      <c r="D82" s="89"/>
      <c r="E82" s="90"/>
      <c r="F82" s="85"/>
      <c r="G82" s="85" t="s">
        <v>38</v>
      </c>
      <c r="H82" s="85"/>
      <c r="I82" s="85"/>
      <c r="J82" s="86"/>
      <c r="K82" s="86"/>
      <c r="L82" s="86"/>
      <c r="M82" s="5">
        <f t="shared" si="4"/>
        <v>0</v>
      </c>
      <c r="N82" s="5">
        <f t="shared" si="5"/>
        <v>0</v>
      </c>
      <c r="O82" s="85"/>
    </row>
    <row r="83" spans="1:16" hidden="1" x14ac:dyDescent="0.3">
      <c r="A83" s="85" t="s">
        <v>759</v>
      </c>
      <c r="B83" s="85"/>
      <c r="C83" s="127"/>
      <c r="D83" s="89"/>
      <c r="E83" s="90"/>
      <c r="F83" s="85"/>
      <c r="G83" s="85" t="s">
        <v>38</v>
      </c>
      <c r="H83" s="85"/>
      <c r="I83" s="85"/>
      <c r="J83" s="86"/>
      <c r="K83" s="86"/>
      <c r="L83" s="86"/>
      <c r="M83" s="5">
        <f t="shared" si="4"/>
        <v>0</v>
      </c>
      <c r="N83" s="5">
        <f t="shared" si="5"/>
        <v>0</v>
      </c>
      <c r="O83" s="85"/>
    </row>
    <row r="84" spans="1:16" hidden="1" x14ac:dyDescent="0.3">
      <c r="A84" s="85" t="s">
        <v>759</v>
      </c>
      <c r="B84" s="85"/>
      <c r="C84" s="127"/>
      <c r="D84" s="89"/>
      <c r="E84" s="90"/>
      <c r="F84" s="85"/>
      <c r="G84" s="85" t="s">
        <v>38</v>
      </c>
      <c r="H84" s="85"/>
      <c r="I84" s="85"/>
      <c r="J84" s="86"/>
      <c r="K84" s="86"/>
      <c r="L84" s="86"/>
      <c r="M84" s="5">
        <f t="shared" si="4"/>
        <v>0</v>
      </c>
      <c r="N84" s="5">
        <f t="shared" si="5"/>
        <v>0</v>
      </c>
      <c r="O84" s="85"/>
    </row>
    <row r="85" spans="1:16" hidden="1" x14ac:dyDescent="0.3">
      <c r="A85" s="85" t="s">
        <v>759</v>
      </c>
      <c r="B85" s="85"/>
      <c r="C85" s="127"/>
      <c r="D85" s="89"/>
      <c r="E85" s="90"/>
      <c r="F85" s="85"/>
      <c r="G85" s="85" t="s">
        <v>38</v>
      </c>
      <c r="H85" s="85"/>
      <c r="I85" s="85"/>
      <c r="J85" s="86"/>
      <c r="K85" s="86"/>
      <c r="L85" s="86"/>
      <c r="M85" s="5">
        <f t="shared" si="4"/>
        <v>0</v>
      </c>
      <c r="N85" s="5">
        <f t="shared" si="5"/>
        <v>0</v>
      </c>
      <c r="O85" s="85"/>
    </row>
    <row r="86" spans="1:16" hidden="1" x14ac:dyDescent="0.3">
      <c r="A86" s="85" t="s">
        <v>759</v>
      </c>
      <c r="B86" s="85"/>
      <c r="C86" s="127"/>
      <c r="D86" s="89"/>
      <c r="E86" s="90"/>
      <c r="F86" s="85"/>
      <c r="G86" s="85" t="s">
        <v>38</v>
      </c>
      <c r="H86" s="85"/>
      <c r="I86" s="85"/>
      <c r="J86" s="86"/>
      <c r="K86" s="86"/>
      <c r="L86" s="86"/>
      <c r="M86" s="5">
        <f t="shared" si="4"/>
        <v>0</v>
      </c>
      <c r="N86" s="5">
        <f t="shared" si="5"/>
        <v>0</v>
      </c>
      <c r="O86" s="85"/>
    </row>
    <row r="87" spans="1:16" x14ac:dyDescent="0.3">
      <c r="A87" s="85" t="s">
        <v>734</v>
      </c>
      <c r="B87" s="92" t="s">
        <v>741</v>
      </c>
      <c r="C87" s="92"/>
      <c r="D87" s="92"/>
      <c r="E87" s="92"/>
      <c r="F87" s="92"/>
      <c r="G87" s="92" t="s">
        <v>38</v>
      </c>
      <c r="H87" s="92"/>
      <c r="I87" s="92"/>
      <c r="J87" s="92"/>
      <c r="K87" s="92"/>
      <c r="L87" s="92"/>
      <c r="M87" s="5">
        <f t="shared" ref="M87:M98" si="6">IF(G87="已租",C87,0)</f>
        <v>0</v>
      </c>
      <c r="N87" s="5">
        <f t="shared" ref="N87:N98" si="7">IF(G87="未出租",C87,0)</f>
        <v>0</v>
      </c>
      <c r="O87" s="92" t="s">
        <v>229</v>
      </c>
      <c r="P87" s="83" t="s">
        <v>230</v>
      </c>
    </row>
    <row r="88" spans="1:16" x14ac:dyDescent="0.3">
      <c r="A88" s="85" t="s">
        <v>734</v>
      </c>
      <c r="B88" s="92" t="s">
        <v>765</v>
      </c>
      <c r="C88" s="92"/>
      <c r="D88" s="92"/>
      <c r="E88" s="92"/>
      <c r="F88" s="92"/>
      <c r="G88" s="92" t="s">
        <v>38</v>
      </c>
      <c r="H88" s="92"/>
      <c r="I88" s="92"/>
      <c r="J88" s="92"/>
      <c r="K88" s="92"/>
      <c r="L88" s="92"/>
      <c r="M88" s="5">
        <f t="shared" si="6"/>
        <v>0</v>
      </c>
      <c r="N88" s="5">
        <f t="shared" si="7"/>
        <v>0</v>
      </c>
      <c r="O88" s="92" t="s">
        <v>229</v>
      </c>
      <c r="P88" s="83" t="s">
        <v>230</v>
      </c>
    </row>
    <row r="89" spans="1:16" x14ac:dyDescent="0.3">
      <c r="A89" s="85" t="s">
        <v>759</v>
      </c>
      <c r="B89" s="85" t="s">
        <v>766</v>
      </c>
      <c r="C89" s="85">
        <v>409</v>
      </c>
      <c r="D89" s="89"/>
      <c r="E89" s="90"/>
      <c r="F89" s="85"/>
      <c r="G89" s="85" t="s">
        <v>74</v>
      </c>
      <c r="H89" s="85"/>
      <c r="I89" s="85"/>
      <c r="J89" s="86"/>
      <c r="K89" s="86"/>
      <c r="L89" s="86"/>
      <c r="M89" s="5">
        <f t="shared" si="6"/>
        <v>0</v>
      </c>
      <c r="N89" s="5">
        <f t="shared" si="7"/>
        <v>409</v>
      </c>
      <c r="O89" s="85"/>
    </row>
    <row r="90" spans="1:16" x14ac:dyDescent="0.3">
      <c r="A90" s="85" t="s">
        <v>759</v>
      </c>
      <c r="B90" s="85" t="s">
        <v>767</v>
      </c>
      <c r="C90" s="85">
        <v>31</v>
      </c>
      <c r="D90" s="89"/>
      <c r="E90" s="90"/>
      <c r="F90" s="85"/>
      <c r="G90" s="85" t="s">
        <v>74</v>
      </c>
      <c r="H90" s="85"/>
      <c r="I90" s="85"/>
      <c r="J90" s="86"/>
      <c r="K90" s="86"/>
      <c r="L90" s="86"/>
      <c r="M90" s="5">
        <f t="shared" si="6"/>
        <v>0</v>
      </c>
      <c r="N90" s="5">
        <f t="shared" si="7"/>
        <v>31</v>
      </c>
      <c r="O90" s="85"/>
    </row>
    <row r="91" spans="1:16" x14ac:dyDescent="0.3">
      <c r="A91" s="85" t="s">
        <v>759</v>
      </c>
      <c r="B91" s="85" t="s">
        <v>768</v>
      </c>
      <c r="C91" s="85">
        <v>56</v>
      </c>
      <c r="D91" s="89"/>
      <c r="E91" s="90"/>
      <c r="F91" s="85"/>
      <c r="G91" s="85" t="s">
        <v>74</v>
      </c>
      <c r="H91" s="85"/>
      <c r="I91" s="85"/>
      <c r="J91" s="86"/>
      <c r="K91" s="86"/>
      <c r="L91" s="86"/>
      <c r="M91" s="5">
        <f t="shared" si="6"/>
        <v>0</v>
      </c>
      <c r="N91" s="5">
        <f t="shared" si="7"/>
        <v>56</v>
      </c>
      <c r="O91" s="85"/>
    </row>
    <row r="92" spans="1:16" x14ac:dyDescent="0.3">
      <c r="A92" s="85" t="s">
        <v>759</v>
      </c>
      <c r="B92" s="85" t="s">
        <v>769</v>
      </c>
      <c r="C92" s="85"/>
      <c r="D92" s="89"/>
      <c r="E92" s="90"/>
      <c r="F92" s="85"/>
      <c r="G92" s="85" t="s">
        <v>74</v>
      </c>
      <c r="H92" s="85"/>
      <c r="I92" s="85"/>
      <c r="J92" s="86"/>
      <c r="K92" s="86"/>
      <c r="L92" s="86"/>
      <c r="M92" s="5">
        <f t="shared" si="6"/>
        <v>0</v>
      </c>
      <c r="N92" s="5">
        <f t="shared" si="7"/>
        <v>0</v>
      </c>
      <c r="O92" s="85"/>
    </row>
    <row r="93" spans="1:16" x14ac:dyDescent="0.3">
      <c r="A93" s="85" t="s">
        <v>759</v>
      </c>
      <c r="B93" s="85" t="s">
        <v>770</v>
      </c>
      <c r="C93" s="85"/>
      <c r="D93" s="89"/>
      <c r="E93" s="90"/>
      <c r="F93" s="85"/>
      <c r="G93" s="85" t="s">
        <v>74</v>
      </c>
      <c r="H93" s="85"/>
      <c r="I93" s="85"/>
      <c r="J93" s="86"/>
      <c r="K93" s="86"/>
      <c r="L93" s="86"/>
      <c r="M93" s="5">
        <f t="shared" si="6"/>
        <v>0</v>
      </c>
      <c r="N93" s="5">
        <f t="shared" si="7"/>
        <v>0</v>
      </c>
      <c r="O93" s="85"/>
    </row>
    <row r="94" spans="1:16" x14ac:dyDescent="0.3">
      <c r="A94" s="85" t="s">
        <v>759</v>
      </c>
      <c r="B94" s="85" t="s">
        <v>771</v>
      </c>
      <c r="C94" s="85">
        <v>214</v>
      </c>
      <c r="D94" s="89"/>
      <c r="E94" s="90"/>
      <c r="F94" s="85"/>
      <c r="G94" s="85" t="s">
        <v>74</v>
      </c>
      <c r="H94" s="85"/>
      <c r="I94" s="85"/>
      <c r="J94" s="86"/>
      <c r="K94" s="86"/>
      <c r="L94" s="86"/>
      <c r="M94" s="5">
        <f t="shared" si="6"/>
        <v>0</v>
      </c>
      <c r="N94" s="5">
        <f t="shared" si="7"/>
        <v>214</v>
      </c>
      <c r="O94" s="85"/>
    </row>
    <row r="95" spans="1:16" x14ac:dyDescent="0.3">
      <c r="A95" s="85" t="s">
        <v>759</v>
      </c>
      <c r="B95" s="85" t="s">
        <v>772</v>
      </c>
      <c r="C95" s="85"/>
      <c r="D95" s="89"/>
      <c r="E95" s="90"/>
      <c r="F95" s="85"/>
      <c r="G95" s="85" t="s">
        <v>74</v>
      </c>
      <c r="H95" s="85"/>
      <c r="I95" s="85"/>
      <c r="J95" s="86"/>
      <c r="K95" s="86"/>
      <c r="L95" s="86"/>
      <c r="M95" s="5">
        <f t="shared" si="6"/>
        <v>0</v>
      </c>
      <c r="N95" s="5">
        <f t="shared" si="7"/>
        <v>0</v>
      </c>
      <c r="O95" s="85"/>
    </row>
    <row r="96" spans="1:16" x14ac:dyDescent="0.3">
      <c r="A96" s="85" t="s">
        <v>759</v>
      </c>
      <c r="B96" s="85" t="s">
        <v>773</v>
      </c>
      <c r="C96" s="85"/>
      <c r="D96" s="89"/>
      <c r="E96" s="90"/>
      <c r="F96" s="85"/>
      <c r="G96" s="85" t="s">
        <v>74</v>
      </c>
      <c r="H96" s="85"/>
      <c r="I96" s="85"/>
      <c r="J96" s="86"/>
      <c r="K96" s="86"/>
      <c r="L96" s="86"/>
      <c r="M96" s="5">
        <f t="shared" si="6"/>
        <v>0</v>
      </c>
      <c r="N96" s="5">
        <f t="shared" si="7"/>
        <v>0</v>
      </c>
      <c r="O96" s="85"/>
    </row>
    <row r="97" spans="1:15" x14ac:dyDescent="0.3">
      <c r="A97" s="85" t="s">
        <v>759</v>
      </c>
      <c r="B97" s="85" t="s">
        <v>774</v>
      </c>
      <c r="C97" s="85">
        <v>122</v>
      </c>
      <c r="D97" s="89"/>
      <c r="E97" s="90"/>
      <c r="F97" s="85"/>
      <c r="G97" s="85" t="s">
        <v>74</v>
      </c>
      <c r="H97" s="85"/>
      <c r="I97" s="85"/>
      <c r="J97" s="86"/>
      <c r="K97" s="86"/>
      <c r="L97" s="86"/>
      <c r="M97" s="5">
        <f t="shared" si="6"/>
        <v>0</v>
      </c>
      <c r="N97" s="5">
        <f t="shared" si="7"/>
        <v>122</v>
      </c>
      <c r="O97" s="85"/>
    </row>
    <row r="98" spans="1:15" x14ac:dyDescent="0.3">
      <c r="A98" s="85" t="s">
        <v>759</v>
      </c>
      <c r="B98" s="85" t="s">
        <v>775</v>
      </c>
      <c r="C98" s="85">
        <v>45</v>
      </c>
      <c r="D98" s="89"/>
      <c r="E98" s="90"/>
      <c r="F98" s="85"/>
      <c r="G98" s="85" t="s">
        <v>74</v>
      </c>
      <c r="H98" s="85"/>
      <c r="I98" s="85"/>
      <c r="J98" s="86"/>
      <c r="K98" s="86"/>
      <c r="L98" s="86"/>
      <c r="M98" s="5">
        <f t="shared" si="6"/>
        <v>0</v>
      </c>
      <c r="N98" s="5">
        <f t="shared" si="7"/>
        <v>45</v>
      </c>
      <c r="O98" s="85"/>
    </row>
  </sheetData>
  <autoFilter ref="A1:O98" xr:uid="{00000000-0009-0000-0000-000003000000}">
    <filterColumn colId="6">
      <filters>
        <filter val="未出租"/>
      </filters>
    </filterColumn>
  </autoFilter>
  <mergeCells count="2">
    <mergeCell ref="C75:C80"/>
    <mergeCell ref="C81:C86"/>
  </mergeCells>
  <phoneticPr fontId="24" type="noConversion"/>
  <conditionalFormatting sqref="B22">
    <cfRule type="duplicateValues" dxfId="188" priority="23"/>
    <cfRule type="duplicateValues" dxfId="187" priority="24"/>
  </conditionalFormatting>
  <conditionalFormatting sqref="B23">
    <cfRule type="duplicateValues" dxfId="186" priority="21"/>
    <cfRule type="duplicateValues" dxfId="185" priority="22"/>
  </conditionalFormatting>
  <conditionalFormatting sqref="B24">
    <cfRule type="duplicateValues" dxfId="184" priority="19"/>
    <cfRule type="duplicateValues" dxfId="183" priority="20"/>
  </conditionalFormatting>
  <conditionalFormatting sqref="B25">
    <cfRule type="duplicateValues" dxfId="182" priority="17"/>
    <cfRule type="duplicateValues" dxfId="181" priority="18"/>
  </conditionalFormatting>
  <conditionalFormatting sqref="B26">
    <cfRule type="duplicateValues" dxfId="180" priority="15"/>
    <cfRule type="duplicateValues" dxfId="179" priority="16"/>
  </conditionalFormatting>
  <conditionalFormatting sqref="B27">
    <cfRule type="duplicateValues" dxfId="178" priority="13"/>
    <cfRule type="duplicateValues" dxfId="177" priority="14"/>
  </conditionalFormatting>
  <conditionalFormatting sqref="B28">
    <cfRule type="duplicateValues" dxfId="176" priority="11"/>
    <cfRule type="duplicateValues" dxfId="175" priority="12"/>
  </conditionalFormatting>
  <conditionalFormatting sqref="B29:B32">
    <cfRule type="duplicateValues" dxfId="174" priority="9"/>
    <cfRule type="duplicateValues" dxfId="173" priority="10"/>
  </conditionalFormatting>
  <conditionalFormatting sqref="B33:B37">
    <cfRule type="duplicateValues" dxfId="172" priority="7"/>
    <cfRule type="duplicateValues" dxfId="171" priority="8"/>
  </conditionalFormatting>
  <conditionalFormatting sqref="B38 B40">
    <cfRule type="duplicateValues" dxfId="170" priority="5"/>
    <cfRule type="duplicateValues" dxfId="169" priority="6"/>
  </conditionalFormatting>
  <conditionalFormatting sqref="B39">
    <cfRule type="duplicateValues" dxfId="168" priority="3"/>
    <cfRule type="duplicateValues" dxfId="167" priority="4"/>
  </conditionalFormatting>
  <conditionalFormatting sqref="B41:B42">
    <cfRule type="duplicateValues" dxfId="166" priority="1"/>
    <cfRule type="duplicateValues" dxfId="165" priority="2"/>
  </conditionalFormatting>
  <conditionalFormatting sqref="B65">
    <cfRule type="duplicateValues" dxfId="164" priority="25"/>
    <cfRule type="duplicateValues" dxfId="163" priority="26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48"/>
  <sheetViews>
    <sheetView workbookViewId="0">
      <pane ySplit="1" topLeftCell="A2" activePane="bottomLeft" state="frozen"/>
      <selection pane="bottomLeft" activeCell="D1" sqref="D1:D1048576"/>
    </sheetView>
  </sheetViews>
  <sheetFormatPr defaultColWidth="9" defaultRowHeight="14" x14ac:dyDescent="0.3"/>
  <cols>
    <col min="3" max="3" width="34.58203125" customWidth="1"/>
    <col min="4" max="5" width="15.9140625" style="79" customWidth="1"/>
    <col min="6" max="6" width="12.08203125" style="79" customWidth="1"/>
    <col min="7" max="14" width="11" customWidth="1"/>
    <col min="15" max="15" width="12.75" customWidth="1"/>
    <col min="16" max="16" width="11" customWidth="1"/>
  </cols>
  <sheetData>
    <row r="1" spans="1:15" x14ac:dyDescent="0.3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</row>
    <row r="2" spans="1:15" x14ac:dyDescent="0.3">
      <c r="A2" s="8" t="s">
        <v>776</v>
      </c>
      <c r="B2" s="8"/>
      <c r="C2" s="8" t="s">
        <v>777</v>
      </c>
      <c r="D2" s="80">
        <v>55</v>
      </c>
      <c r="E2" s="80"/>
      <c r="F2" s="80"/>
      <c r="G2" s="8"/>
      <c r="H2" s="8"/>
      <c r="I2" s="8"/>
      <c r="J2" s="8"/>
      <c r="K2" s="8"/>
      <c r="L2" s="8"/>
      <c r="M2" s="8"/>
      <c r="N2" s="8"/>
      <c r="O2" s="8"/>
    </row>
    <row r="3" spans="1:15" x14ac:dyDescent="0.3">
      <c r="A3" s="8" t="s">
        <v>776</v>
      </c>
      <c r="B3" s="8"/>
      <c r="C3" s="8" t="s">
        <v>778</v>
      </c>
      <c r="D3" s="80">
        <v>55</v>
      </c>
      <c r="E3" s="80"/>
      <c r="F3" s="80"/>
      <c r="G3" s="8"/>
      <c r="H3" s="8"/>
      <c r="I3" s="8"/>
      <c r="J3" s="8"/>
      <c r="K3" s="8"/>
      <c r="L3" s="8"/>
      <c r="M3" s="8"/>
      <c r="N3" s="8"/>
      <c r="O3" s="8"/>
    </row>
    <row r="4" spans="1:15" x14ac:dyDescent="0.3">
      <c r="A4" s="8" t="s">
        <v>776</v>
      </c>
      <c r="B4" s="8"/>
      <c r="C4" s="8" t="s">
        <v>779</v>
      </c>
      <c r="D4" s="80">
        <v>107</v>
      </c>
      <c r="E4" s="80"/>
      <c r="F4" s="80"/>
      <c r="G4" s="8"/>
      <c r="H4" s="8"/>
      <c r="I4" s="8"/>
      <c r="J4" s="8"/>
      <c r="K4" s="8"/>
      <c r="L4" s="8"/>
      <c r="M4" s="8"/>
      <c r="N4" s="8"/>
      <c r="O4" s="8"/>
    </row>
    <row r="5" spans="1:15" x14ac:dyDescent="0.3">
      <c r="A5" s="8" t="s">
        <v>776</v>
      </c>
      <c r="B5" s="8"/>
      <c r="C5" s="8" t="s">
        <v>780</v>
      </c>
      <c r="D5" s="80">
        <v>107</v>
      </c>
      <c r="E5" s="80"/>
      <c r="F5" s="80"/>
      <c r="G5" s="8"/>
      <c r="H5" s="8"/>
      <c r="I5" s="8"/>
      <c r="J5" s="8"/>
      <c r="K5" s="8"/>
      <c r="L5" s="8"/>
      <c r="M5" s="8"/>
      <c r="N5" s="8"/>
      <c r="O5" s="8"/>
    </row>
    <row r="6" spans="1:15" x14ac:dyDescent="0.3">
      <c r="A6" s="8" t="s">
        <v>776</v>
      </c>
      <c r="B6" s="8"/>
      <c r="C6" s="8" t="s">
        <v>781</v>
      </c>
      <c r="D6" s="80">
        <v>86</v>
      </c>
      <c r="E6" s="80"/>
      <c r="F6" s="80"/>
      <c r="G6" s="8"/>
      <c r="H6" s="8"/>
      <c r="I6" s="8"/>
      <c r="J6" s="8"/>
      <c r="K6" s="8"/>
      <c r="L6" s="8"/>
      <c r="M6" s="8"/>
      <c r="N6" s="8"/>
      <c r="O6" s="8"/>
    </row>
    <row r="7" spans="1:15" x14ac:dyDescent="0.3">
      <c r="A7" s="8" t="s">
        <v>776</v>
      </c>
      <c r="B7" s="8"/>
      <c r="C7" s="8" t="s">
        <v>782</v>
      </c>
      <c r="D7" s="80">
        <v>86</v>
      </c>
      <c r="E7" s="80"/>
      <c r="F7" s="80"/>
      <c r="G7" s="8"/>
      <c r="H7" s="8"/>
      <c r="I7" s="8"/>
      <c r="J7" s="8"/>
      <c r="K7" s="8"/>
      <c r="L7" s="8"/>
      <c r="M7" s="8"/>
      <c r="N7" s="8"/>
      <c r="O7" s="8"/>
    </row>
    <row r="8" spans="1:15" x14ac:dyDescent="0.3">
      <c r="A8" s="8" t="s">
        <v>776</v>
      </c>
      <c r="B8" s="8"/>
      <c r="C8" s="8" t="s">
        <v>783</v>
      </c>
      <c r="D8" s="80">
        <v>42</v>
      </c>
      <c r="E8" s="80"/>
      <c r="F8" s="80"/>
      <c r="G8" s="8"/>
      <c r="H8" s="8"/>
      <c r="I8" s="8"/>
      <c r="J8" s="8"/>
      <c r="K8" s="8"/>
      <c r="L8" s="8"/>
      <c r="M8" s="8"/>
      <c r="N8" s="8"/>
      <c r="O8" s="8"/>
    </row>
    <row r="9" spans="1:15" x14ac:dyDescent="0.3">
      <c r="A9" s="8" t="s">
        <v>776</v>
      </c>
      <c r="B9" s="8"/>
      <c r="C9" s="8" t="s">
        <v>784</v>
      </c>
      <c r="D9" s="80">
        <v>42</v>
      </c>
      <c r="E9" s="80"/>
      <c r="F9" s="80"/>
      <c r="G9" s="8"/>
      <c r="H9" s="8"/>
      <c r="I9" s="8"/>
      <c r="J9" s="8"/>
      <c r="K9" s="8"/>
      <c r="L9" s="8"/>
      <c r="M9" s="8"/>
      <c r="N9" s="8"/>
      <c r="O9" s="8"/>
    </row>
    <row r="10" spans="1:15" x14ac:dyDescent="0.3">
      <c r="A10" s="8" t="s">
        <v>776</v>
      </c>
      <c r="B10" s="8"/>
      <c r="C10" s="8" t="s">
        <v>785</v>
      </c>
      <c r="D10" s="80">
        <v>107</v>
      </c>
      <c r="E10" s="80"/>
      <c r="F10" s="80"/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3">
      <c r="A11" s="8" t="s">
        <v>776</v>
      </c>
      <c r="B11" s="8"/>
      <c r="C11" s="8" t="s">
        <v>786</v>
      </c>
      <c r="D11" s="80">
        <v>23</v>
      </c>
      <c r="E11" s="80"/>
      <c r="F11" s="80"/>
      <c r="G11" s="8"/>
      <c r="H11" s="8"/>
      <c r="I11" s="8"/>
      <c r="J11" s="8"/>
      <c r="K11" s="8"/>
      <c r="L11" s="8"/>
      <c r="M11" s="8"/>
      <c r="N11" s="8"/>
      <c r="O11" s="8"/>
    </row>
    <row r="12" spans="1:15" x14ac:dyDescent="0.3">
      <c r="A12" s="8" t="s">
        <v>776</v>
      </c>
      <c r="B12" s="8"/>
      <c r="C12" s="8" t="s">
        <v>787</v>
      </c>
      <c r="D12" s="80">
        <v>84</v>
      </c>
      <c r="E12" s="80"/>
      <c r="F12" s="80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3">
      <c r="A13" s="8" t="s">
        <v>776</v>
      </c>
      <c r="B13" s="8"/>
      <c r="C13" s="8" t="s">
        <v>788</v>
      </c>
      <c r="D13" s="80">
        <v>108</v>
      </c>
      <c r="E13" s="80"/>
      <c r="F13" s="80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3">
      <c r="A14" s="8" t="s">
        <v>776</v>
      </c>
      <c r="B14" s="8"/>
      <c r="C14" s="8" t="s">
        <v>789</v>
      </c>
      <c r="D14" s="80">
        <v>87</v>
      </c>
      <c r="E14" s="80"/>
      <c r="F14" s="80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3">
      <c r="A15" s="8" t="s">
        <v>776</v>
      </c>
      <c r="B15" s="8"/>
      <c r="C15" s="8" t="s">
        <v>790</v>
      </c>
      <c r="D15" s="80">
        <v>85</v>
      </c>
      <c r="E15" s="80"/>
      <c r="F15" s="80"/>
      <c r="G15" s="8"/>
      <c r="H15" s="8"/>
      <c r="I15" s="8"/>
      <c r="J15" s="8"/>
      <c r="K15" s="8"/>
      <c r="L15" s="8"/>
      <c r="M15" s="8"/>
      <c r="N15" s="8"/>
      <c r="O15" s="8"/>
    </row>
    <row r="16" spans="1:15" x14ac:dyDescent="0.3">
      <c r="A16" s="8" t="s">
        <v>776</v>
      </c>
      <c r="B16" s="8"/>
      <c r="C16" s="8" t="s">
        <v>791</v>
      </c>
      <c r="D16" s="8">
        <v>108</v>
      </c>
      <c r="E16" s="35" t="s">
        <v>792</v>
      </c>
      <c r="F16" s="8">
        <v>2</v>
      </c>
      <c r="G16" s="8" t="s">
        <v>74</v>
      </c>
      <c r="H16" s="8"/>
      <c r="I16" s="8"/>
      <c r="J16" s="8"/>
      <c r="K16" s="8"/>
      <c r="L16" s="8"/>
      <c r="M16" s="8"/>
      <c r="N16" s="8"/>
      <c r="O16" s="8"/>
    </row>
    <row r="17" spans="1:15" x14ac:dyDescent="0.3">
      <c r="A17" s="8" t="s">
        <v>776</v>
      </c>
      <c r="B17" s="8"/>
      <c r="C17" s="8" t="s">
        <v>793</v>
      </c>
      <c r="D17" s="8">
        <v>107</v>
      </c>
      <c r="E17" s="35" t="s">
        <v>792</v>
      </c>
      <c r="F17" s="8">
        <v>2</v>
      </c>
      <c r="G17" s="8" t="s">
        <v>74</v>
      </c>
      <c r="H17" s="8"/>
      <c r="I17" s="8"/>
      <c r="J17" s="8"/>
      <c r="K17" s="8"/>
      <c r="L17" s="8"/>
      <c r="M17" s="8"/>
      <c r="N17" s="8"/>
      <c r="O17" s="8"/>
    </row>
    <row r="18" spans="1:15" x14ac:dyDescent="0.3">
      <c r="A18" s="8" t="s">
        <v>776</v>
      </c>
      <c r="B18" s="8"/>
      <c r="C18" s="8" t="s">
        <v>794</v>
      </c>
      <c r="D18" s="8">
        <v>107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3">
      <c r="A19" s="8" t="s">
        <v>776</v>
      </c>
      <c r="B19" s="8"/>
      <c r="C19" s="8" t="s">
        <v>795</v>
      </c>
      <c r="D19" s="8">
        <v>110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x14ac:dyDescent="0.3">
      <c r="A20" s="8" t="s">
        <v>776</v>
      </c>
      <c r="B20" s="8"/>
      <c r="C20" s="8" t="s">
        <v>796</v>
      </c>
      <c r="D20" s="8">
        <v>82</v>
      </c>
      <c r="E20" s="35" t="s">
        <v>792</v>
      </c>
      <c r="F20" s="8">
        <v>2</v>
      </c>
      <c r="G20" s="8" t="s">
        <v>74</v>
      </c>
      <c r="H20" s="8"/>
      <c r="I20" s="8"/>
      <c r="J20" s="8"/>
      <c r="K20" s="8"/>
      <c r="L20" s="8"/>
      <c r="M20" s="8"/>
      <c r="N20" s="8"/>
      <c r="O20" s="8"/>
    </row>
    <row r="21" spans="1:15" x14ac:dyDescent="0.3">
      <c r="A21" s="8" t="s">
        <v>776</v>
      </c>
      <c r="B21" s="8"/>
      <c r="C21" s="8" t="s">
        <v>797</v>
      </c>
      <c r="D21" s="8">
        <v>82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3">
      <c r="A22" s="8" t="s">
        <v>776</v>
      </c>
      <c r="B22" s="8"/>
      <c r="C22" s="8" t="s">
        <v>798</v>
      </c>
      <c r="D22" s="81">
        <v>74</v>
      </c>
      <c r="E22" s="81"/>
      <c r="F22" s="81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3">
      <c r="A23" s="8" t="s">
        <v>776</v>
      </c>
      <c r="B23" s="8"/>
      <c r="C23" s="8"/>
      <c r="D23" s="81"/>
      <c r="E23" s="81"/>
      <c r="F23" s="81"/>
      <c r="G23" s="8"/>
      <c r="H23" s="8"/>
      <c r="I23" s="8"/>
      <c r="J23" s="8"/>
      <c r="K23" s="8"/>
      <c r="L23" s="8"/>
      <c r="M23" s="8"/>
      <c r="N23" s="8"/>
      <c r="O23" s="8"/>
    </row>
    <row r="24" spans="1:15" x14ac:dyDescent="0.3">
      <c r="A24" s="8" t="s">
        <v>776</v>
      </c>
      <c r="B24" s="8"/>
      <c r="C24" s="8" t="s">
        <v>799</v>
      </c>
      <c r="D24" s="8">
        <v>37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x14ac:dyDescent="0.3">
      <c r="A25" s="8" t="s">
        <v>776</v>
      </c>
      <c r="B25" s="8"/>
      <c r="C25" s="8" t="s">
        <v>800</v>
      </c>
      <c r="D25" s="8">
        <v>106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x14ac:dyDescent="0.3">
      <c r="A26" s="8" t="s">
        <v>776</v>
      </c>
      <c r="B26" s="8"/>
      <c r="C26" s="8" t="s">
        <v>801</v>
      </c>
      <c r="D26" s="8">
        <v>54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x14ac:dyDescent="0.3">
      <c r="A27" s="8" t="s">
        <v>776</v>
      </c>
      <c r="B27" s="8"/>
      <c r="C27" s="8" t="s">
        <v>802</v>
      </c>
      <c r="D27" s="8">
        <v>54</v>
      </c>
      <c r="E27" s="35" t="s">
        <v>792</v>
      </c>
      <c r="F27" s="8">
        <v>2</v>
      </c>
      <c r="G27" s="8" t="s">
        <v>74</v>
      </c>
      <c r="H27" s="8"/>
      <c r="I27" s="8"/>
      <c r="J27" s="8"/>
      <c r="K27" s="8"/>
      <c r="L27" s="8"/>
      <c r="M27" s="8"/>
      <c r="N27" s="8"/>
      <c r="O27" s="8"/>
    </row>
    <row r="28" spans="1:15" x14ac:dyDescent="0.3">
      <c r="A28" s="8" t="s">
        <v>776</v>
      </c>
      <c r="B28" s="8"/>
      <c r="C28" s="8" t="s">
        <v>803</v>
      </c>
      <c r="D28" s="81">
        <v>108</v>
      </c>
      <c r="E28" s="81"/>
      <c r="F28" s="81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3">
      <c r="A29" s="8" t="s">
        <v>776</v>
      </c>
      <c r="B29" s="8"/>
      <c r="C29" s="8" t="s">
        <v>804</v>
      </c>
      <c r="D29" s="8">
        <v>85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x14ac:dyDescent="0.3">
      <c r="A30" s="8" t="s">
        <v>776</v>
      </c>
      <c r="B30" s="8"/>
      <c r="C30" s="8" t="s">
        <v>805</v>
      </c>
      <c r="D30" s="8">
        <v>85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 x14ac:dyDescent="0.3">
      <c r="A31" s="8" t="s">
        <v>776</v>
      </c>
      <c r="B31" s="8"/>
      <c r="C31" s="8" t="s">
        <v>806</v>
      </c>
      <c r="D31" s="8">
        <v>54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x14ac:dyDescent="0.3">
      <c r="A32" s="8" t="s">
        <v>776</v>
      </c>
      <c r="B32" s="8"/>
      <c r="C32" s="8" t="s">
        <v>807</v>
      </c>
      <c r="D32" s="8">
        <v>54</v>
      </c>
      <c r="E32" s="35" t="s">
        <v>792</v>
      </c>
      <c r="F32" s="8">
        <v>2</v>
      </c>
      <c r="G32" s="8" t="s">
        <v>74</v>
      </c>
      <c r="H32" s="8"/>
      <c r="I32" s="8"/>
      <c r="J32" s="8"/>
      <c r="K32" s="8"/>
      <c r="L32" s="8"/>
      <c r="M32" s="8"/>
      <c r="N32" s="8"/>
      <c r="O32" s="8"/>
    </row>
    <row r="33" spans="1:15" x14ac:dyDescent="0.3">
      <c r="A33" s="8" t="s">
        <v>776</v>
      </c>
      <c r="B33" s="8"/>
      <c r="C33" s="8" t="s">
        <v>808</v>
      </c>
      <c r="D33" s="8">
        <v>54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x14ac:dyDescent="0.3">
      <c r="A34" s="8" t="s">
        <v>776</v>
      </c>
      <c r="B34" s="8"/>
      <c r="C34" s="8" t="s">
        <v>809</v>
      </c>
      <c r="D34" s="8">
        <v>54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x14ac:dyDescent="0.3">
      <c r="A35" s="8" t="s">
        <v>776</v>
      </c>
      <c r="B35" s="8"/>
      <c r="C35" s="8" t="s">
        <v>810</v>
      </c>
      <c r="D35" s="8">
        <v>53</v>
      </c>
      <c r="E35" s="35" t="s">
        <v>792</v>
      </c>
      <c r="F35" s="8">
        <v>2</v>
      </c>
      <c r="G35" s="8" t="s">
        <v>74</v>
      </c>
      <c r="H35" s="8"/>
      <c r="I35" s="8"/>
      <c r="J35" s="8"/>
      <c r="K35" s="8"/>
      <c r="L35" s="8"/>
      <c r="M35" s="8"/>
      <c r="N35" s="8"/>
      <c r="O35" s="8"/>
    </row>
    <row r="36" spans="1:15" x14ac:dyDescent="0.3">
      <c r="A36" s="8" t="s">
        <v>776</v>
      </c>
      <c r="B36" s="8"/>
      <c r="C36" s="8" t="s">
        <v>811</v>
      </c>
      <c r="D36" s="8">
        <v>53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x14ac:dyDescent="0.3">
      <c r="A37" s="8" t="s">
        <v>776</v>
      </c>
      <c r="B37" s="8"/>
      <c r="C37" s="8" t="s">
        <v>812</v>
      </c>
      <c r="D37" s="8">
        <v>66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x14ac:dyDescent="0.3">
      <c r="A38" s="8" t="s">
        <v>776</v>
      </c>
      <c r="B38" s="8"/>
      <c r="C38" s="8" t="s">
        <v>813</v>
      </c>
      <c r="D38" s="8">
        <v>50</v>
      </c>
      <c r="E38" s="35" t="s">
        <v>792</v>
      </c>
      <c r="F38" s="8">
        <v>2</v>
      </c>
      <c r="G38" s="8" t="s">
        <v>74</v>
      </c>
      <c r="H38" s="8"/>
      <c r="I38" s="8"/>
      <c r="J38" s="8"/>
      <c r="K38" s="8"/>
      <c r="L38" s="8"/>
      <c r="M38" s="8"/>
      <c r="N38" s="8"/>
      <c r="O38" s="8"/>
    </row>
    <row r="39" spans="1:15" x14ac:dyDescent="0.3">
      <c r="A39" s="8" t="s">
        <v>776</v>
      </c>
      <c r="B39" s="8"/>
      <c r="C39" s="8" t="s">
        <v>814</v>
      </c>
      <c r="D39" s="8">
        <v>50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x14ac:dyDescent="0.3">
      <c r="A40" s="8" t="s">
        <v>776</v>
      </c>
      <c r="B40" s="8"/>
      <c r="C40" s="8" t="s">
        <v>815</v>
      </c>
      <c r="D40" s="8">
        <v>66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 x14ac:dyDescent="0.3">
      <c r="A41" s="8" t="s">
        <v>776</v>
      </c>
      <c r="B41" s="8"/>
      <c r="C41" s="8" t="s">
        <v>816</v>
      </c>
      <c r="D41" s="8">
        <v>82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x14ac:dyDescent="0.3">
      <c r="A42" s="8" t="s">
        <v>776</v>
      </c>
      <c r="B42" s="8"/>
      <c r="C42" s="8" t="s">
        <v>817</v>
      </c>
      <c r="D42" s="8">
        <v>82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 x14ac:dyDescent="0.3">
      <c r="A43" s="8" t="s">
        <v>776</v>
      </c>
      <c r="B43" s="8"/>
      <c r="C43" s="8" t="s">
        <v>818</v>
      </c>
      <c r="D43" s="8">
        <v>37</v>
      </c>
      <c r="E43" s="35" t="s">
        <v>792</v>
      </c>
      <c r="F43" s="8">
        <v>2</v>
      </c>
      <c r="G43" s="8" t="s">
        <v>74</v>
      </c>
      <c r="H43" s="8"/>
      <c r="I43" s="8"/>
      <c r="J43" s="8"/>
      <c r="K43" s="8"/>
      <c r="L43" s="8"/>
      <c r="M43" s="8"/>
      <c r="N43" s="8"/>
      <c r="O43" s="8"/>
    </row>
    <row r="44" spans="1:15" x14ac:dyDescent="0.3">
      <c r="A44" s="8" t="s">
        <v>776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5" x14ac:dyDescent="0.3">
      <c r="A45" s="8" t="s">
        <v>776</v>
      </c>
      <c r="B45" s="8"/>
      <c r="C45" s="8" t="s">
        <v>819</v>
      </c>
      <c r="D45" s="8">
        <v>105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x14ac:dyDescent="0.3">
      <c r="A46" s="8" t="s">
        <v>776</v>
      </c>
      <c r="B46" s="8"/>
      <c r="C46" s="8" t="s">
        <v>820</v>
      </c>
      <c r="D46" s="8">
        <v>54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1:15" x14ac:dyDescent="0.3">
      <c r="A47" s="8" t="s">
        <v>776</v>
      </c>
      <c r="B47" s="8"/>
      <c r="C47" s="8" t="s">
        <v>821</v>
      </c>
      <c r="D47" s="8">
        <v>54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x14ac:dyDescent="0.3">
      <c r="A48" s="8" t="s">
        <v>776</v>
      </c>
      <c r="B48" s="8"/>
      <c r="C48" s="8" t="s">
        <v>822</v>
      </c>
      <c r="D48" s="8">
        <v>47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1:15" x14ac:dyDescent="0.3">
      <c r="A49" s="8" t="s">
        <v>776</v>
      </c>
      <c r="B49" s="8"/>
      <c r="C49" s="8" t="s">
        <v>823</v>
      </c>
      <c r="D49" s="8">
        <v>61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x14ac:dyDescent="0.3">
      <c r="A50" s="8" t="s">
        <v>776</v>
      </c>
      <c r="B50" s="8"/>
      <c r="C50" s="8" t="s">
        <v>824</v>
      </c>
      <c r="D50" s="8">
        <v>85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pans="1:15" x14ac:dyDescent="0.3">
      <c r="A51" s="8" t="s">
        <v>776</v>
      </c>
      <c r="B51" s="8"/>
      <c r="C51" s="8" t="s">
        <v>825</v>
      </c>
      <c r="D51" s="8">
        <v>85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x14ac:dyDescent="0.3">
      <c r="A52" s="8" t="s">
        <v>776</v>
      </c>
      <c r="B52" s="8"/>
      <c r="C52" s="8" t="s">
        <v>826</v>
      </c>
      <c r="D52" s="8">
        <v>120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5" x14ac:dyDescent="0.3">
      <c r="A53" s="8" t="s">
        <v>776</v>
      </c>
      <c r="B53" s="8"/>
      <c r="C53" s="8" t="s">
        <v>827</v>
      </c>
      <c r="D53" s="8">
        <v>53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x14ac:dyDescent="0.3">
      <c r="A54" s="8" t="s">
        <v>776</v>
      </c>
      <c r="B54" s="8"/>
      <c r="C54" s="8" t="s">
        <v>828</v>
      </c>
      <c r="D54" s="8">
        <v>53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15" x14ac:dyDescent="0.3">
      <c r="A55" s="8" t="s">
        <v>776</v>
      </c>
      <c r="B55" s="8"/>
      <c r="C55" s="8" t="s">
        <v>829</v>
      </c>
      <c r="D55" s="8">
        <v>50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3">
      <c r="A56" s="8" t="s">
        <v>776</v>
      </c>
      <c r="B56" s="8"/>
      <c r="C56" s="8" t="s">
        <v>830</v>
      </c>
      <c r="D56" s="8">
        <v>134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1:15" x14ac:dyDescent="0.3">
      <c r="A57" s="8" t="s">
        <v>776</v>
      </c>
      <c r="B57" s="8"/>
      <c r="C57" s="8" t="s">
        <v>831</v>
      </c>
      <c r="D57" s="8">
        <v>86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x14ac:dyDescent="0.3">
      <c r="A58" s="8" t="s">
        <v>776</v>
      </c>
      <c r="B58" s="8"/>
      <c r="C58" s="8" t="s">
        <v>832</v>
      </c>
      <c r="D58" s="8">
        <v>82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1:15" x14ac:dyDescent="0.3">
      <c r="A59" s="8" t="s">
        <v>776</v>
      </c>
      <c r="B59" s="8"/>
      <c r="C59" s="8" t="s">
        <v>833</v>
      </c>
      <c r="D59" s="8">
        <v>32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x14ac:dyDescent="0.3">
      <c r="A60" s="8" t="s">
        <v>776</v>
      </c>
      <c r="B60" s="8"/>
      <c r="C60" s="8" t="s">
        <v>834</v>
      </c>
      <c r="D60" s="8">
        <v>42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spans="1:15" x14ac:dyDescent="0.3">
      <c r="A61" s="8" t="s">
        <v>776</v>
      </c>
      <c r="B61" s="8"/>
      <c r="C61" s="8" t="s">
        <v>835</v>
      </c>
      <c r="D61" s="8">
        <v>50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x14ac:dyDescent="0.3">
      <c r="A62" s="8" t="s">
        <v>776</v>
      </c>
      <c r="B62" s="8"/>
      <c r="C62" s="8" t="s">
        <v>836</v>
      </c>
      <c r="D62" s="8">
        <v>105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spans="1:15" x14ac:dyDescent="0.3">
      <c r="A63" s="8" t="s">
        <v>776</v>
      </c>
      <c r="B63" s="8"/>
      <c r="C63" s="8" t="s">
        <v>837</v>
      </c>
      <c r="D63" s="8">
        <v>107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x14ac:dyDescent="0.3">
      <c r="A64" s="8" t="s">
        <v>776</v>
      </c>
      <c r="B64" s="8"/>
      <c r="C64" s="8" t="s">
        <v>838</v>
      </c>
      <c r="D64" s="8">
        <v>145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spans="1:15" x14ac:dyDescent="0.3">
      <c r="A65" s="8" t="s">
        <v>776</v>
      </c>
      <c r="B65" s="8"/>
      <c r="C65" s="8" t="s">
        <v>839</v>
      </c>
      <c r="D65" s="8">
        <v>115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x14ac:dyDescent="0.3">
      <c r="A66" s="8" t="s">
        <v>776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spans="1:15" x14ac:dyDescent="0.3">
      <c r="A67" s="8" t="s">
        <v>776</v>
      </c>
      <c r="B67" s="8"/>
      <c r="C67" s="8" t="s">
        <v>840</v>
      </c>
      <c r="D67" s="8">
        <v>105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x14ac:dyDescent="0.3">
      <c r="A68" s="8" t="s">
        <v>776</v>
      </c>
      <c r="B68" s="8"/>
      <c r="C68" s="8" t="s">
        <v>841</v>
      </c>
      <c r="D68" s="8">
        <v>37</v>
      </c>
      <c r="E68" s="35" t="s">
        <v>792</v>
      </c>
      <c r="F68" s="8">
        <v>2</v>
      </c>
      <c r="G68" s="8" t="s">
        <v>74</v>
      </c>
      <c r="H68" s="8"/>
      <c r="I68" s="8"/>
      <c r="J68" s="8"/>
      <c r="K68" s="8"/>
      <c r="L68" s="8"/>
      <c r="M68" s="8"/>
      <c r="N68" s="8"/>
      <c r="O68" s="8"/>
    </row>
    <row r="69" spans="1:15" x14ac:dyDescent="0.3">
      <c r="A69" s="8" t="s">
        <v>776</v>
      </c>
      <c r="B69" s="8"/>
      <c r="C69" s="8" t="s">
        <v>842</v>
      </c>
      <c r="D69" s="8">
        <v>132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x14ac:dyDescent="0.3">
      <c r="A70" s="8" t="s">
        <v>776</v>
      </c>
      <c r="B70" s="8"/>
      <c r="C70" s="8" t="s">
        <v>843</v>
      </c>
      <c r="D70" s="8">
        <v>50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spans="1:15" x14ac:dyDescent="0.3">
      <c r="A71" s="8" t="s">
        <v>776</v>
      </c>
      <c r="B71" s="8"/>
      <c r="C71" s="8" t="s">
        <v>844</v>
      </c>
      <c r="D71" s="8">
        <v>50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x14ac:dyDescent="0.3">
      <c r="A72" s="8" t="s">
        <v>776</v>
      </c>
      <c r="B72" s="8"/>
      <c r="C72" s="8" t="s">
        <v>845</v>
      </c>
      <c r="D72" s="8">
        <v>89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spans="1:15" x14ac:dyDescent="0.3">
      <c r="A73" s="8" t="s">
        <v>776</v>
      </c>
      <c r="B73" s="8"/>
      <c r="C73" s="8" t="s">
        <v>846</v>
      </c>
      <c r="D73" s="8">
        <v>89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x14ac:dyDescent="0.3">
      <c r="A74" s="8" t="s">
        <v>776</v>
      </c>
      <c r="B74" s="8"/>
      <c r="C74" s="8" t="s">
        <v>847</v>
      </c>
      <c r="D74" s="8">
        <v>32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spans="1:15" x14ac:dyDescent="0.3">
      <c r="A75" s="8" t="s">
        <v>776</v>
      </c>
      <c r="B75" s="8"/>
      <c r="C75" s="8" t="s">
        <v>848</v>
      </c>
      <c r="D75" s="8">
        <v>42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x14ac:dyDescent="0.3">
      <c r="A76" s="8" t="s">
        <v>776</v>
      </c>
      <c r="B76" s="8"/>
      <c r="C76" s="80" t="s">
        <v>849</v>
      </c>
      <c r="D76" s="8">
        <v>400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spans="1:15" x14ac:dyDescent="0.3">
      <c r="A77" s="8" t="s">
        <v>776</v>
      </c>
      <c r="B77" s="8"/>
      <c r="C77" s="8" t="s">
        <v>850</v>
      </c>
      <c r="D77" s="8">
        <v>0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x14ac:dyDescent="0.3">
      <c r="A78" s="8" t="s">
        <v>776</v>
      </c>
      <c r="B78" s="8"/>
      <c r="C78" s="8" t="s">
        <v>851</v>
      </c>
      <c r="D78" s="8">
        <v>0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spans="1:15" x14ac:dyDescent="0.3">
      <c r="A79" s="8" t="s">
        <v>776</v>
      </c>
      <c r="B79" s="8"/>
      <c r="C79" s="8" t="s">
        <v>852</v>
      </c>
      <c r="D79" s="80">
        <v>231</v>
      </c>
      <c r="E79" s="80"/>
      <c r="F79" s="80"/>
      <c r="G79" s="8"/>
      <c r="H79" s="8"/>
      <c r="I79" s="8"/>
      <c r="J79" s="8"/>
      <c r="K79" s="8"/>
      <c r="L79" s="8"/>
      <c r="M79" s="8"/>
      <c r="N79" s="8"/>
      <c r="O79" s="8"/>
    </row>
    <row r="80" spans="1:15" x14ac:dyDescent="0.3">
      <c r="A80" s="8" t="s">
        <v>776</v>
      </c>
      <c r="B80" s="8"/>
      <c r="C80" s="8" t="s">
        <v>853</v>
      </c>
      <c r="D80" s="80">
        <v>269</v>
      </c>
      <c r="E80" s="80"/>
      <c r="F80" s="80"/>
      <c r="G80" s="8"/>
      <c r="H80" s="8"/>
      <c r="I80" s="8"/>
      <c r="J80" s="8"/>
      <c r="K80" s="8"/>
      <c r="L80" s="8"/>
      <c r="M80" s="8"/>
      <c r="N80" s="8"/>
      <c r="O80" s="8"/>
    </row>
    <row r="81" spans="1:15" x14ac:dyDescent="0.3">
      <c r="A81" s="8" t="s">
        <v>854</v>
      </c>
      <c r="B81" s="8"/>
      <c r="C81" s="8" t="s">
        <v>855</v>
      </c>
      <c r="D81" s="8">
        <v>87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x14ac:dyDescent="0.3">
      <c r="A82" s="8" t="s">
        <v>854</v>
      </c>
      <c r="B82" s="8"/>
      <c r="C82" s="8" t="s">
        <v>856</v>
      </c>
      <c r="D82" s="8">
        <v>54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spans="1:15" x14ac:dyDescent="0.3">
      <c r="A83" s="8" t="s">
        <v>854</v>
      </c>
      <c r="B83" s="8"/>
      <c r="C83" s="8" t="s">
        <v>857</v>
      </c>
      <c r="D83" s="8">
        <v>30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x14ac:dyDescent="0.3">
      <c r="A84" s="8" t="s">
        <v>854</v>
      </c>
      <c r="B84" s="8"/>
      <c r="C84" s="8" t="s">
        <v>858</v>
      </c>
      <c r="D84" s="8">
        <v>90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spans="1:15" x14ac:dyDescent="0.3">
      <c r="A85" s="8" t="s">
        <v>854</v>
      </c>
      <c r="B85" s="8"/>
      <c r="C85" s="8" t="s">
        <v>859</v>
      </c>
      <c r="D85" s="8">
        <v>101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x14ac:dyDescent="0.3">
      <c r="A86" s="8" t="s">
        <v>854</v>
      </c>
      <c r="B86" s="8"/>
      <c r="C86" s="8" t="s">
        <v>860</v>
      </c>
      <c r="D86" s="8">
        <v>87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x14ac:dyDescent="0.3">
      <c r="A87" s="8" t="s">
        <v>854</v>
      </c>
      <c r="B87" s="8"/>
      <c r="C87" s="8" t="s">
        <v>861</v>
      </c>
      <c r="D87" s="8">
        <v>90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 x14ac:dyDescent="0.3">
      <c r="A88" s="8" t="s">
        <v>854</v>
      </c>
      <c r="B88" s="8"/>
      <c r="C88" s="8" t="s">
        <v>862</v>
      </c>
      <c r="D88" s="8">
        <v>92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spans="1:15" x14ac:dyDescent="0.3">
      <c r="A89" s="8" t="s">
        <v>854</v>
      </c>
      <c r="B89" s="8"/>
      <c r="C89" s="8" t="s">
        <v>863</v>
      </c>
      <c r="D89" s="8">
        <v>91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x14ac:dyDescent="0.3">
      <c r="A90" s="8" t="s">
        <v>854</v>
      </c>
      <c r="B90" s="8"/>
      <c r="C90" s="8" t="s">
        <v>864</v>
      </c>
      <c r="D90" s="8">
        <v>774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spans="1:15" x14ac:dyDescent="0.3">
      <c r="A91" s="8" t="s">
        <v>854</v>
      </c>
      <c r="B91" s="8"/>
      <c r="C91" s="8" t="s">
        <v>865</v>
      </c>
      <c r="D91" s="8">
        <v>90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x14ac:dyDescent="0.3">
      <c r="A92" s="8" t="s">
        <v>854</v>
      </c>
      <c r="B92" s="8"/>
      <c r="C92" s="8" t="s">
        <v>866</v>
      </c>
      <c r="D92" s="8">
        <v>180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x14ac:dyDescent="0.3">
      <c r="A93" s="8" t="s">
        <v>854</v>
      </c>
      <c r="B93" s="8"/>
      <c r="C93" s="8" t="s">
        <v>867</v>
      </c>
      <c r="D93" s="8">
        <v>92</v>
      </c>
      <c r="E93" s="8">
        <v>20</v>
      </c>
      <c r="F93" s="8">
        <v>2</v>
      </c>
      <c r="G93" s="8" t="s">
        <v>74</v>
      </c>
      <c r="H93" s="8"/>
      <c r="I93" s="8"/>
      <c r="J93" s="8"/>
      <c r="K93" s="8"/>
      <c r="L93" s="8"/>
      <c r="M93" s="8"/>
      <c r="N93" s="8"/>
      <c r="O93" s="8"/>
    </row>
    <row r="94" spans="1:15" x14ac:dyDescent="0.3">
      <c r="A94" s="8" t="s">
        <v>854</v>
      </c>
      <c r="B94" s="8"/>
      <c r="C94" s="8" t="s">
        <v>868</v>
      </c>
      <c r="D94" s="8">
        <v>92</v>
      </c>
      <c r="E94" s="8">
        <v>20</v>
      </c>
      <c r="F94" s="8">
        <v>2</v>
      </c>
      <c r="G94" s="8" t="s">
        <v>74</v>
      </c>
      <c r="H94" s="8"/>
      <c r="I94" s="8"/>
      <c r="J94" s="8"/>
      <c r="K94" s="8"/>
      <c r="L94" s="8"/>
      <c r="M94" s="8"/>
      <c r="N94" s="8"/>
      <c r="O94" s="8"/>
    </row>
    <row r="95" spans="1:15" x14ac:dyDescent="0.3">
      <c r="A95" s="8" t="s">
        <v>854</v>
      </c>
      <c r="B95" s="8"/>
      <c r="C95" s="8" t="s">
        <v>869</v>
      </c>
      <c r="D95" s="8">
        <v>90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x14ac:dyDescent="0.3">
      <c r="A96" s="8" t="s">
        <v>854</v>
      </c>
      <c r="B96" s="8"/>
      <c r="C96" s="8" t="s">
        <v>870</v>
      </c>
      <c r="D96" s="8">
        <v>0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 spans="1:15" x14ac:dyDescent="0.3">
      <c r="A97" s="8" t="s">
        <v>854</v>
      </c>
      <c r="B97" s="8"/>
      <c r="C97" s="8" t="s">
        <v>871</v>
      </c>
      <c r="D97" s="8">
        <v>92</v>
      </c>
      <c r="E97" s="8">
        <v>20</v>
      </c>
      <c r="F97" s="8">
        <v>2</v>
      </c>
      <c r="G97" s="8" t="s">
        <v>74</v>
      </c>
      <c r="H97" s="8"/>
      <c r="I97" s="8"/>
      <c r="J97" s="8"/>
      <c r="K97" s="8"/>
      <c r="L97" s="8"/>
      <c r="M97" s="8"/>
      <c r="N97" s="8"/>
      <c r="O97" s="8"/>
    </row>
    <row r="98" spans="1:15" x14ac:dyDescent="0.3">
      <c r="A98" s="8" t="s">
        <v>854</v>
      </c>
      <c r="B98" s="8"/>
      <c r="C98" s="8" t="s">
        <v>872</v>
      </c>
      <c r="D98" s="8">
        <v>92</v>
      </c>
      <c r="E98" s="8">
        <v>20</v>
      </c>
      <c r="F98" s="8">
        <v>2</v>
      </c>
      <c r="G98" s="8" t="s">
        <v>74</v>
      </c>
      <c r="H98" s="8"/>
      <c r="I98" s="8"/>
      <c r="J98" s="8"/>
      <c r="K98" s="8"/>
      <c r="L98" s="8"/>
      <c r="M98" s="8"/>
      <c r="N98" s="8"/>
      <c r="O98" s="8"/>
    </row>
    <row r="99" spans="1:15" x14ac:dyDescent="0.3">
      <c r="A99" s="8" t="s">
        <v>873</v>
      </c>
      <c r="B99" s="8"/>
      <c r="C99" s="8" t="s">
        <v>56</v>
      </c>
      <c r="D99" s="8">
        <v>82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x14ac:dyDescent="0.3">
      <c r="A100" s="8" t="s">
        <v>873</v>
      </c>
      <c r="B100" s="8"/>
      <c r="C100" s="8" t="s">
        <v>57</v>
      </c>
      <c r="D100" s="8">
        <v>0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spans="1:15" x14ac:dyDescent="0.3">
      <c r="A101" s="8" t="s">
        <v>873</v>
      </c>
      <c r="B101" s="8"/>
      <c r="C101" s="8" t="s">
        <v>874</v>
      </c>
      <c r="D101" s="8">
        <v>41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x14ac:dyDescent="0.3">
      <c r="A102" s="8" t="s">
        <v>873</v>
      </c>
      <c r="B102" s="8"/>
      <c r="C102" s="8" t="s">
        <v>59</v>
      </c>
      <c r="D102" s="8">
        <v>41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spans="1:15" x14ac:dyDescent="0.3">
      <c r="A103" s="8" t="s">
        <v>873</v>
      </c>
      <c r="B103" s="8"/>
      <c r="C103" s="8" t="s">
        <v>60</v>
      </c>
      <c r="D103" s="8">
        <v>41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x14ac:dyDescent="0.3">
      <c r="A104" s="8" t="s">
        <v>873</v>
      </c>
      <c r="B104" s="8"/>
      <c r="C104" s="8" t="s">
        <v>61</v>
      </c>
      <c r="D104" s="8">
        <v>41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spans="1:15" x14ac:dyDescent="0.3">
      <c r="A105" s="8" t="s">
        <v>873</v>
      </c>
      <c r="B105" s="8"/>
      <c r="C105" s="8" t="s">
        <v>875</v>
      </c>
      <c r="D105" s="8">
        <v>82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x14ac:dyDescent="0.3">
      <c r="A106" s="8" t="s">
        <v>873</v>
      </c>
      <c r="B106" s="8"/>
      <c r="C106" s="8" t="s">
        <v>64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spans="1:15" x14ac:dyDescent="0.3">
      <c r="A107" s="8" t="s">
        <v>873</v>
      </c>
      <c r="B107" s="8"/>
      <c r="C107" s="8" t="s">
        <v>876</v>
      </c>
      <c r="D107" s="8">
        <v>82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x14ac:dyDescent="0.3">
      <c r="A108" s="8" t="s">
        <v>873</v>
      </c>
      <c r="B108" s="8"/>
      <c r="C108" s="8" t="s">
        <v>877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 spans="1:15" x14ac:dyDescent="0.3">
      <c r="A109" s="8" t="s">
        <v>873</v>
      </c>
      <c r="B109" s="8"/>
      <c r="C109" s="8" t="s">
        <v>878</v>
      </c>
      <c r="D109" s="8">
        <v>41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x14ac:dyDescent="0.3">
      <c r="A110" s="8" t="s">
        <v>873</v>
      </c>
      <c r="B110" s="8"/>
      <c r="C110" s="8" t="s">
        <v>879</v>
      </c>
      <c r="D110" s="8">
        <v>41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spans="1:15" x14ac:dyDescent="0.3">
      <c r="A111" s="8" t="s">
        <v>873</v>
      </c>
      <c r="B111" s="8"/>
      <c r="C111" s="8" t="s">
        <v>880</v>
      </c>
      <c r="D111" s="8">
        <v>41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x14ac:dyDescent="0.3">
      <c r="A112" s="8" t="s">
        <v>873</v>
      </c>
      <c r="B112" s="8"/>
      <c r="C112" s="8" t="s">
        <v>881</v>
      </c>
      <c r="D112" s="8">
        <v>82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spans="1:15" x14ac:dyDescent="0.3">
      <c r="A113" s="8" t="s">
        <v>873</v>
      </c>
      <c r="B113" s="8"/>
      <c r="C113" s="8" t="s">
        <v>882</v>
      </c>
      <c r="D113" s="8">
        <v>41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x14ac:dyDescent="0.3">
      <c r="A114" s="8" t="s">
        <v>873</v>
      </c>
      <c r="B114" s="8"/>
      <c r="C114" s="8" t="s">
        <v>883</v>
      </c>
      <c r="D114" s="8">
        <v>41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spans="1:15" x14ac:dyDescent="0.3">
      <c r="A115" s="8" t="s">
        <v>873</v>
      </c>
      <c r="B115" s="8"/>
      <c r="C115" s="8" t="s">
        <v>884</v>
      </c>
      <c r="D115" s="8">
        <v>82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spans="1:15" x14ac:dyDescent="0.3">
      <c r="A116" s="8" t="s">
        <v>873</v>
      </c>
      <c r="B116" s="8"/>
      <c r="C116" s="8" t="s">
        <v>885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spans="1:15" x14ac:dyDescent="0.3">
      <c r="A117" s="8" t="s">
        <v>873</v>
      </c>
      <c r="B117" s="8"/>
      <c r="C117" s="8" t="s">
        <v>886</v>
      </c>
      <c r="D117" s="8">
        <v>41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x14ac:dyDescent="0.3">
      <c r="A118" s="8" t="s">
        <v>873</v>
      </c>
      <c r="B118" s="8"/>
      <c r="C118" s="8" t="s">
        <v>887</v>
      </c>
      <c r="D118" s="8">
        <v>19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spans="1:15" x14ac:dyDescent="0.3">
      <c r="A119" s="8" t="s">
        <v>873</v>
      </c>
      <c r="B119" s="8"/>
      <c r="C119" s="8" t="s">
        <v>888</v>
      </c>
      <c r="D119" s="8">
        <v>41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x14ac:dyDescent="0.3">
      <c r="A120" s="8" t="s">
        <v>873</v>
      </c>
      <c r="B120" s="8"/>
      <c r="C120" s="8" t="s">
        <v>889</v>
      </c>
      <c r="D120" s="8">
        <v>41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spans="1:15" x14ac:dyDescent="0.3">
      <c r="A121" s="8" t="s">
        <v>873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x14ac:dyDescent="0.3">
      <c r="A122" s="8" t="s">
        <v>873</v>
      </c>
      <c r="B122" s="8"/>
      <c r="C122" s="8" t="s">
        <v>890</v>
      </c>
      <c r="D122" s="8">
        <v>41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spans="1:15" x14ac:dyDescent="0.3">
      <c r="A123" s="8" t="s">
        <v>873</v>
      </c>
      <c r="B123" s="8"/>
      <c r="C123" s="8" t="s">
        <v>891</v>
      </c>
      <c r="D123" s="8">
        <v>41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x14ac:dyDescent="0.3">
      <c r="A124" s="8" t="s">
        <v>873</v>
      </c>
      <c r="B124" s="8"/>
      <c r="C124" s="8" t="s">
        <v>892</v>
      </c>
      <c r="D124" s="8">
        <v>41</v>
      </c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spans="1:15" x14ac:dyDescent="0.3">
      <c r="A125" s="8" t="s">
        <v>873</v>
      </c>
      <c r="B125" s="8"/>
      <c r="C125" s="8" t="s">
        <v>893</v>
      </c>
      <c r="D125" s="8">
        <v>82</v>
      </c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x14ac:dyDescent="0.3">
      <c r="A126" s="8" t="s">
        <v>873</v>
      </c>
      <c r="B126" s="8"/>
      <c r="C126" s="8" t="s">
        <v>894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spans="1:15" x14ac:dyDescent="0.3">
      <c r="A127" s="8" t="s">
        <v>873</v>
      </c>
      <c r="B127" s="8"/>
      <c r="C127" s="8" t="s">
        <v>895</v>
      </c>
      <c r="D127" s="8">
        <v>41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x14ac:dyDescent="0.3">
      <c r="A128" s="8" t="s">
        <v>873</v>
      </c>
      <c r="B128" s="8"/>
      <c r="C128" s="8" t="s">
        <v>896</v>
      </c>
      <c r="D128" s="8">
        <v>41</v>
      </c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spans="1:15" x14ac:dyDescent="0.3">
      <c r="A129" s="8" t="s">
        <v>873</v>
      </c>
      <c r="B129" s="8"/>
      <c r="C129" s="8" t="s">
        <v>897</v>
      </c>
      <c r="D129" s="8">
        <v>82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1:15" x14ac:dyDescent="0.3">
      <c r="A130" s="8" t="s">
        <v>873</v>
      </c>
      <c r="B130" s="8"/>
      <c r="C130" s="8" t="s">
        <v>898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 spans="1:15" x14ac:dyDescent="0.3">
      <c r="A131" s="8" t="s">
        <v>873</v>
      </c>
      <c r="B131" s="8"/>
      <c r="C131" s="8" t="s">
        <v>899</v>
      </c>
      <c r="D131" s="8">
        <v>41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x14ac:dyDescent="0.3">
      <c r="A132" s="8" t="s">
        <v>873</v>
      </c>
      <c r="B132" s="8"/>
      <c r="C132" s="8" t="s">
        <v>900</v>
      </c>
      <c r="D132" s="8">
        <v>41</v>
      </c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 spans="1:15" x14ac:dyDescent="0.3">
      <c r="A133" s="8" t="s">
        <v>873</v>
      </c>
      <c r="B133" s="8"/>
      <c r="C133" s="8" t="s">
        <v>901</v>
      </c>
      <c r="D133" s="8">
        <v>41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1:15" x14ac:dyDescent="0.3">
      <c r="A134" s="8" t="s">
        <v>873</v>
      </c>
      <c r="B134" s="8"/>
      <c r="C134" s="8" t="s">
        <v>902</v>
      </c>
      <c r="D134" s="8">
        <v>41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spans="1:15" x14ac:dyDescent="0.3">
      <c r="A135" s="8" t="s">
        <v>873</v>
      </c>
      <c r="B135" s="8"/>
      <c r="C135" s="8" t="s">
        <v>903</v>
      </c>
      <c r="D135" s="8">
        <v>41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spans="1:15" x14ac:dyDescent="0.3">
      <c r="A136" s="8" t="s">
        <v>873</v>
      </c>
      <c r="B136" s="8"/>
      <c r="C136" s="8" t="s">
        <v>904</v>
      </c>
      <c r="D136" s="8">
        <v>82</v>
      </c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spans="1:15" x14ac:dyDescent="0.3">
      <c r="A137" s="8" t="s">
        <v>873</v>
      </c>
      <c r="B137" s="8"/>
      <c r="C137" s="8" t="s">
        <v>905</v>
      </c>
      <c r="D137" s="8">
        <v>0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1:15" x14ac:dyDescent="0.3">
      <c r="A138" s="8" t="s">
        <v>873</v>
      </c>
      <c r="B138" s="8"/>
      <c r="C138" s="8" t="s">
        <v>906</v>
      </c>
      <c r="D138" s="8">
        <v>29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spans="1:15" x14ac:dyDescent="0.3">
      <c r="A139" s="8" t="s">
        <v>873</v>
      </c>
      <c r="B139" s="8"/>
      <c r="C139" s="8" t="s">
        <v>907</v>
      </c>
      <c r="D139" s="8">
        <v>41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 x14ac:dyDescent="0.3">
      <c r="A140" s="8" t="s">
        <v>873</v>
      </c>
      <c r="B140" s="8"/>
      <c r="C140" s="8" t="s">
        <v>908</v>
      </c>
      <c r="D140" s="8">
        <v>41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spans="1:15" x14ac:dyDescent="0.3">
      <c r="A141" s="8" t="s">
        <v>873</v>
      </c>
      <c r="B141" s="8"/>
      <c r="C141" s="8" t="s">
        <v>909</v>
      </c>
      <c r="D141" s="8">
        <v>41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1:15" x14ac:dyDescent="0.3">
      <c r="A142" s="8" t="s">
        <v>873</v>
      </c>
      <c r="B142" s="8"/>
      <c r="C142" s="8" t="s">
        <v>910</v>
      </c>
      <c r="D142" s="8">
        <v>41</v>
      </c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spans="1:15" x14ac:dyDescent="0.3">
      <c r="A143" s="8" t="s">
        <v>873</v>
      </c>
      <c r="B143" s="8"/>
      <c r="C143" s="8" t="s">
        <v>911</v>
      </c>
      <c r="D143" s="8">
        <v>41</v>
      </c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spans="1:15" x14ac:dyDescent="0.3">
      <c r="A144" s="8" t="s">
        <v>873</v>
      </c>
      <c r="B144" s="8"/>
      <c r="C144" s="8" t="s">
        <v>912</v>
      </c>
      <c r="D144" s="8">
        <v>41</v>
      </c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spans="1:15" x14ac:dyDescent="0.3">
      <c r="A145" s="8" t="s">
        <v>873</v>
      </c>
      <c r="B145" s="8"/>
      <c r="C145" s="8" t="s">
        <v>913</v>
      </c>
      <c r="D145" s="8">
        <v>123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1:15" x14ac:dyDescent="0.3">
      <c r="A146" s="8" t="s">
        <v>873</v>
      </c>
      <c r="B146" s="8"/>
      <c r="C146" s="8" t="s">
        <v>914</v>
      </c>
      <c r="D146" s="8">
        <v>0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 spans="1:15" x14ac:dyDescent="0.3">
      <c r="A147" s="8" t="s">
        <v>873</v>
      </c>
      <c r="B147" s="8"/>
      <c r="C147" s="8" t="s">
        <v>915</v>
      </c>
      <c r="D147" s="8">
        <v>0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 x14ac:dyDescent="0.3">
      <c r="A148" s="8" t="s">
        <v>873</v>
      </c>
      <c r="B148" s="8"/>
      <c r="C148" s="8" t="s">
        <v>916</v>
      </c>
      <c r="D148" s="8">
        <v>41</v>
      </c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spans="1:15" x14ac:dyDescent="0.3">
      <c r="A149" s="8" t="s">
        <v>873</v>
      </c>
      <c r="B149" s="8"/>
      <c r="C149" s="8" t="s">
        <v>917</v>
      </c>
      <c r="D149" s="8">
        <v>41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spans="1:15" x14ac:dyDescent="0.3">
      <c r="A150" s="8" t="s">
        <v>873</v>
      </c>
      <c r="B150" s="8"/>
      <c r="C150" s="8" t="s">
        <v>918</v>
      </c>
      <c r="D150" s="8">
        <v>41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 spans="1:15" x14ac:dyDescent="0.3">
      <c r="A151" s="8" t="s">
        <v>873</v>
      </c>
      <c r="B151" s="8"/>
      <c r="C151" s="8" t="s">
        <v>919</v>
      </c>
      <c r="D151" s="8">
        <v>41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1:15" x14ac:dyDescent="0.3">
      <c r="A152" s="8" t="s">
        <v>873</v>
      </c>
      <c r="B152" s="8"/>
      <c r="C152" s="8" t="s">
        <v>920</v>
      </c>
      <c r="D152" s="8">
        <v>82</v>
      </c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 spans="1:15" x14ac:dyDescent="0.3">
      <c r="A153" s="8" t="s">
        <v>873</v>
      </c>
      <c r="B153" s="8"/>
      <c r="C153" s="8" t="s">
        <v>921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15" x14ac:dyDescent="0.3">
      <c r="A154" s="8" t="s">
        <v>873</v>
      </c>
      <c r="B154" s="8"/>
      <c r="C154" s="8" t="s">
        <v>922</v>
      </c>
      <c r="D154" s="8">
        <v>82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 spans="1:15" x14ac:dyDescent="0.3">
      <c r="A155" s="8" t="s">
        <v>873</v>
      </c>
      <c r="B155" s="8"/>
      <c r="C155" s="8" t="s">
        <v>923</v>
      </c>
      <c r="D155" s="8">
        <v>0</v>
      </c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1:15" x14ac:dyDescent="0.3">
      <c r="A156" s="8" t="s">
        <v>873</v>
      </c>
      <c r="B156" s="8"/>
      <c r="C156" s="8" t="s">
        <v>924</v>
      </c>
      <c r="D156" s="8">
        <v>41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spans="1:15" x14ac:dyDescent="0.3">
      <c r="A157" s="8" t="s">
        <v>873</v>
      </c>
      <c r="B157" s="8"/>
      <c r="C157" s="8" t="s">
        <v>925</v>
      </c>
      <c r="D157" s="8">
        <v>41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spans="1:15" x14ac:dyDescent="0.3">
      <c r="A158" s="8" t="s">
        <v>873</v>
      </c>
      <c r="B158" s="8"/>
      <c r="C158" s="8" t="s">
        <v>926</v>
      </c>
      <c r="D158" s="8">
        <v>41</v>
      </c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 spans="1:15" x14ac:dyDescent="0.3">
      <c r="A159" s="8" t="s">
        <v>873</v>
      </c>
      <c r="B159" s="8"/>
      <c r="C159" s="8" t="s">
        <v>927</v>
      </c>
      <c r="D159" s="8">
        <v>82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spans="1:15" x14ac:dyDescent="0.3">
      <c r="A160" s="8" t="s">
        <v>873</v>
      </c>
      <c r="B160" s="8"/>
      <c r="C160" s="8" t="s">
        <v>928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 spans="1:15" x14ac:dyDescent="0.3">
      <c r="A161" s="8" t="s">
        <v>873</v>
      </c>
      <c r="B161" s="8"/>
      <c r="C161" s="8" t="s">
        <v>929</v>
      </c>
      <c r="D161" s="8">
        <v>41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1:15" x14ac:dyDescent="0.3">
      <c r="A162" s="8" t="s">
        <v>873</v>
      </c>
      <c r="B162" s="8"/>
      <c r="C162" s="8" t="s">
        <v>930</v>
      </c>
      <c r="D162" s="8">
        <v>41</v>
      </c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 spans="1:15" x14ac:dyDescent="0.3">
      <c r="A163" s="8" t="s">
        <v>873</v>
      </c>
      <c r="B163" s="8"/>
      <c r="C163" s="8" t="s">
        <v>931</v>
      </c>
      <c r="D163" s="8">
        <v>41</v>
      </c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spans="1:15" x14ac:dyDescent="0.3">
      <c r="A164" s="8" t="s">
        <v>873</v>
      </c>
      <c r="B164" s="8"/>
      <c r="C164" s="8" t="s">
        <v>932</v>
      </c>
      <c r="D164" s="8">
        <v>29</v>
      </c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</row>
    <row r="165" spans="1:15" x14ac:dyDescent="0.3">
      <c r="A165" s="8" t="s">
        <v>873</v>
      </c>
      <c r="B165" s="8"/>
      <c r="C165" s="8" t="s">
        <v>933</v>
      </c>
      <c r="D165" s="8">
        <v>41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spans="1:15" x14ac:dyDescent="0.3">
      <c r="A166" s="8" t="s">
        <v>873</v>
      </c>
      <c r="B166" s="8"/>
      <c r="C166" s="8" t="s">
        <v>934</v>
      </c>
      <c r="D166" s="8">
        <v>41</v>
      </c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 spans="1:15" x14ac:dyDescent="0.3">
      <c r="A167" s="8" t="s">
        <v>873</v>
      </c>
      <c r="B167" s="8"/>
      <c r="C167" s="8" t="s">
        <v>935</v>
      </c>
      <c r="D167" s="8">
        <v>41</v>
      </c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spans="1:15" x14ac:dyDescent="0.3">
      <c r="A168" s="8" t="s">
        <v>873</v>
      </c>
      <c r="B168" s="8"/>
      <c r="C168" s="8" t="s">
        <v>936</v>
      </c>
      <c r="D168" s="8">
        <v>41</v>
      </c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</row>
    <row r="169" spans="1:15" x14ac:dyDescent="0.3">
      <c r="A169" s="8" t="s">
        <v>873</v>
      </c>
      <c r="B169" s="8"/>
      <c r="C169" s="8" t="s">
        <v>937</v>
      </c>
      <c r="D169" s="8">
        <v>41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spans="1:15" x14ac:dyDescent="0.3">
      <c r="A170" s="8" t="s">
        <v>873</v>
      </c>
      <c r="B170" s="8"/>
      <c r="C170" s="8" t="s">
        <v>938</v>
      </c>
      <c r="D170" s="8">
        <v>41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 spans="1:15" x14ac:dyDescent="0.3">
      <c r="A171" s="8" t="s">
        <v>873</v>
      </c>
      <c r="B171" s="8"/>
      <c r="C171" s="8" t="s">
        <v>939</v>
      </c>
      <c r="D171" s="8">
        <v>82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spans="1:15" x14ac:dyDescent="0.3">
      <c r="A172" s="8" t="s">
        <v>873</v>
      </c>
      <c r="B172" s="8"/>
      <c r="C172" s="8" t="s">
        <v>940</v>
      </c>
      <c r="D172" s="8">
        <v>0</v>
      </c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</row>
    <row r="173" spans="1:15" x14ac:dyDescent="0.3">
      <c r="A173" s="8" t="s">
        <v>873</v>
      </c>
      <c r="B173" s="8"/>
      <c r="C173" s="8" t="s">
        <v>941</v>
      </c>
      <c r="D173" s="8">
        <v>41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spans="1:15" x14ac:dyDescent="0.3">
      <c r="A174" s="8" t="s">
        <v>873</v>
      </c>
      <c r="B174" s="8"/>
      <c r="C174" s="8" t="s">
        <v>942</v>
      </c>
      <c r="D174" s="8">
        <v>41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 spans="1:15" x14ac:dyDescent="0.3">
      <c r="A175" s="8" t="s">
        <v>873</v>
      </c>
      <c r="B175" s="8"/>
      <c r="C175" s="8" t="s">
        <v>943</v>
      </c>
      <c r="D175" s="8">
        <v>41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spans="1:15" x14ac:dyDescent="0.3">
      <c r="A176" s="8" t="s">
        <v>873</v>
      </c>
      <c r="B176" s="8"/>
      <c r="C176" s="8" t="s">
        <v>944</v>
      </c>
      <c r="D176" s="8">
        <v>41</v>
      </c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</row>
    <row r="177" spans="1:15" x14ac:dyDescent="0.3">
      <c r="A177" s="8" t="s">
        <v>873</v>
      </c>
      <c r="B177" s="8"/>
      <c r="C177" s="8" t="s">
        <v>945</v>
      </c>
      <c r="D177" s="8">
        <v>41</v>
      </c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spans="1:15" x14ac:dyDescent="0.3">
      <c r="A178" s="8" t="s">
        <v>873</v>
      </c>
      <c r="B178" s="8"/>
      <c r="C178" s="8" t="s">
        <v>946</v>
      </c>
      <c r="D178" s="8">
        <v>41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</row>
    <row r="179" spans="1:15" x14ac:dyDescent="0.3">
      <c r="A179" s="8" t="s">
        <v>873</v>
      </c>
      <c r="B179" s="8"/>
      <c r="C179" s="8" t="s">
        <v>947</v>
      </c>
      <c r="D179" s="8">
        <v>41</v>
      </c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</row>
    <row r="180" spans="1:15" x14ac:dyDescent="0.3">
      <c r="A180" s="8" t="s">
        <v>873</v>
      </c>
      <c r="B180" s="8"/>
      <c r="C180" s="8" t="s">
        <v>948</v>
      </c>
      <c r="D180" s="8">
        <v>41</v>
      </c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</row>
    <row r="181" spans="1:15" x14ac:dyDescent="0.3">
      <c r="A181" s="8" t="s">
        <v>873</v>
      </c>
      <c r="B181" s="8"/>
      <c r="C181" s="8" t="s">
        <v>949</v>
      </c>
      <c r="D181" s="8">
        <v>41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spans="1:15" x14ac:dyDescent="0.3">
      <c r="A182" s="8" t="s">
        <v>873</v>
      </c>
      <c r="B182" s="8"/>
      <c r="C182" s="8" t="s">
        <v>950</v>
      </c>
      <c r="D182" s="8">
        <v>82</v>
      </c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</row>
    <row r="183" spans="1:15" x14ac:dyDescent="0.3">
      <c r="A183" s="8" t="s">
        <v>873</v>
      </c>
      <c r="B183" s="8"/>
      <c r="C183" s="8" t="s">
        <v>951</v>
      </c>
      <c r="D183" s="8">
        <v>0</v>
      </c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spans="1:15" x14ac:dyDescent="0.3">
      <c r="A184" s="8" t="s">
        <v>873</v>
      </c>
      <c r="B184" s="8"/>
      <c r="C184" s="8" t="s">
        <v>952</v>
      </c>
      <c r="D184" s="8">
        <v>41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</row>
    <row r="185" spans="1:15" x14ac:dyDescent="0.3">
      <c r="A185" s="8" t="s">
        <v>873</v>
      </c>
      <c r="B185" s="8"/>
      <c r="C185" s="8" t="s">
        <v>953</v>
      </c>
      <c r="D185" s="8">
        <v>41</v>
      </c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spans="1:15" x14ac:dyDescent="0.3">
      <c r="A186" s="8" t="s">
        <v>873</v>
      </c>
      <c r="B186" s="8"/>
      <c r="C186" s="8" t="s">
        <v>954</v>
      </c>
      <c r="D186" s="8">
        <v>41</v>
      </c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</row>
    <row r="187" spans="1:15" x14ac:dyDescent="0.3">
      <c r="A187" s="8" t="s">
        <v>873</v>
      </c>
      <c r="B187" s="8"/>
      <c r="C187" s="8" t="s">
        <v>955</v>
      </c>
      <c r="D187" s="8">
        <v>41</v>
      </c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spans="1:15" x14ac:dyDescent="0.3">
      <c r="A188" s="8" t="s">
        <v>873</v>
      </c>
      <c r="B188" s="8"/>
      <c r="C188" s="8" t="s">
        <v>956</v>
      </c>
      <c r="D188" s="8">
        <v>41</v>
      </c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</row>
    <row r="189" spans="1:15" x14ac:dyDescent="0.3">
      <c r="A189" s="8" t="s">
        <v>873</v>
      </c>
      <c r="B189" s="8"/>
      <c r="C189" s="8" t="s">
        <v>957</v>
      </c>
      <c r="D189" s="8">
        <v>82</v>
      </c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spans="1:15" x14ac:dyDescent="0.3">
      <c r="A190" s="8" t="s">
        <v>873</v>
      </c>
      <c r="B190" s="8"/>
      <c r="C190" s="8" t="s">
        <v>958</v>
      </c>
      <c r="D190" s="8">
        <v>0</v>
      </c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</row>
    <row r="191" spans="1:15" x14ac:dyDescent="0.3">
      <c r="A191" s="8" t="s">
        <v>873</v>
      </c>
      <c r="B191" s="8"/>
      <c r="C191" s="8" t="s">
        <v>959</v>
      </c>
      <c r="D191" s="8">
        <v>28</v>
      </c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spans="1:15" x14ac:dyDescent="0.3">
      <c r="A192" s="8" t="s">
        <v>873</v>
      </c>
      <c r="B192" s="8"/>
      <c r="C192" s="8" t="s">
        <v>960</v>
      </c>
      <c r="D192" s="8">
        <v>41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 spans="1:15" x14ac:dyDescent="0.3">
      <c r="A193" s="8" t="s">
        <v>873</v>
      </c>
      <c r="B193" s="8"/>
      <c r="C193" s="8" t="s">
        <v>961</v>
      </c>
      <c r="D193" s="8">
        <v>41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spans="1:15" x14ac:dyDescent="0.3">
      <c r="A194" s="8" t="s">
        <v>873</v>
      </c>
      <c r="B194" s="8"/>
      <c r="C194" s="8" t="s">
        <v>962</v>
      </c>
      <c r="D194" s="8">
        <v>41</v>
      </c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</row>
    <row r="195" spans="1:15" x14ac:dyDescent="0.3">
      <c r="A195" s="8" t="s">
        <v>873</v>
      </c>
      <c r="B195" s="8"/>
      <c r="C195" s="8" t="s">
        <v>963</v>
      </c>
      <c r="D195" s="8">
        <v>41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spans="1:15" x14ac:dyDescent="0.3">
      <c r="A196" s="8" t="s">
        <v>873</v>
      </c>
      <c r="B196" s="8"/>
      <c r="C196" s="8" t="s">
        <v>964</v>
      </c>
      <c r="D196" s="8">
        <v>82</v>
      </c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</row>
    <row r="197" spans="1:15" x14ac:dyDescent="0.3">
      <c r="A197" s="8" t="s">
        <v>873</v>
      </c>
      <c r="B197" s="8"/>
      <c r="C197" s="8" t="s">
        <v>965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spans="1:15" x14ac:dyDescent="0.3">
      <c r="A198" s="8" t="s">
        <v>873</v>
      </c>
      <c r="B198" s="8"/>
      <c r="C198" s="8" t="s">
        <v>966</v>
      </c>
      <c r="D198" s="8">
        <v>41</v>
      </c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</row>
    <row r="199" spans="1:15" x14ac:dyDescent="0.3">
      <c r="A199" s="8" t="s">
        <v>873</v>
      </c>
      <c r="B199" s="8"/>
      <c r="C199" s="8" t="s">
        <v>967</v>
      </c>
      <c r="D199" s="8">
        <v>41</v>
      </c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spans="1:15" x14ac:dyDescent="0.3">
      <c r="A200" s="8" t="s">
        <v>873</v>
      </c>
      <c r="B200" s="8"/>
      <c r="C200" s="8" t="s">
        <v>968</v>
      </c>
      <c r="D200" s="8">
        <v>41</v>
      </c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</row>
    <row r="201" spans="1:15" x14ac:dyDescent="0.3">
      <c r="A201" s="8" t="s">
        <v>873</v>
      </c>
      <c r="B201" s="8"/>
      <c r="C201" s="8" t="s">
        <v>969</v>
      </c>
      <c r="D201" s="8">
        <v>41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spans="1:15" x14ac:dyDescent="0.3">
      <c r="A202" s="8" t="s">
        <v>873</v>
      </c>
      <c r="B202" s="8"/>
      <c r="C202" s="8" t="s">
        <v>970</v>
      </c>
      <c r="D202" s="8">
        <v>41</v>
      </c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</row>
    <row r="203" spans="1:15" x14ac:dyDescent="0.3">
      <c r="A203" s="8" t="s">
        <v>873</v>
      </c>
      <c r="B203" s="8"/>
      <c r="C203" s="8" t="s">
        <v>971</v>
      </c>
      <c r="D203" s="8">
        <v>41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spans="1:15" x14ac:dyDescent="0.3">
      <c r="A204" s="8" t="s">
        <v>873</v>
      </c>
      <c r="B204" s="8"/>
      <c r="C204" s="8" t="s">
        <v>972</v>
      </c>
      <c r="D204" s="8">
        <v>41</v>
      </c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</row>
    <row r="205" spans="1:15" x14ac:dyDescent="0.3">
      <c r="A205" s="8" t="s">
        <v>873</v>
      </c>
      <c r="B205" s="8"/>
      <c r="C205" s="8" t="s">
        <v>973</v>
      </c>
      <c r="D205" s="8">
        <v>82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 spans="1:15" x14ac:dyDescent="0.3">
      <c r="A206" s="8" t="s">
        <v>873</v>
      </c>
      <c r="B206" s="8"/>
      <c r="C206" s="8" t="s">
        <v>974</v>
      </c>
      <c r="D206" s="8">
        <v>0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</row>
    <row r="207" spans="1:15" x14ac:dyDescent="0.3">
      <c r="A207" s="8" t="s">
        <v>873</v>
      </c>
      <c r="B207" s="8"/>
      <c r="C207" s="8" t="s">
        <v>975</v>
      </c>
      <c r="D207" s="8">
        <v>41</v>
      </c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spans="1:15" x14ac:dyDescent="0.3">
      <c r="A208" s="8" t="s">
        <v>873</v>
      </c>
      <c r="B208" s="8"/>
      <c r="C208" s="8" t="s">
        <v>976</v>
      </c>
      <c r="D208" s="8">
        <v>41</v>
      </c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</row>
    <row r="209" spans="1:15" x14ac:dyDescent="0.3">
      <c r="A209" s="8" t="s">
        <v>873</v>
      </c>
      <c r="B209" s="8"/>
      <c r="C209" s="8" t="s">
        <v>977</v>
      </c>
      <c r="D209" s="8">
        <v>41</v>
      </c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spans="1:15" x14ac:dyDescent="0.3">
      <c r="A210" s="8" t="s">
        <v>873</v>
      </c>
      <c r="B210" s="8"/>
      <c r="C210" s="8" t="s">
        <v>978</v>
      </c>
      <c r="D210" s="8">
        <v>41</v>
      </c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</row>
    <row r="211" spans="1:15" x14ac:dyDescent="0.3">
      <c r="A211" s="8" t="s">
        <v>873</v>
      </c>
      <c r="B211" s="8"/>
      <c r="C211" s="8" t="s">
        <v>979</v>
      </c>
      <c r="D211" s="8">
        <v>41</v>
      </c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spans="1:15" x14ac:dyDescent="0.3">
      <c r="A212" s="8" t="s">
        <v>873</v>
      </c>
      <c r="B212" s="8"/>
      <c r="C212" s="8" t="s">
        <v>980</v>
      </c>
      <c r="D212" s="8">
        <v>41</v>
      </c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 spans="1:15" x14ac:dyDescent="0.3">
      <c r="A213" s="8" t="s">
        <v>873</v>
      </c>
      <c r="B213" s="8"/>
      <c r="C213" s="8" t="s">
        <v>981</v>
      </c>
      <c r="D213" s="8">
        <v>41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spans="1:15" x14ac:dyDescent="0.3">
      <c r="A214" s="8" t="s">
        <v>873</v>
      </c>
      <c r="B214" s="8"/>
      <c r="C214" s="8" t="s">
        <v>982</v>
      </c>
      <c r="D214" s="8">
        <v>41</v>
      </c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</row>
    <row r="215" spans="1:15" x14ac:dyDescent="0.3">
      <c r="A215" s="8" t="s">
        <v>873</v>
      </c>
      <c r="B215" s="8"/>
      <c r="C215" s="8" t="s">
        <v>983</v>
      </c>
      <c r="D215" s="8">
        <v>82</v>
      </c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 spans="1:15" x14ac:dyDescent="0.3">
      <c r="A216" s="8" t="s">
        <v>873</v>
      </c>
      <c r="B216" s="8"/>
      <c r="C216" s="8" t="s">
        <v>984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</row>
    <row r="217" spans="1:15" x14ac:dyDescent="0.3">
      <c r="A217" s="8" t="s">
        <v>873</v>
      </c>
      <c r="B217" s="8"/>
      <c r="C217" s="8" t="s">
        <v>985</v>
      </c>
      <c r="D217" s="8">
        <v>28</v>
      </c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 spans="1:15" x14ac:dyDescent="0.3">
      <c r="A218" s="8" t="s">
        <v>873</v>
      </c>
      <c r="B218" s="8"/>
      <c r="C218" s="8" t="s">
        <v>986</v>
      </c>
      <c r="D218" s="8">
        <v>41</v>
      </c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</row>
    <row r="219" spans="1:15" x14ac:dyDescent="0.3">
      <c r="A219" s="8" t="s">
        <v>873</v>
      </c>
      <c r="B219" s="8"/>
      <c r="C219" s="8" t="s">
        <v>987</v>
      </c>
      <c r="D219" s="8">
        <v>41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 spans="1:15" x14ac:dyDescent="0.3">
      <c r="A220" s="8" t="s">
        <v>873</v>
      </c>
      <c r="B220" s="8"/>
      <c r="C220" s="8" t="s">
        <v>988</v>
      </c>
      <c r="D220" s="8">
        <v>41</v>
      </c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</row>
    <row r="221" spans="1:15" x14ac:dyDescent="0.3">
      <c r="A221" s="8" t="s">
        <v>873</v>
      </c>
      <c r="B221" s="8"/>
      <c r="C221" s="8" t="s">
        <v>989</v>
      </c>
      <c r="D221" s="8">
        <v>41</v>
      </c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 spans="1:15" x14ac:dyDescent="0.3">
      <c r="A222" s="8" t="s">
        <v>873</v>
      </c>
      <c r="B222" s="8"/>
      <c r="C222" s="8" t="s">
        <v>990</v>
      </c>
      <c r="D222" s="8">
        <v>41</v>
      </c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</row>
    <row r="223" spans="1:15" x14ac:dyDescent="0.3">
      <c r="A223" s="8" t="s">
        <v>873</v>
      </c>
      <c r="B223" s="8"/>
      <c r="C223" s="8" t="s">
        <v>991</v>
      </c>
      <c r="D223" s="8">
        <v>41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 spans="1:15" x14ac:dyDescent="0.3">
      <c r="A224" s="8" t="s">
        <v>873</v>
      </c>
      <c r="B224" s="8"/>
      <c r="C224" s="8" t="s">
        <v>992</v>
      </c>
      <c r="D224" s="8">
        <v>82</v>
      </c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</row>
    <row r="225" spans="1:15" x14ac:dyDescent="0.3">
      <c r="A225" s="8" t="s">
        <v>873</v>
      </c>
      <c r="B225" s="8"/>
      <c r="C225" s="8" t="s">
        <v>993</v>
      </c>
      <c r="D225" s="8">
        <v>82</v>
      </c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 spans="1:15" x14ac:dyDescent="0.3">
      <c r="A226" s="8" t="s">
        <v>873</v>
      </c>
      <c r="B226" s="8"/>
      <c r="C226" s="8" t="s">
        <v>994</v>
      </c>
      <c r="D226" s="8">
        <v>82</v>
      </c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 spans="1:15" x14ac:dyDescent="0.3">
      <c r="A227" s="8" t="s">
        <v>873</v>
      </c>
      <c r="B227" s="8"/>
      <c r="C227" s="8" t="s">
        <v>995</v>
      </c>
      <c r="D227" s="8">
        <v>451</v>
      </c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</row>
    <row r="228" spans="1:15" x14ac:dyDescent="0.3">
      <c r="A228" s="8" t="s">
        <v>873</v>
      </c>
      <c r="B228" s="8"/>
      <c r="C228" s="8" t="s">
        <v>996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</row>
    <row r="229" spans="1:15" x14ac:dyDescent="0.3">
      <c r="A229" s="8" t="s">
        <v>873</v>
      </c>
      <c r="B229" s="8"/>
      <c r="C229" s="8" t="s">
        <v>997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</row>
    <row r="230" spans="1:15" x14ac:dyDescent="0.3">
      <c r="A230" s="8" t="s">
        <v>873</v>
      </c>
      <c r="B230" s="8"/>
      <c r="C230" s="8" t="s">
        <v>998</v>
      </c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</row>
    <row r="231" spans="1:15" x14ac:dyDescent="0.3">
      <c r="A231" s="8" t="s">
        <v>873</v>
      </c>
      <c r="B231" s="8"/>
      <c r="C231" s="8" t="s">
        <v>999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 spans="1:15" x14ac:dyDescent="0.3">
      <c r="A232" s="8" t="s">
        <v>873</v>
      </c>
      <c r="B232" s="8"/>
      <c r="C232" s="8" t="s">
        <v>1000</v>
      </c>
      <c r="D232" s="8">
        <v>69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</row>
    <row r="233" spans="1:15" x14ac:dyDescent="0.3">
      <c r="A233" s="8" t="s">
        <v>873</v>
      </c>
      <c r="B233" s="8"/>
      <c r="C233" s="8" t="s">
        <v>1001</v>
      </c>
      <c r="D233" s="8">
        <v>82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 spans="1:15" x14ac:dyDescent="0.3">
      <c r="A234" s="8" t="s">
        <v>873</v>
      </c>
      <c r="B234" s="8"/>
      <c r="C234" s="8" t="s">
        <v>1002</v>
      </c>
      <c r="D234" s="8">
        <v>123</v>
      </c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</row>
    <row r="235" spans="1:15" x14ac:dyDescent="0.3">
      <c r="A235" s="8" t="s">
        <v>873</v>
      </c>
      <c r="B235" s="8"/>
      <c r="C235" s="8" t="s">
        <v>1003</v>
      </c>
      <c r="D235" s="8">
        <v>41</v>
      </c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</row>
    <row r="236" spans="1:15" x14ac:dyDescent="0.3">
      <c r="A236" s="8" t="s">
        <v>873</v>
      </c>
      <c r="B236" s="8"/>
      <c r="C236" s="8" t="s">
        <v>1004</v>
      </c>
      <c r="D236" s="8">
        <v>82</v>
      </c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</row>
    <row r="237" spans="1:15" x14ac:dyDescent="0.3">
      <c r="A237" s="8" t="s">
        <v>873</v>
      </c>
      <c r="B237" s="8"/>
      <c r="C237" s="8" t="s">
        <v>1005</v>
      </c>
      <c r="D237" s="8">
        <v>643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</row>
    <row r="238" spans="1:15" x14ac:dyDescent="0.3">
      <c r="A238" s="8" t="s">
        <v>873</v>
      </c>
      <c r="B238" s="8"/>
      <c r="C238" s="8" t="s">
        <v>1006</v>
      </c>
      <c r="D238" s="8">
        <v>0</v>
      </c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</row>
    <row r="239" spans="1:15" x14ac:dyDescent="0.3">
      <c r="A239" s="8" t="s">
        <v>873</v>
      </c>
      <c r="B239" s="8"/>
      <c r="C239" s="8" t="s">
        <v>1007</v>
      </c>
      <c r="D239" s="8">
        <v>0</v>
      </c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</row>
    <row r="240" spans="1:15" x14ac:dyDescent="0.3">
      <c r="A240" s="8" t="s">
        <v>873</v>
      </c>
      <c r="B240" s="8"/>
      <c r="C240" s="8" t="s">
        <v>1008</v>
      </c>
      <c r="D240" s="8">
        <v>0</v>
      </c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</row>
    <row r="241" spans="1:15" x14ac:dyDescent="0.3">
      <c r="A241" s="8" t="s">
        <v>873</v>
      </c>
      <c r="B241" s="8"/>
      <c r="C241" s="8" t="s">
        <v>1009</v>
      </c>
      <c r="D241" s="8">
        <v>164</v>
      </c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</row>
    <row r="242" spans="1:15" x14ac:dyDescent="0.3">
      <c r="A242" s="8" t="s">
        <v>873</v>
      </c>
      <c r="B242" s="8"/>
      <c r="C242" s="8" t="s">
        <v>1010</v>
      </c>
      <c r="D242" s="8">
        <v>82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</row>
    <row r="243" spans="1:15" x14ac:dyDescent="0.3">
      <c r="A243" s="8" t="s">
        <v>873</v>
      </c>
      <c r="B243" s="8"/>
      <c r="C243" s="8" t="s">
        <v>1011</v>
      </c>
      <c r="D243" s="8">
        <v>0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 spans="1:15" x14ac:dyDescent="0.3">
      <c r="A244" s="8" t="s">
        <v>873</v>
      </c>
      <c r="B244" s="8"/>
      <c r="C244" s="8" t="s">
        <v>1012</v>
      </c>
      <c r="D244" s="8">
        <v>82</v>
      </c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</row>
    <row r="245" spans="1:15" x14ac:dyDescent="0.3">
      <c r="A245" s="8" t="s">
        <v>873</v>
      </c>
      <c r="B245" s="8"/>
      <c r="C245" s="8" t="s">
        <v>1013</v>
      </c>
      <c r="D245" s="8">
        <v>82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</row>
    <row r="246" spans="1:15" x14ac:dyDescent="0.3">
      <c r="A246" s="8" t="s">
        <v>873</v>
      </c>
      <c r="B246" s="8"/>
      <c r="C246" s="8" t="s">
        <v>1014</v>
      </c>
      <c r="D246" s="8">
        <v>0</v>
      </c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</row>
    <row r="247" spans="1:15" x14ac:dyDescent="0.3">
      <c r="A247" s="8" t="s">
        <v>873</v>
      </c>
      <c r="B247" s="8"/>
      <c r="C247" s="8" t="s">
        <v>1015</v>
      </c>
      <c r="D247" s="8">
        <v>0</v>
      </c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</row>
    <row r="248" spans="1:15" x14ac:dyDescent="0.3">
      <c r="A248" s="8" t="s">
        <v>873</v>
      </c>
      <c r="B248" s="8"/>
      <c r="C248" s="8" t="s">
        <v>1016</v>
      </c>
      <c r="D248" s="8">
        <v>0</v>
      </c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</row>
  </sheetData>
  <autoFilter ref="A1:O248" xr:uid="{00000000-0009-0000-0000-000004000000}"/>
  <phoneticPr fontId="24" type="noConversion"/>
  <conditionalFormatting sqref="C2:C15">
    <cfRule type="duplicateValues" dxfId="162" priority="272" stopIfTrue="1"/>
    <cfRule type="duplicateValues" priority="256"/>
    <cfRule type="duplicateValues" dxfId="161" priority="265"/>
  </conditionalFormatting>
  <conditionalFormatting sqref="C16:C30">
    <cfRule type="duplicateValues" priority="235"/>
    <cfRule type="duplicateValues" dxfId="160" priority="246"/>
    <cfRule type="duplicateValues" dxfId="159" priority="253" stopIfTrue="1"/>
  </conditionalFormatting>
  <conditionalFormatting sqref="C31:C51">
    <cfRule type="duplicateValues" dxfId="158" priority="223"/>
    <cfRule type="duplicateValues" priority="214"/>
    <cfRule type="duplicateValues" dxfId="157" priority="232" stopIfTrue="1"/>
  </conditionalFormatting>
  <conditionalFormatting sqref="C52:C75 C77:C78">
    <cfRule type="duplicateValues" dxfId="156" priority="206" stopIfTrue="1"/>
    <cfRule type="duplicateValues" priority="193"/>
    <cfRule type="duplicateValues" dxfId="155" priority="202"/>
  </conditionalFormatting>
  <conditionalFormatting sqref="C81:C87">
    <cfRule type="duplicateValues" dxfId="154" priority="190" stopIfTrue="1"/>
    <cfRule type="duplicateValues" dxfId="153" priority="181"/>
  </conditionalFormatting>
  <conditionalFormatting sqref="C81:C91 C94:C97">
    <cfRule type="duplicateValues" dxfId="152" priority="166"/>
  </conditionalFormatting>
  <conditionalFormatting sqref="C81:C98">
    <cfRule type="duplicateValues" priority="158"/>
    <cfRule type="duplicateValues" dxfId="151" priority="156"/>
  </conditionalFormatting>
  <conditionalFormatting sqref="C88:C89 C91 C94:C95">
    <cfRule type="expression" dxfId="150" priority="177" stopIfTrue="1">
      <formula>AND(COUNTIF($D$1:$D$204,C88)+COUNTIF($D$201:$D$65503,C88)&gt;1,NOT(ISBLANK(C88)))</formula>
    </cfRule>
    <cfRule type="expression" dxfId="149" priority="178" stopIfTrue="1">
      <formula>AND(COUNTIF($D$1:$D$98,C88)+COUNTIF($D$158:$D$176,C88)+COUNTIF($D$178:$D$196,C88)+COUNTIF($D$201:$D$223,C88)+COUNTIF($D$198:$D$204,C88)+COUNTIF($D$226:$D$236,C88)+COUNTIF($D$239:$D$65503,C88)&gt;1,NOT(ISBLANK(C88)))</formula>
    </cfRule>
    <cfRule type="expression" dxfId="148" priority="176" stopIfTrue="1">
      <formula>AND(COUNTIF($D$1:$D$98,C88)+COUNTIF($D$158:$D$176,C88)+COUNTIF($D$178:$D$196,C88)+COUNTIF($D$226:$D$65503,C88)+COUNTIF($D$198:$D$204,C88)+COUNTIF($D$201:$D$223,C88)&gt;1,NOT(ISBLANK(C88)))</formula>
    </cfRule>
    <cfRule type="expression" dxfId="147" priority="175" stopIfTrue="1">
      <formula>AND(COUNTIF($D:$D,C88)&gt;1,NOT(ISBLANK(C88)))</formula>
    </cfRule>
    <cfRule type="duplicateValues" dxfId="146" priority="174" stopIfTrue="1"/>
  </conditionalFormatting>
  <conditionalFormatting sqref="C88:C91 C94:C97">
    <cfRule type="expression" dxfId="145" priority="167" stopIfTrue="1">
      <formula>AND(COUNTIF($D$1:$D$204,C88)+COUNTIF($D$201:$D$223,C88)+COUNTIF($D$226:$D$65503,C88)&gt;1,NOT(ISBLANK(C88)))</formula>
    </cfRule>
    <cfRule type="expression" dxfId="144" priority="168" stopIfTrue="1">
      <formula>AND(COUNTIF($D$1:$D$98,C88)+COUNTIF($D$158:$D$176,C88)+COUNTIF($D$178:$D$204,C88)+COUNTIF($D$201:$D$223,C88)+COUNTIF($D$226:$D$65503,C88)&gt;1,NOT(ISBLANK(C88)))</formula>
    </cfRule>
  </conditionalFormatting>
  <conditionalFormatting sqref="C90 C96:C97">
    <cfRule type="expression" dxfId="143" priority="171" stopIfTrue="1">
      <formula>AND(COUNTIF($D$1:$D$98,C90)+COUNTIF($D$158:$D$176,C90)+COUNTIF($D$178:$D$196,C90)+COUNTIF($D$226:$D$65503,C90)+COUNTIF($D$198:$D$204,C90)+COUNTIF($D$201:$D$223,C90)&gt;1,NOT(ISBLANK(C90)))</formula>
    </cfRule>
    <cfRule type="expression" dxfId="142" priority="170" stopIfTrue="1">
      <formula>AND(COUNTIF($D:$D,C90)&gt;1,NOT(ISBLANK(C90)))</formula>
    </cfRule>
    <cfRule type="duplicateValues" dxfId="141" priority="169" stopIfTrue="1"/>
    <cfRule type="expression" dxfId="140" priority="172" stopIfTrue="1">
      <formula>AND(COUNTIF($D$1:$D$204,C90)+COUNTIF($D$201:$D$65503,C90)&gt;1,NOT(ISBLANK(C90)))</formula>
    </cfRule>
    <cfRule type="expression" dxfId="139" priority="173" stopIfTrue="1">
      <formula>AND(COUNTIF($D$1:$D$98,C90)+COUNTIF($D$158:$D$176,C90)+COUNTIF($D$178:$D$196,C90)+COUNTIF($D$201:$D$223,C90)+COUNTIF($D$198:$D$204,C90)+COUNTIF($D$226:$D$236,C90)+COUNTIF($D$239:$D$65503,C90)&gt;1,NOT(ISBLANK(C90)))</formula>
    </cfRule>
  </conditionalFormatting>
  <conditionalFormatting sqref="C92:C93 C98">
    <cfRule type="duplicateValues" dxfId="138" priority="159"/>
    <cfRule type="duplicateValues" dxfId="137" priority="160" stopIfTrue="1"/>
  </conditionalFormatting>
  <conditionalFormatting sqref="C99">
    <cfRule type="duplicateValues" dxfId="136" priority="110" stopIfTrue="1"/>
    <cfRule type="duplicateValues" dxfId="135" priority="109"/>
  </conditionalFormatting>
  <conditionalFormatting sqref="C99:C126">
    <cfRule type="duplicateValues" dxfId="134" priority="107"/>
    <cfRule type="duplicateValues" priority="108"/>
  </conditionalFormatting>
  <conditionalFormatting sqref="C100:C102">
    <cfRule type="expression" dxfId="133" priority="133" stopIfTrue="1">
      <formula>AND(COUNTIF($D:$D,C100)&gt;1,NOT(ISBLANK(C100)))</formula>
    </cfRule>
    <cfRule type="expression" dxfId="132" priority="134" stopIfTrue="1">
      <formula>AND(COUNTIF($D$1:$D$200,C100)+COUNTIF($D$207:$D$65503,C100)&gt;1,NOT(ISBLANK(C100)))</formula>
    </cfRule>
    <cfRule type="expression" dxfId="131" priority="135" stopIfTrue="1">
      <formula>AND(COUNTIF($D$1:$D$98,C100)+COUNTIF($D$158:$D$178,C100)+COUNTIF($D$180:$D$198,C100)+COUNTIF($D$207:$D$226,C100)+COUNTIF($D$200:$D$200,C100)+COUNTIF($D$228:$D$239,C100)+COUNTIF($D$241:$D$65503,C100)&gt;1,NOT(ISBLANK(C100)))</formula>
    </cfRule>
    <cfRule type="expression" dxfId="130" priority="136" stopIfTrue="1">
      <formula>AND(COUNTIF($D$1:$D$98,C100)+COUNTIF($D$158:$D$200,C100)+COUNTIF($D$207:$D$226,C100)+COUNTIF($D$228:$D$65503,C100)&gt;1,NOT(ISBLANK(C100)))</formula>
    </cfRule>
    <cfRule type="expression" dxfId="129" priority="130" stopIfTrue="1">
      <formula>AND(COUNTIF($D$1:$D$200,C100)+COUNTIF($D$207:$D$226,C100)+COUNTIF($D$228:$D$65503,C100)&gt;1,NOT(ISBLANK(C100)))</formula>
    </cfRule>
    <cfRule type="expression" dxfId="128" priority="131" stopIfTrue="1">
      <formula>AND(COUNTIF($D$1:$D$98,C100)+COUNTIF($D$158:$D$178,C100)+COUNTIF($D$180:$D$200,C100)+COUNTIF($D$207:$D$226,C100)+COUNTIF($D$228:$D$65503,C100)&gt;1,NOT(ISBLANK(C100)))</formula>
    </cfRule>
    <cfRule type="expression" dxfId="127" priority="132" stopIfTrue="1">
      <formula>AND(COUNTIF($D$1:$D$98,C100)+COUNTIF($D$158:$D$178,C100)+COUNTIF($D$180:$D$198,C100)+COUNTIF($D$228:$D$65503,C100)+COUNTIF($D$200:$D$200,C100)+COUNTIF($D$207:$D$226,C100)&gt;1,NOT(ISBLANK(C100)))</formula>
    </cfRule>
  </conditionalFormatting>
  <conditionalFormatting sqref="C100:C108 C110:C126">
    <cfRule type="duplicateValues" dxfId="126" priority="116"/>
  </conditionalFormatting>
  <conditionalFormatting sqref="C100:C126">
    <cfRule type="duplicateValues" dxfId="125" priority="111"/>
  </conditionalFormatting>
  <conditionalFormatting sqref="C103:C106 C108 C110:C111 C113:C115 C117:C118 C120:C121 C123">
    <cfRule type="duplicateValues" dxfId="124" priority="155" stopIfTrue="1"/>
  </conditionalFormatting>
  <conditionalFormatting sqref="C103:C106 C108 C110:C111 C113:C115 C117:C118 C120:C121 C123:C126">
    <cfRule type="duplicateValues" dxfId="123" priority="151" stopIfTrue="1"/>
  </conditionalFormatting>
  <conditionalFormatting sqref="C103:C106 C108 C110:C115 C117:C118 C120:C126">
    <cfRule type="duplicateValues" dxfId="122" priority="148" stopIfTrue="1"/>
  </conditionalFormatting>
  <conditionalFormatting sqref="C103:C106 C108 C110:C118 C120:C126">
    <cfRule type="duplicateValues" dxfId="121" priority="143"/>
    <cfRule type="duplicateValues" dxfId="120" priority="146" stopIfTrue="1"/>
  </conditionalFormatting>
  <conditionalFormatting sqref="C103:C108 C110:C118 C120:C126">
    <cfRule type="duplicateValues" dxfId="119" priority="138"/>
  </conditionalFormatting>
  <conditionalFormatting sqref="C107">
    <cfRule type="duplicateValues" dxfId="118" priority="141"/>
    <cfRule type="duplicateValues" dxfId="117" priority="142" stopIfTrue="1"/>
  </conditionalFormatting>
  <conditionalFormatting sqref="C109">
    <cfRule type="duplicateValues" dxfId="116" priority="113" stopIfTrue="1"/>
    <cfRule type="duplicateValues" dxfId="115" priority="112"/>
  </conditionalFormatting>
  <conditionalFormatting sqref="C112">
    <cfRule type="duplicateValues" dxfId="114" priority="150" stopIfTrue="1"/>
  </conditionalFormatting>
  <conditionalFormatting sqref="C116">
    <cfRule type="duplicateValues" dxfId="113" priority="147" stopIfTrue="1"/>
  </conditionalFormatting>
  <conditionalFormatting sqref="C119">
    <cfRule type="expression" dxfId="112" priority="121" stopIfTrue="1">
      <formula>AND(COUNTIF($D$1:$D$98,C119)+COUNTIF($D$158:$D$176,C119)+COUNTIF($D$178:$D$196,C119)+COUNTIF($D$226:$D$65503,C119)+COUNTIF($D$198:$D$204,C119)+COUNTIF($D$201:$D$223,C119)&gt;1,NOT(ISBLANK(C119)))</formula>
    </cfRule>
    <cfRule type="expression" dxfId="111" priority="122" stopIfTrue="1">
      <formula>AND(COUNTIF($D$1:$D$98,C119)+COUNTIF($D$172:$D$176,C119)+COUNTIF($D$158:$D$158,C119)+COUNTIF($D$178:$D$180,C119)+COUNTIF($D$183:$D$185,C119)+COUNTIF($D$191:$D$194,C119)+COUNTIF($D$187:$D$189,C119)+COUNTIF($D$198:$D$198,C119)+COUNTIF($D$201:$D$223,C119)+COUNTIF($D$227:$D$236,C119)+COUNTIF($D$202:$D$204,C119)+COUNTIF($D$239:$D$65503,C119)&gt;1,NOT(ISBLANK(C119)))</formula>
    </cfRule>
    <cfRule type="expression" dxfId="110" priority="123" stopIfTrue="1">
      <formula>AND(COUNTIF($D$1:$D$98,C119)+COUNTIF($D$158:$D$176,C119)+COUNTIF($D$178:$D$194,C119)+COUNTIF($D$201:$D$223,C119)+COUNTIF($D$198:$D$204,C119)+COUNTIF($D$226:$D$236,C119)+COUNTIF($D$239:$D$65503,C119)&gt;1,NOT(ISBLANK(C119)))</formula>
    </cfRule>
    <cfRule type="expression" dxfId="109" priority="124" stopIfTrue="1">
      <formula>AND(COUNTIF($D$1:$D$98,C119)+COUNTIF($D$172:$D$176,C119)+COUNTIF($D$158:$D$158,C119)+COUNTIF($D$178:$D$185,C119)+COUNTIF($D$187:$D$194,C119)+COUNTIF($D$226:$D$236,C119)+COUNTIF($D$201:$D$223,C119)+COUNTIF($D$198:$D$204,C119)+COUNTIF($D$239:$D$65503,C119)&gt;1,NOT(ISBLANK(C119)))</formula>
    </cfRule>
    <cfRule type="expression" dxfId="108" priority="125" stopIfTrue="1">
      <formula>AND(COUNTIF($D:$D,C119)&gt;1,NOT(ISBLANK(C119)))</formula>
    </cfRule>
    <cfRule type="expression" dxfId="107" priority="126" stopIfTrue="1">
      <formula>AND(COUNTIF($D$1:$D$204,C119)+COUNTIF($D$201:$D$65503,C119)&gt;1,NOT(ISBLANK(C119)))</formula>
    </cfRule>
    <cfRule type="expression" dxfId="106" priority="127" stopIfTrue="1">
      <formula>AND(COUNTIF($D$1:$D$98,C119)+COUNTIF($D$172:$D$176,C119)+COUNTIF($D$158:$D$158,C119)+COUNTIF($D$178:$D$180,C119)+COUNTIF($D$183:$D$185,C119)+COUNTIF($D$191,C119)+COUNTIF($D$187:$D$189,C119)+COUNTIF($D$201:$D$223,C119)+COUNTIF($D$227:$D$236,C119)+COUNTIF($D$198:$D$198,C119)+COUNTIF($D$202:$D$204,C119)+COUNTIF($D$239:$D$65503,C119)&gt;1,NOT(ISBLANK(C119)))</formula>
    </cfRule>
    <cfRule type="expression" dxfId="105" priority="129" stopIfTrue="1">
      <formula>AND(COUNTIF($D$1:$D$98,C119)+COUNTIF($D$158:$D$176,C119)+COUNTIF($D$178:$D$196,C119)+COUNTIF($D$201:$D$223,C119)+COUNTIF($D$198:$D$204,C119)+COUNTIF($D$226:$D$236,C119)+COUNTIF($D$239:$D$65503,C119)&gt;1,NOT(ISBLANK(C119)))</formula>
    </cfRule>
    <cfRule type="expression" dxfId="104" priority="128" stopIfTrue="1">
      <formula>AND(COUNTIF($D$1:$D$98,C119)+COUNTIF($D$172:$D$176,C119)+COUNTIF($D$158:$D$158,C119)+COUNTIF($D$178:$D$194,C119)+COUNTIF($D$226:$D$236,C119)+COUNTIF($D$201:$D$223,C119)+COUNTIF($D$198:$D$204,C119)+COUNTIF($D$239:$D$65503,C119)&gt;1,NOT(ISBLANK(C119)))</formula>
    </cfRule>
    <cfRule type="expression" dxfId="103" priority="119" stopIfTrue="1">
      <formula>AND(COUNTIF($D$1:$D$204,C119)+COUNTIF($D$201:$D$223,C119)+COUNTIF($D$226:$D$65503,C119)&gt;1,NOT(ISBLANK(C119)))</formula>
    </cfRule>
    <cfRule type="expression" dxfId="102" priority="120" stopIfTrue="1">
      <formula>AND(COUNTIF($D$1:$D$98,C119)+COUNTIF($D$158:$D$176,C119)+COUNTIF($D$178:$D$204,C119)+COUNTIF($D$201:$D$223,C119)+COUNTIF($D$226:$D$65503,C119)&gt;1,NOT(ISBLANK(C119)))</formula>
    </cfRule>
  </conditionalFormatting>
  <conditionalFormatting sqref="C122">
    <cfRule type="duplicateValues" dxfId="101" priority="149" stopIfTrue="1"/>
  </conditionalFormatting>
  <conditionalFormatting sqref="C124:C125">
    <cfRule type="duplicateValues" dxfId="100" priority="153" stopIfTrue="1"/>
  </conditionalFormatting>
  <conditionalFormatting sqref="C126">
    <cfRule type="duplicateValues" dxfId="99" priority="152" stopIfTrue="1"/>
  </conditionalFormatting>
  <conditionalFormatting sqref="C145:C170">
    <cfRule type="duplicateValues" dxfId="98" priority="104" stopIfTrue="1"/>
    <cfRule type="duplicateValues" dxfId="97" priority="98"/>
    <cfRule type="duplicateValues" priority="87"/>
  </conditionalFormatting>
  <conditionalFormatting sqref="C171:C197">
    <cfRule type="duplicateValues" dxfId="96" priority="75"/>
    <cfRule type="duplicateValues" dxfId="95" priority="84" stopIfTrue="1"/>
    <cfRule type="duplicateValues" priority="66"/>
  </conditionalFormatting>
  <conditionalFormatting sqref="C198:C223">
    <cfRule type="duplicateValues" dxfId="94" priority="63" stopIfTrue="1"/>
    <cfRule type="duplicateValues" dxfId="93" priority="54"/>
    <cfRule type="duplicateValues" priority="45"/>
  </conditionalFormatting>
  <conditionalFormatting sqref="C224:C236">
    <cfRule type="duplicateValues" dxfId="92" priority="39" stopIfTrue="1"/>
    <cfRule type="duplicateValues" dxfId="91" priority="31"/>
    <cfRule type="duplicateValues" priority="24"/>
  </conditionalFormatting>
  <conditionalFormatting sqref="C237:C248">
    <cfRule type="duplicateValues" dxfId="90" priority="21" stopIfTrue="1"/>
    <cfRule type="duplicateValues" dxfId="89" priority="12"/>
    <cfRule type="duplicateValues" priority="3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7"/>
  <sheetViews>
    <sheetView tabSelected="1" workbookViewId="0">
      <pane ySplit="1" topLeftCell="A2" activePane="bottomLeft" state="frozen"/>
      <selection pane="bottomLeft" activeCell="D2" sqref="D2:D7"/>
    </sheetView>
  </sheetViews>
  <sheetFormatPr defaultColWidth="9" defaultRowHeight="14" x14ac:dyDescent="0.3"/>
  <cols>
    <col min="1" max="2" width="9" style="70"/>
    <col min="3" max="3" width="22.5" style="70" customWidth="1"/>
    <col min="4" max="6" width="15.9140625" style="70" customWidth="1"/>
    <col min="7" max="9" width="11" style="70" customWidth="1"/>
    <col min="10" max="10" width="18.75" style="70" customWidth="1"/>
    <col min="11" max="11" width="16.08203125" style="70" customWidth="1"/>
    <col min="12" max="12" width="16.75" style="70" customWidth="1"/>
    <col min="13" max="15" width="11" style="70" customWidth="1"/>
    <col min="16" max="16" width="11" customWidth="1"/>
    <col min="18" max="18" width="11.5" customWidth="1"/>
  </cols>
  <sheetData>
    <row r="1" spans="1:27" ht="30" x14ac:dyDescent="0.3">
      <c r="A1" s="29" t="s">
        <v>20</v>
      </c>
      <c r="B1" s="29" t="s">
        <v>1017</v>
      </c>
      <c r="C1" s="29" t="s">
        <v>1018</v>
      </c>
      <c r="D1" s="29" t="s">
        <v>23</v>
      </c>
      <c r="E1" s="29" t="s">
        <v>24</v>
      </c>
      <c r="F1" s="29" t="s">
        <v>25</v>
      </c>
      <c r="G1" s="29" t="s">
        <v>26</v>
      </c>
      <c r="H1" s="29" t="s">
        <v>27</v>
      </c>
      <c r="I1" s="29" t="s">
        <v>28</v>
      </c>
      <c r="J1" s="29" t="s">
        <v>29</v>
      </c>
      <c r="K1" s="29" t="s">
        <v>30</v>
      </c>
      <c r="L1" s="29" t="s">
        <v>31</v>
      </c>
      <c r="M1" s="29" t="s">
        <v>32</v>
      </c>
      <c r="N1" s="29" t="s">
        <v>33</v>
      </c>
      <c r="O1" s="29" t="s">
        <v>1019</v>
      </c>
      <c r="P1" s="114" t="s">
        <v>1020</v>
      </c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</row>
    <row r="2" spans="1:27" ht="15" x14ac:dyDescent="0.3">
      <c r="A2" s="29" t="s">
        <v>1021</v>
      </c>
      <c r="B2" s="29" t="s">
        <v>1024</v>
      </c>
      <c r="C2" s="77" t="s">
        <v>1025</v>
      </c>
      <c r="D2" s="76">
        <v>197</v>
      </c>
      <c r="E2" s="76"/>
      <c r="F2" s="76"/>
      <c r="G2" s="29" t="s">
        <v>1022</v>
      </c>
      <c r="H2" s="29"/>
      <c r="I2" s="29"/>
      <c r="J2" s="75"/>
      <c r="K2" s="75"/>
      <c r="L2" s="75"/>
      <c r="M2" s="5">
        <f t="shared" ref="M2:M4" si="0">IF(G2="已出租",D2,0)</f>
        <v>197</v>
      </c>
      <c r="N2" s="5">
        <f t="shared" ref="N2" si="1">IF(G2="未出租",D2,0)</f>
        <v>0</v>
      </c>
      <c r="O2" s="29"/>
    </row>
    <row r="3" spans="1:27" ht="15" x14ac:dyDescent="0.3">
      <c r="A3" s="29" t="s">
        <v>1021</v>
      </c>
      <c r="B3" s="29" t="s">
        <v>1024</v>
      </c>
      <c r="C3" s="76" t="s">
        <v>1026</v>
      </c>
      <c r="D3" s="76">
        <v>41</v>
      </c>
      <c r="E3" s="76"/>
      <c r="F3" s="76"/>
      <c r="G3" s="29" t="s">
        <v>1022</v>
      </c>
      <c r="H3" s="29"/>
      <c r="I3" s="29"/>
      <c r="J3" s="75">
        <v>45706</v>
      </c>
      <c r="K3" s="75">
        <v>45708</v>
      </c>
      <c r="L3" s="75">
        <v>46802</v>
      </c>
      <c r="M3" s="5">
        <f t="shared" si="0"/>
        <v>41</v>
      </c>
      <c r="N3" s="5">
        <f t="shared" ref="N3:N7" si="2">IF(G3="未出租",D3,0)</f>
        <v>0</v>
      </c>
      <c r="O3" s="29"/>
    </row>
    <row r="4" spans="1:27" ht="15" x14ac:dyDescent="0.3">
      <c r="A4" s="29" t="s">
        <v>1021</v>
      </c>
      <c r="B4" s="29" t="s">
        <v>1027</v>
      </c>
      <c r="C4" s="76" t="s">
        <v>1028</v>
      </c>
      <c r="D4" s="115">
        <v>510</v>
      </c>
      <c r="E4" s="72"/>
      <c r="F4" s="72"/>
      <c r="G4" s="29" t="s">
        <v>1022</v>
      </c>
      <c r="H4" s="29"/>
      <c r="I4" s="29"/>
      <c r="J4" s="117">
        <v>45536</v>
      </c>
      <c r="K4" s="117">
        <v>45536</v>
      </c>
      <c r="L4" s="117">
        <v>46630</v>
      </c>
      <c r="M4" s="5">
        <f t="shared" si="0"/>
        <v>510</v>
      </c>
      <c r="N4" s="5">
        <f t="shared" si="2"/>
        <v>0</v>
      </c>
      <c r="O4" s="29"/>
    </row>
    <row r="5" spans="1:27" ht="15" x14ac:dyDescent="0.3">
      <c r="A5" s="29" t="s">
        <v>1021</v>
      </c>
      <c r="B5" s="29" t="s">
        <v>1027</v>
      </c>
      <c r="C5" s="76" t="s">
        <v>1029</v>
      </c>
      <c r="D5" s="116"/>
      <c r="E5" s="78"/>
      <c r="F5" s="78"/>
      <c r="G5" s="29" t="s">
        <v>1022</v>
      </c>
      <c r="H5" s="29"/>
      <c r="I5" s="29"/>
      <c r="J5" s="118"/>
      <c r="K5" s="118"/>
      <c r="L5" s="118"/>
      <c r="M5" s="5"/>
      <c r="N5" s="5">
        <f t="shared" si="2"/>
        <v>0</v>
      </c>
      <c r="O5" s="29"/>
    </row>
    <row r="6" spans="1:27" ht="15" x14ac:dyDescent="0.3">
      <c r="A6" s="29" t="s">
        <v>1021</v>
      </c>
      <c r="B6" s="29" t="s">
        <v>1027</v>
      </c>
      <c r="C6" s="77">
        <v>4009</v>
      </c>
      <c r="D6" s="76">
        <v>97</v>
      </c>
      <c r="E6" s="76"/>
      <c r="F6" s="76"/>
      <c r="G6" s="29" t="s">
        <v>1022</v>
      </c>
      <c r="H6" s="29"/>
      <c r="I6" s="29"/>
      <c r="J6" s="75">
        <v>45566</v>
      </c>
      <c r="K6" s="75">
        <v>45566</v>
      </c>
      <c r="L6" s="75">
        <v>46660</v>
      </c>
      <c r="M6" s="5">
        <f t="shared" ref="M6:M7" si="3">IF(G6="已出租",D6,0)</f>
        <v>97</v>
      </c>
      <c r="N6" s="5">
        <f t="shared" si="2"/>
        <v>0</v>
      </c>
      <c r="O6" s="29"/>
    </row>
    <row r="7" spans="1:27" ht="15" x14ac:dyDescent="0.3">
      <c r="A7" s="29" t="s">
        <v>1021</v>
      </c>
      <c r="B7" s="29" t="s">
        <v>1027</v>
      </c>
      <c r="C7" s="77" t="s">
        <v>1030</v>
      </c>
      <c r="D7" s="76">
        <v>156</v>
      </c>
      <c r="E7" s="76"/>
      <c r="F7" s="76"/>
      <c r="G7" s="29" t="s">
        <v>1022</v>
      </c>
      <c r="H7" s="29"/>
      <c r="I7" s="29"/>
      <c r="J7" s="75">
        <v>45566</v>
      </c>
      <c r="K7" s="75">
        <v>45566</v>
      </c>
      <c r="L7" s="75">
        <v>46660</v>
      </c>
      <c r="M7" s="5">
        <f t="shared" si="3"/>
        <v>156</v>
      </c>
      <c r="N7" s="5">
        <f t="shared" si="2"/>
        <v>0</v>
      </c>
      <c r="O7" s="29"/>
    </row>
  </sheetData>
  <autoFilter ref="A1:O7" xr:uid="{00000000-0009-0000-0000-000005000000}"/>
  <mergeCells count="5">
    <mergeCell ref="P1:AA1"/>
    <mergeCell ref="D4:D5"/>
    <mergeCell ref="J4:J5"/>
    <mergeCell ref="K4:K5"/>
    <mergeCell ref="L4:L5"/>
  </mergeCells>
  <phoneticPr fontId="24" type="noConversion"/>
  <conditionalFormatting sqref="C2:C7">
    <cfRule type="duplicateValues" priority="282"/>
    <cfRule type="duplicateValues" dxfId="88" priority="283"/>
    <cfRule type="duplicateValues" dxfId="87" priority="284" stopIfTrue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1"/>
  <sheetViews>
    <sheetView workbookViewId="0">
      <pane ySplit="1" topLeftCell="A2" activePane="bottomLeft" state="frozen"/>
      <selection pane="bottomLeft" activeCell="E26" sqref="E26"/>
    </sheetView>
  </sheetViews>
  <sheetFormatPr defaultColWidth="9" defaultRowHeight="14.5" x14ac:dyDescent="0.3"/>
  <cols>
    <col min="1" max="1" width="7.25" style="22" customWidth="1"/>
    <col min="2" max="2" width="14.08203125" style="22" customWidth="1"/>
    <col min="3" max="3" width="36.25" style="22" customWidth="1"/>
    <col min="4" max="6" width="15.9140625" style="22" customWidth="1"/>
    <col min="7" max="14" width="11" style="22" customWidth="1"/>
    <col min="15" max="15" width="11" style="23" customWidth="1"/>
  </cols>
  <sheetData>
    <row r="1" spans="1:19" x14ac:dyDescent="0.3">
      <c r="A1" s="24" t="s">
        <v>20</v>
      </c>
      <c r="B1" s="24" t="s">
        <v>1017</v>
      </c>
      <c r="C1" s="24" t="s">
        <v>1018</v>
      </c>
      <c r="D1" s="24" t="s">
        <v>23</v>
      </c>
      <c r="E1" s="24" t="s">
        <v>24</v>
      </c>
      <c r="F1" s="24" t="s">
        <v>25</v>
      </c>
      <c r="G1" s="24" t="s">
        <v>26</v>
      </c>
      <c r="H1" s="24" t="s">
        <v>27</v>
      </c>
      <c r="I1" s="24" t="s">
        <v>28</v>
      </c>
      <c r="J1" s="24" t="s">
        <v>29</v>
      </c>
      <c r="K1" s="24" t="s">
        <v>30</v>
      </c>
      <c r="L1" s="24" t="s">
        <v>31</v>
      </c>
      <c r="M1" s="24" t="s">
        <v>32</v>
      </c>
      <c r="N1" s="24" t="s">
        <v>33</v>
      </c>
      <c r="O1" s="25" t="s">
        <v>1019</v>
      </c>
    </row>
    <row r="2" spans="1:19" x14ac:dyDescent="0.3">
      <c r="A2" s="24" t="s">
        <v>1031</v>
      </c>
      <c r="B2" s="24" t="s">
        <v>36</v>
      </c>
      <c r="C2" s="29">
        <v>101</v>
      </c>
      <c r="D2" s="45">
        <v>103</v>
      </c>
      <c r="E2" s="45"/>
      <c r="F2" s="45"/>
      <c r="G2" s="24" t="s">
        <v>1022</v>
      </c>
      <c r="H2" s="24"/>
      <c r="I2" s="24" t="s">
        <v>234</v>
      </c>
      <c r="J2" s="28">
        <v>45460</v>
      </c>
      <c r="K2" s="28">
        <v>45460</v>
      </c>
      <c r="L2" s="28">
        <v>46554</v>
      </c>
      <c r="M2" s="5">
        <f>IF(G2="已出租",D2,0)</f>
        <v>103</v>
      </c>
      <c r="N2" s="5">
        <f>IF(G2="未出租",D2,0)</f>
        <v>0</v>
      </c>
      <c r="O2" s="25"/>
    </row>
    <row r="3" spans="1:19" x14ac:dyDescent="0.3">
      <c r="A3" s="24" t="s">
        <v>1031</v>
      </c>
      <c r="B3" s="24" t="s">
        <v>36</v>
      </c>
      <c r="C3" s="29">
        <v>102</v>
      </c>
      <c r="D3" s="46">
        <v>136</v>
      </c>
      <c r="E3" s="46"/>
      <c r="F3" s="46"/>
      <c r="G3" s="24" t="s">
        <v>1022</v>
      </c>
      <c r="H3" s="24"/>
      <c r="I3" s="24" t="s">
        <v>234</v>
      </c>
      <c r="J3" s="28">
        <v>45164</v>
      </c>
      <c r="K3" s="28">
        <v>45164</v>
      </c>
      <c r="L3" s="28">
        <v>46990</v>
      </c>
      <c r="M3" s="5">
        <f t="shared" ref="M3:M41" si="0">IF(G3="已出租",D3,0)</f>
        <v>136</v>
      </c>
      <c r="N3" s="5">
        <f t="shared" ref="N3:N41" si="1">IF(G3="未出租",D3,0)</f>
        <v>0</v>
      </c>
      <c r="O3" s="25"/>
    </row>
    <row r="4" spans="1:19" x14ac:dyDescent="0.3">
      <c r="A4" s="24" t="s">
        <v>1031</v>
      </c>
      <c r="B4" s="24" t="s">
        <v>36</v>
      </c>
      <c r="C4" s="29">
        <v>103</v>
      </c>
      <c r="D4" s="29">
        <v>172</v>
      </c>
      <c r="E4" s="29"/>
      <c r="F4" s="29"/>
      <c r="G4" s="24" t="s">
        <v>1022</v>
      </c>
      <c r="H4" s="24"/>
      <c r="I4" s="24" t="s">
        <v>234</v>
      </c>
      <c r="J4" s="28">
        <v>45295</v>
      </c>
      <c r="K4" s="28">
        <v>45139</v>
      </c>
      <c r="L4" s="28">
        <v>46965</v>
      </c>
      <c r="M4" s="5">
        <f t="shared" si="0"/>
        <v>172</v>
      </c>
      <c r="N4" s="5">
        <f t="shared" si="1"/>
        <v>0</v>
      </c>
      <c r="O4" s="25"/>
      <c r="P4" s="47" t="s">
        <v>1032</v>
      </c>
      <c r="Q4" s="47" t="s">
        <v>1031</v>
      </c>
      <c r="R4" s="47" t="s">
        <v>1033</v>
      </c>
      <c r="S4" s="47" t="s">
        <v>1034</v>
      </c>
    </row>
    <row r="5" spans="1:19" x14ac:dyDescent="0.3">
      <c r="A5" s="24" t="s">
        <v>1031</v>
      </c>
      <c r="B5" s="24" t="s">
        <v>36</v>
      </c>
      <c r="C5" s="29">
        <v>108</v>
      </c>
      <c r="D5" s="46">
        <v>150</v>
      </c>
      <c r="E5" s="46"/>
      <c r="F5" s="46"/>
      <c r="G5" s="24" t="s">
        <v>1022</v>
      </c>
      <c r="H5" s="24"/>
      <c r="I5" s="24" t="s">
        <v>234</v>
      </c>
      <c r="J5" s="28">
        <v>45196</v>
      </c>
      <c r="K5" s="28">
        <v>45231</v>
      </c>
      <c r="L5" s="28">
        <v>49429</v>
      </c>
      <c r="M5" s="5">
        <f t="shared" si="0"/>
        <v>150</v>
      </c>
      <c r="N5" s="5">
        <f t="shared" si="1"/>
        <v>0</v>
      </c>
      <c r="O5" s="25"/>
      <c r="P5" s="48" t="s">
        <v>1035</v>
      </c>
      <c r="R5" s="49">
        <f>SUMIF($A:$A,"*B座*",$D:$D)</f>
        <v>8979.2000000000007</v>
      </c>
      <c r="S5" s="50">
        <f>SUM(R5:R5)</f>
        <v>8979.2000000000007</v>
      </c>
    </row>
    <row r="6" spans="1:19" x14ac:dyDescent="0.3">
      <c r="A6" s="24" t="s">
        <v>1031</v>
      </c>
      <c r="B6" s="24" t="s">
        <v>36</v>
      </c>
      <c r="C6" s="29">
        <v>109</v>
      </c>
      <c r="D6" s="45">
        <v>371</v>
      </c>
      <c r="E6" s="45"/>
      <c r="F6" s="45"/>
      <c r="G6" s="24" t="s">
        <v>1022</v>
      </c>
      <c r="H6" s="24"/>
      <c r="I6" s="24" t="s">
        <v>234</v>
      </c>
      <c r="J6" s="31">
        <v>45900</v>
      </c>
      <c r="K6" s="28">
        <v>45906</v>
      </c>
      <c r="L6" s="28">
        <v>47001</v>
      </c>
      <c r="M6" s="5">
        <f t="shared" si="0"/>
        <v>371</v>
      </c>
      <c r="N6" s="5">
        <f t="shared" si="1"/>
        <v>0</v>
      </c>
      <c r="O6" s="25"/>
      <c r="P6" s="48" t="s">
        <v>1036</v>
      </c>
      <c r="Q6" s="49">
        <f>SUMIFS($D:$D,$A:$A,"*A座*",$G:$G,"*未出租*")</f>
        <v>0</v>
      </c>
      <c r="R6" s="49">
        <f>SUMIFS($D:$D,$A:$A,"*B座*",$G:$G,"*未出租*")</f>
        <v>124</v>
      </c>
      <c r="S6" s="50">
        <f>SUM(Q6:R6)</f>
        <v>124</v>
      </c>
    </row>
    <row r="7" spans="1:19" x14ac:dyDescent="0.3">
      <c r="A7" s="24" t="s">
        <v>1031</v>
      </c>
      <c r="B7" s="24" t="s">
        <v>36</v>
      </c>
      <c r="C7" s="29" t="s">
        <v>1037</v>
      </c>
      <c r="D7" s="51">
        <v>959.18</v>
      </c>
      <c r="E7" s="51"/>
      <c r="F7" s="51"/>
      <c r="G7" s="24" t="s">
        <v>1022</v>
      </c>
      <c r="H7" s="24"/>
      <c r="I7" s="24" t="s">
        <v>234</v>
      </c>
      <c r="J7" s="28">
        <v>45169</v>
      </c>
      <c r="K7" s="28">
        <v>45200</v>
      </c>
      <c r="L7" s="28">
        <v>49429</v>
      </c>
      <c r="M7" s="5">
        <f t="shared" si="0"/>
        <v>959.18</v>
      </c>
      <c r="N7" s="5">
        <f t="shared" si="1"/>
        <v>0</v>
      </c>
      <c r="O7" s="25"/>
      <c r="P7" s="48" t="s">
        <v>5</v>
      </c>
      <c r="Q7" s="52" t="e">
        <f>ROUND((皮具城!#REF!-Q6)/皮具城!#REF!,4)</f>
        <v>#REF!</v>
      </c>
      <c r="R7" s="52">
        <f>ROUND((R5-R6)/R5,4)</f>
        <v>0.98619999999999997</v>
      </c>
      <c r="S7" s="52">
        <f>ROUND((S5-S6)/S5,4)</f>
        <v>0.98619999999999997</v>
      </c>
    </row>
    <row r="8" spans="1:19" x14ac:dyDescent="0.3">
      <c r="A8" s="53" t="s">
        <v>1031</v>
      </c>
      <c r="B8" s="53" t="s">
        <v>36</v>
      </c>
      <c r="C8" s="54">
        <v>115</v>
      </c>
      <c r="D8" s="55">
        <v>123.08</v>
      </c>
      <c r="E8" s="38"/>
      <c r="F8" s="38"/>
      <c r="G8" s="24" t="s">
        <v>1022</v>
      </c>
      <c r="H8" s="24"/>
      <c r="I8" s="24" t="s">
        <v>234</v>
      </c>
      <c r="J8" s="56">
        <v>45173</v>
      </c>
      <c r="K8" s="56">
        <v>45200</v>
      </c>
      <c r="L8" s="56">
        <v>47391</v>
      </c>
      <c r="M8" s="5">
        <f t="shared" si="0"/>
        <v>123.08</v>
      </c>
      <c r="N8" s="5">
        <f t="shared" si="1"/>
        <v>0</v>
      </c>
      <c r="O8" s="25"/>
      <c r="P8" s="57"/>
    </row>
    <row r="9" spans="1:19" x14ac:dyDescent="0.3">
      <c r="A9" s="42" t="s">
        <v>1031</v>
      </c>
      <c r="B9" s="42" t="s">
        <v>66</v>
      </c>
      <c r="C9" s="58" t="s">
        <v>1038</v>
      </c>
      <c r="D9" s="58">
        <v>480</v>
      </c>
      <c r="E9" s="58"/>
      <c r="F9" s="58"/>
      <c r="G9" s="24" t="s">
        <v>1022</v>
      </c>
      <c r="H9" s="24"/>
      <c r="I9" s="24" t="s">
        <v>234</v>
      </c>
      <c r="J9" s="59">
        <v>46027</v>
      </c>
      <c r="K9" s="59">
        <v>46027</v>
      </c>
      <c r="L9" s="59">
        <v>47122</v>
      </c>
      <c r="M9" s="5">
        <f t="shared" si="0"/>
        <v>480</v>
      </c>
      <c r="N9" s="5">
        <f t="shared" si="1"/>
        <v>0</v>
      </c>
      <c r="O9" s="25"/>
    </row>
    <row r="10" spans="1:19" x14ac:dyDescent="0.3">
      <c r="A10" s="24" t="s">
        <v>1031</v>
      </c>
      <c r="B10" s="42" t="s">
        <v>66</v>
      </c>
      <c r="C10" s="29" t="s">
        <v>1039</v>
      </c>
      <c r="D10" s="40">
        <v>740</v>
      </c>
      <c r="E10" s="40"/>
      <c r="F10" s="40"/>
      <c r="G10" s="24" t="s">
        <v>1022</v>
      </c>
      <c r="H10" s="24"/>
      <c r="I10" s="24" t="s">
        <v>234</v>
      </c>
      <c r="J10" s="59">
        <v>46027</v>
      </c>
      <c r="K10" s="59">
        <v>46027</v>
      </c>
      <c r="L10" s="59">
        <v>47122</v>
      </c>
      <c r="M10" s="5">
        <f t="shared" si="0"/>
        <v>740</v>
      </c>
      <c r="N10" s="5">
        <f t="shared" si="1"/>
        <v>0</v>
      </c>
      <c r="O10" s="25"/>
    </row>
    <row r="11" spans="1:19" x14ac:dyDescent="0.3">
      <c r="A11" s="24" t="s">
        <v>1031</v>
      </c>
      <c r="B11" s="42" t="s">
        <v>66</v>
      </c>
      <c r="C11" s="29">
        <v>211</v>
      </c>
      <c r="D11" s="24">
        <v>582</v>
      </c>
      <c r="E11" s="24"/>
      <c r="F11" s="24"/>
      <c r="G11" s="24" t="s">
        <v>1022</v>
      </c>
      <c r="H11" s="24"/>
      <c r="I11" s="24" t="s">
        <v>234</v>
      </c>
      <c r="J11" s="32">
        <v>45612</v>
      </c>
      <c r="K11" s="32">
        <v>45611</v>
      </c>
      <c r="L11" s="32">
        <v>46340</v>
      </c>
      <c r="M11" s="5">
        <f t="shared" si="0"/>
        <v>582</v>
      </c>
      <c r="N11" s="5">
        <f t="shared" si="1"/>
        <v>0</v>
      </c>
      <c r="O11" s="25"/>
    </row>
    <row r="12" spans="1:19" x14ac:dyDescent="0.3">
      <c r="A12" s="24" t="s">
        <v>1031</v>
      </c>
      <c r="B12" s="42" t="s">
        <v>66</v>
      </c>
      <c r="C12" s="29" t="s">
        <v>1040</v>
      </c>
      <c r="D12" s="60">
        <v>939</v>
      </c>
      <c r="E12" s="60"/>
      <c r="F12" s="60"/>
      <c r="G12" s="24" t="s">
        <v>1022</v>
      </c>
      <c r="H12" s="24"/>
      <c r="I12" s="24" t="s">
        <v>234</v>
      </c>
      <c r="J12" s="28">
        <v>46032</v>
      </c>
      <c r="K12" s="28">
        <v>46032</v>
      </c>
      <c r="L12" s="28">
        <v>47127</v>
      </c>
      <c r="M12" s="5">
        <f t="shared" si="0"/>
        <v>939</v>
      </c>
      <c r="N12" s="5">
        <f t="shared" si="1"/>
        <v>0</v>
      </c>
      <c r="O12" s="25"/>
    </row>
    <row r="13" spans="1:19" x14ac:dyDescent="0.3">
      <c r="A13" s="24" t="s">
        <v>1031</v>
      </c>
      <c r="B13" s="42" t="s">
        <v>66</v>
      </c>
      <c r="C13" s="29" t="s">
        <v>1041</v>
      </c>
      <c r="D13" s="46">
        <v>417</v>
      </c>
      <c r="E13" s="46"/>
      <c r="F13" s="46"/>
      <c r="G13" s="24" t="s">
        <v>1022</v>
      </c>
      <c r="H13" s="24"/>
      <c r="I13" s="24" t="s">
        <v>234</v>
      </c>
      <c r="J13" s="28">
        <v>45343</v>
      </c>
      <c r="K13" s="28">
        <v>45352</v>
      </c>
      <c r="L13" s="28">
        <v>46446</v>
      </c>
      <c r="M13" s="5">
        <f t="shared" si="0"/>
        <v>417</v>
      </c>
      <c r="N13" s="5">
        <f t="shared" si="1"/>
        <v>0</v>
      </c>
      <c r="O13" s="25"/>
    </row>
    <row r="14" spans="1:19" x14ac:dyDescent="0.3">
      <c r="A14" s="53" t="s">
        <v>1031</v>
      </c>
      <c r="B14" s="53" t="s">
        <v>66</v>
      </c>
      <c r="C14" s="54">
        <v>218</v>
      </c>
      <c r="D14" s="61">
        <v>332</v>
      </c>
      <c r="E14" s="62"/>
      <c r="F14" s="62"/>
      <c r="G14" s="24" t="s">
        <v>1022</v>
      </c>
      <c r="H14" s="24"/>
      <c r="I14" s="24" t="s">
        <v>234</v>
      </c>
      <c r="J14" s="56">
        <v>45348</v>
      </c>
      <c r="K14" s="56">
        <v>45342</v>
      </c>
      <c r="L14" s="56">
        <v>46437</v>
      </c>
      <c r="M14" s="5">
        <f t="shared" si="0"/>
        <v>332</v>
      </c>
      <c r="N14" s="5">
        <f t="shared" si="1"/>
        <v>0</v>
      </c>
      <c r="O14" s="25"/>
    </row>
    <row r="15" spans="1:19" x14ac:dyDescent="0.3">
      <c r="A15" s="42" t="s">
        <v>1031</v>
      </c>
      <c r="B15" s="42" t="s">
        <v>94</v>
      </c>
      <c r="C15" s="58" t="s">
        <v>1042</v>
      </c>
      <c r="D15" s="39">
        <v>685.84</v>
      </c>
      <c r="E15" s="39"/>
      <c r="F15" s="39"/>
      <c r="G15" s="24" t="s">
        <v>1022</v>
      </c>
      <c r="H15" s="24"/>
      <c r="I15" s="24" t="s">
        <v>234</v>
      </c>
      <c r="J15" s="63">
        <v>45271</v>
      </c>
      <c r="K15" s="59">
        <v>45271</v>
      </c>
      <c r="L15" s="63">
        <v>47097</v>
      </c>
      <c r="M15" s="5">
        <f t="shared" si="0"/>
        <v>685.84</v>
      </c>
      <c r="N15" s="5">
        <f t="shared" si="1"/>
        <v>0</v>
      </c>
      <c r="O15" s="25"/>
    </row>
    <row r="16" spans="1:19" x14ac:dyDescent="0.3">
      <c r="A16" s="24" t="s">
        <v>1031</v>
      </c>
      <c r="B16" s="42" t="s">
        <v>94</v>
      </c>
      <c r="C16" s="29">
        <v>311</v>
      </c>
      <c r="D16" s="45">
        <v>335</v>
      </c>
      <c r="E16" s="45"/>
      <c r="F16" s="45"/>
      <c r="G16" s="24" t="s">
        <v>1022</v>
      </c>
      <c r="H16" s="24"/>
      <c r="I16" s="24" t="s">
        <v>234</v>
      </c>
      <c r="J16" s="31">
        <v>45519</v>
      </c>
      <c r="K16" s="31">
        <v>45524</v>
      </c>
      <c r="L16" s="31">
        <v>46253</v>
      </c>
      <c r="M16" s="5">
        <f t="shared" si="0"/>
        <v>335</v>
      </c>
      <c r="N16" s="5">
        <f t="shared" si="1"/>
        <v>0</v>
      </c>
      <c r="O16" s="25"/>
    </row>
    <row r="17" spans="1:15" x14ac:dyDescent="0.3">
      <c r="A17" s="24" t="s">
        <v>1031</v>
      </c>
      <c r="B17" s="42" t="s">
        <v>94</v>
      </c>
      <c r="C17" s="29">
        <v>312</v>
      </c>
      <c r="D17" s="45">
        <v>357</v>
      </c>
      <c r="E17" s="45"/>
      <c r="F17" s="45"/>
      <c r="G17" s="24" t="s">
        <v>1022</v>
      </c>
      <c r="H17" s="24"/>
      <c r="I17" s="24" t="s">
        <v>234</v>
      </c>
      <c r="J17" s="31">
        <v>45571</v>
      </c>
      <c r="K17" s="31">
        <v>45575</v>
      </c>
      <c r="L17" s="31">
        <v>46304</v>
      </c>
      <c r="M17" s="5">
        <f t="shared" si="0"/>
        <v>357</v>
      </c>
      <c r="N17" s="5">
        <f t="shared" si="1"/>
        <v>0</v>
      </c>
      <c r="O17" s="25"/>
    </row>
    <row r="18" spans="1:15" x14ac:dyDescent="0.3">
      <c r="A18" s="24" t="s">
        <v>1031</v>
      </c>
      <c r="B18" s="42" t="s">
        <v>94</v>
      </c>
      <c r="C18" s="29">
        <v>313</v>
      </c>
      <c r="D18" s="46">
        <v>244</v>
      </c>
      <c r="E18" s="46"/>
      <c r="F18" s="46"/>
      <c r="G18" s="24"/>
      <c r="H18" s="24"/>
      <c r="I18" s="24" t="s">
        <v>1043</v>
      </c>
      <c r="J18" s="31"/>
      <c r="K18" s="31"/>
      <c r="L18" s="31"/>
      <c r="M18" s="5">
        <f t="shared" si="0"/>
        <v>0</v>
      </c>
      <c r="N18" s="5">
        <f t="shared" si="1"/>
        <v>0</v>
      </c>
      <c r="O18" s="25"/>
    </row>
    <row r="19" spans="1:15" x14ac:dyDescent="0.3">
      <c r="A19" s="24" t="s">
        <v>1031</v>
      </c>
      <c r="B19" s="42" t="s">
        <v>94</v>
      </c>
      <c r="C19" s="29">
        <v>315</v>
      </c>
      <c r="D19" s="46">
        <v>355</v>
      </c>
      <c r="E19" s="46"/>
      <c r="F19" s="46"/>
      <c r="G19" s="24" t="s">
        <v>1022</v>
      </c>
      <c r="H19" s="24"/>
      <c r="I19" s="24" t="s">
        <v>234</v>
      </c>
      <c r="J19" s="31">
        <v>45950</v>
      </c>
      <c r="K19" s="31">
        <v>45950</v>
      </c>
      <c r="L19" s="31">
        <v>47045</v>
      </c>
      <c r="M19" s="5">
        <f t="shared" si="0"/>
        <v>355</v>
      </c>
      <c r="N19" s="5">
        <f t="shared" si="1"/>
        <v>0</v>
      </c>
      <c r="O19" s="25"/>
    </row>
    <row r="20" spans="1:15" x14ac:dyDescent="0.3">
      <c r="A20" s="24" t="s">
        <v>1031</v>
      </c>
      <c r="B20" s="42" t="s">
        <v>94</v>
      </c>
      <c r="C20" s="29">
        <v>316</v>
      </c>
      <c r="D20" s="46">
        <v>204</v>
      </c>
      <c r="E20" s="46"/>
      <c r="F20" s="46"/>
      <c r="G20" s="24" t="s">
        <v>1022</v>
      </c>
      <c r="H20" s="24"/>
      <c r="I20" s="24" t="s">
        <v>234</v>
      </c>
      <c r="J20" s="31">
        <v>45381</v>
      </c>
      <c r="K20" s="31">
        <v>45377</v>
      </c>
      <c r="L20" s="31">
        <v>46471</v>
      </c>
      <c r="M20" s="5">
        <f t="shared" si="0"/>
        <v>204</v>
      </c>
      <c r="N20" s="5">
        <f t="shared" si="1"/>
        <v>0</v>
      </c>
      <c r="O20" s="25"/>
    </row>
    <row r="21" spans="1:15" x14ac:dyDescent="0.3">
      <c r="A21" s="24" t="s">
        <v>1031</v>
      </c>
      <c r="B21" s="42" t="s">
        <v>94</v>
      </c>
      <c r="C21" s="29">
        <v>317</v>
      </c>
      <c r="D21" s="44">
        <v>412.37</v>
      </c>
      <c r="E21" s="44"/>
      <c r="F21" s="44"/>
      <c r="G21" s="24" t="s">
        <v>1022</v>
      </c>
      <c r="H21" s="24"/>
      <c r="I21" s="24" t="s">
        <v>234</v>
      </c>
      <c r="J21" s="31">
        <v>45950</v>
      </c>
      <c r="K21" s="31">
        <v>45950</v>
      </c>
      <c r="L21" s="31">
        <v>47045</v>
      </c>
      <c r="M21" s="5">
        <f t="shared" si="0"/>
        <v>412.37</v>
      </c>
      <c r="N21" s="5">
        <f t="shared" si="1"/>
        <v>0</v>
      </c>
      <c r="O21" s="25"/>
    </row>
    <row r="22" spans="1:15" x14ac:dyDescent="0.3">
      <c r="A22" s="40" t="s">
        <v>1031</v>
      </c>
      <c r="B22" s="42" t="s">
        <v>94</v>
      </c>
      <c r="C22" s="51">
        <v>318</v>
      </c>
      <c r="D22" s="62">
        <v>353</v>
      </c>
      <c r="E22" s="62"/>
      <c r="F22" s="62"/>
      <c r="G22" s="24" t="s">
        <v>1022</v>
      </c>
      <c r="H22" s="24"/>
      <c r="I22" s="24" t="s">
        <v>234</v>
      </c>
      <c r="J22" s="64">
        <v>45469</v>
      </c>
      <c r="K22" s="64">
        <v>45444</v>
      </c>
      <c r="L22" s="64">
        <v>46538</v>
      </c>
      <c r="M22" s="5">
        <f t="shared" si="0"/>
        <v>353</v>
      </c>
      <c r="N22" s="5">
        <f t="shared" si="1"/>
        <v>0</v>
      </c>
      <c r="O22" s="25"/>
    </row>
    <row r="23" spans="1:15" x14ac:dyDescent="0.3">
      <c r="A23" s="53" t="s">
        <v>1031</v>
      </c>
      <c r="B23" s="53" t="s">
        <v>94</v>
      </c>
      <c r="C23" s="54">
        <v>319</v>
      </c>
      <c r="D23" s="55">
        <v>181.63</v>
      </c>
      <c r="E23" s="38"/>
      <c r="F23" s="38"/>
      <c r="G23" s="24" t="s">
        <v>1022</v>
      </c>
      <c r="H23" s="24"/>
      <c r="I23" s="24" t="s">
        <v>234</v>
      </c>
      <c r="J23" s="65">
        <v>45882</v>
      </c>
      <c r="K23" s="65">
        <v>45882</v>
      </c>
      <c r="L23" s="65">
        <v>47097</v>
      </c>
      <c r="M23" s="5">
        <f t="shared" si="0"/>
        <v>181.63</v>
      </c>
      <c r="N23" s="5">
        <f t="shared" si="1"/>
        <v>0</v>
      </c>
      <c r="O23" s="25"/>
    </row>
    <row r="24" spans="1:15" x14ac:dyDescent="0.3">
      <c r="A24" s="42" t="s">
        <v>1031</v>
      </c>
      <c r="B24" s="42" t="s">
        <v>112</v>
      </c>
      <c r="C24" s="58" t="s">
        <v>1044</v>
      </c>
      <c r="D24" s="66">
        <v>2500</v>
      </c>
      <c r="E24" s="66"/>
      <c r="F24" s="66"/>
      <c r="G24" s="24" t="s">
        <v>1022</v>
      </c>
      <c r="H24" s="24"/>
      <c r="I24" s="24" t="s">
        <v>234</v>
      </c>
      <c r="J24" s="63">
        <v>45623</v>
      </c>
      <c r="K24" s="63">
        <v>45631</v>
      </c>
      <c r="L24" s="63">
        <v>49429</v>
      </c>
      <c r="M24" s="5">
        <f t="shared" si="0"/>
        <v>2500</v>
      </c>
      <c r="N24" s="5">
        <f t="shared" si="1"/>
        <v>0</v>
      </c>
      <c r="O24" s="25"/>
    </row>
    <row r="25" spans="1:15" x14ac:dyDescent="0.3">
      <c r="A25" s="24" t="s">
        <v>1031</v>
      </c>
      <c r="B25" s="24" t="s">
        <v>114</v>
      </c>
      <c r="C25" s="67" t="s">
        <v>1045</v>
      </c>
      <c r="D25" s="68"/>
      <c r="E25" s="68"/>
      <c r="F25" s="68"/>
      <c r="G25" s="24"/>
      <c r="H25" s="24"/>
      <c r="I25" s="24"/>
      <c r="J25" s="28"/>
      <c r="K25" s="28"/>
      <c r="L25" s="28"/>
      <c r="M25" s="5">
        <f t="shared" si="0"/>
        <v>0</v>
      </c>
      <c r="N25" s="5">
        <f t="shared" si="1"/>
        <v>0</v>
      </c>
      <c r="O25" s="25"/>
    </row>
    <row r="26" spans="1:15" x14ac:dyDescent="0.3">
      <c r="A26" s="53" t="s">
        <v>1031</v>
      </c>
      <c r="B26" s="53" t="s">
        <v>114</v>
      </c>
      <c r="C26" s="54">
        <v>501</v>
      </c>
      <c r="D26" s="61">
        <v>426</v>
      </c>
      <c r="E26" s="62"/>
      <c r="F26" s="62"/>
      <c r="G26" s="24" t="s">
        <v>1022</v>
      </c>
      <c r="H26" s="24"/>
      <c r="I26" s="24" t="s">
        <v>234</v>
      </c>
      <c r="J26" s="65">
        <v>45783</v>
      </c>
      <c r="K26" s="56">
        <v>45778</v>
      </c>
      <c r="L26" s="56">
        <v>47968</v>
      </c>
      <c r="M26" s="5">
        <f t="shared" si="0"/>
        <v>426</v>
      </c>
      <c r="N26" s="5">
        <f t="shared" si="1"/>
        <v>0</v>
      </c>
      <c r="O26" s="25"/>
    </row>
    <row r="27" spans="1:15" x14ac:dyDescent="0.3">
      <c r="A27" s="42" t="s">
        <v>1033</v>
      </c>
      <c r="B27" s="42" t="s">
        <v>36</v>
      </c>
      <c r="C27" s="58" t="s">
        <v>1046</v>
      </c>
      <c r="D27" s="69">
        <v>624</v>
      </c>
      <c r="E27" s="69"/>
      <c r="F27" s="69"/>
      <c r="G27" s="24" t="s">
        <v>1022</v>
      </c>
      <c r="H27" s="24"/>
      <c r="I27" s="24" t="s">
        <v>234</v>
      </c>
      <c r="J27" s="59">
        <v>45169</v>
      </c>
      <c r="K27" s="59">
        <v>45170</v>
      </c>
      <c r="L27" s="59">
        <v>47726</v>
      </c>
      <c r="M27" s="5">
        <f t="shared" si="0"/>
        <v>624</v>
      </c>
      <c r="N27" s="5">
        <f t="shared" si="1"/>
        <v>0</v>
      </c>
      <c r="O27" s="25"/>
    </row>
    <row r="28" spans="1:15" x14ac:dyDescent="0.3">
      <c r="A28" s="40" t="s">
        <v>1033</v>
      </c>
      <c r="B28" s="24" t="s">
        <v>36</v>
      </c>
      <c r="C28" s="51">
        <v>103</v>
      </c>
      <c r="D28" s="51">
        <v>545.20000000000005</v>
      </c>
      <c r="E28" s="51"/>
      <c r="F28" s="51"/>
      <c r="G28" s="24" t="s">
        <v>1022</v>
      </c>
      <c r="H28" s="24"/>
      <c r="I28" s="24" t="s">
        <v>234</v>
      </c>
      <c r="J28" s="32">
        <v>45169</v>
      </c>
      <c r="K28" s="32">
        <v>45170</v>
      </c>
      <c r="L28" s="32">
        <v>47361</v>
      </c>
      <c r="M28" s="5">
        <f t="shared" si="0"/>
        <v>545.20000000000005</v>
      </c>
      <c r="N28" s="5">
        <f t="shared" si="1"/>
        <v>0</v>
      </c>
      <c r="O28" s="25"/>
    </row>
    <row r="29" spans="1:15" x14ac:dyDescent="0.3">
      <c r="A29" s="24" t="s">
        <v>1033</v>
      </c>
      <c r="B29" s="24" t="s">
        <v>36</v>
      </c>
      <c r="C29" s="29">
        <v>105</v>
      </c>
      <c r="D29" s="46">
        <v>137</v>
      </c>
      <c r="E29" s="46"/>
      <c r="F29" s="46"/>
      <c r="G29" s="24" t="s">
        <v>1022</v>
      </c>
      <c r="H29" s="24"/>
      <c r="I29" s="24" t="s">
        <v>234</v>
      </c>
      <c r="J29" s="32">
        <v>45259</v>
      </c>
      <c r="K29" s="32">
        <v>45261</v>
      </c>
      <c r="L29" s="32">
        <v>46356</v>
      </c>
      <c r="M29" s="5">
        <f t="shared" si="0"/>
        <v>137</v>
      </c>
      <c r="N29" s="5">
        <f t="shared" si="1"/>
        <v>0</v>
      </c>
      <c r="O29" s="25"/>
    </row>
    <row r="30" spans="1:15" x14ac:dyDescent="0.3">
      <c r="A30" s="54" t="s">
        <v>1033</v>
      </c>
      <c r="B30" s="53" t="s">
        <v>36</v>
      </c>
      <c r="C30" s="54">
        <v>106</v>
      </c>
      <c r="D30" s="61">
        <v>124</v>
      </c>
      <c r="E30" s="62"/>
      <c r="F30" s="62"/>
      <c r="G30" s="24" t="s">
        <v>74</v>
      </c>
      <c r="H30" s="24"/>
      <c r="I30" s="24"/>
      <c r="J30" s="65">
        <v>45275</v>
      </c>
      <c r="K30" s="65">
        <v>45292</v>
      </c>
      <c r="L30" s="65">
        <v>47097</v>
      </c>
      <c r="M30" s="5">
        <f t="shared" si="0"/>
        <v>0</v>
      </c>
      <c r="N30" s="5">
        <f t="shared" si="1"/>
        <v>124</v>
      </c>
      <c r="O30" s="25" t="s">
        <v>1047</v>
      </c>
    </row>
    <row r="31" spans="1:15" x14ac:dyDescent="0.3">
      <c r="A31" s="58" t="s">
        <v>1033</v>
      </c>
      <c r="B31" s="58" t="s">
        <v>66</v>
      </c>
      <c r="C31" s="58">
        <v>201</v>
      </c>
      <c r="D31" s="66">
        <v>328</v>
      </c>
      <c r="E31" s="66"/>
      <c r="F31" s="66"/>
      <c r="G31" s="24" t="s">
        <v>1022</v>
      </c>
      <c r="H31" s="24"/>
      <c r="I31" s="24" t="s">
        <v>234</v>
      </c>
      <c r="J31" s="59">
        <v>45944</v>
      </c>
      <c r="K31" s="59">
        <v>45945</v>
      </c>
      <c r="L31" s="59">
        <v>46309</v>
      </c>
      <c r="M31" s="5">
        <f t="shared" si="0"/>
        <v>328</v>
      </c>
      <c r="N31" s="5">
        <f t="shared" si="1"/>
        <v>0</v>
      </c>
      <c r="O31" s="25"/>
    </row>
    <row r="32" spans="1:15" x14ac:dyDescent="0.3">
      <c r="A32" s="24" t="s">
        <v>1033</v>
      </c>
      <c r="B32" s="58" t="s">
        <v>66</v>
      </c>
      <c r="C32" s="29">
        <v>202</v>
      </c>
      <c r="D32" s="46">
        <v>293</v>
      </c>
      <c r="E32" s="46"/>
      <c r="F32" s="46"/>
      <c r="G32" s="24" t="s">
        <v>1022</v>
      </c>
      <c r="H32" s="24"/>
      <c r="I32" s="24" t="s">
        <v>234</v>
      </c>
      <c r="J32" s="32">
        <v>45226</v>
      </c>
      <c r="K32" s="32">
        <v>45231</v>
      </c>
      <c r="L32" s="32">
        <v>46326</v>
      </c>
      <c r="M32" s="5">
        <f t="shared" si="0"/>
        <v>293</v>
      </c>
      <c r="N32" s="5">
        <f t="shared" si="1"/>
        <v>0</v>
      </c>
      <c r="O32" s="25"/>
    </row>
    <row r="33" spans="1:15" x14ac:dyDescent="0.3">
      <c r="A33" s="24" t="s">
        <v>1033</v>
      </c>
      <c r="B33" s="58" t="s">
        <v>66</v>
      </c>
      <c r="C33" s="29">
        <v>203</v>
      </c>
      <c r="D33" s="46">
        <v>329</v>
      </c>
      <c r="E33" s="46"/>
      <c r="F33" s="46"/>
      <c r="G33" s="24" t="s">
        <v>1022</v>
      </c>
      <c r="H33" s="24"/>
      <c r="I33" s="24" t="s">
        <v>234</v>
      </c>
      <c r="J33" s="32">
        <v>45363</v>
      </c>
      <c r="K33" s="32">
        <v>45366</v>
      </c>
      <c r="L33" s="32">
        <v>46095</v>
      </c>
      <c r="M33" s="5">
        <f t="shared" si="0"/>
        <v>329</v>
      </c>
      <c r="N33" s="5">
        <f t="shared" si="1"/>
        <v>0</v>
      </c>
      <c r="O33" s="25"/>
    </row>
    <row r="34" spans="1:15" x14ac:dyDescent="0.3">
      <c r="A34" s="24" t="s">
        <v>1033</v>
      </c>
      <c r="B34" s="58" t="s">
        <v>66</v>
      </c>
      <c r="C34" s="29">
        <v>205</v>
      </c>
      <c r="D34" s="46">
        <v>173</v>
      </c>
      <c r="E34" s="46"/>
      <c r="F34" s="46"/>
      <c r="G34" s="24" t="s">
        <v>1022</v>
      </c>
      <c r="H34" s="24"/>
      <c r="I34" s="24" t="s">
        <v>234</v>
      </c>
      <c r="J34" s="32">
        <v>45257</v>
      </c>
      <c r="K34" s="32">
        <v>45261</v>
      </c>
      <c r="L34" s="32">
        <v>46356</v>
      </c>
      <c r="M34" s="5">
        <f t="shared" si="0"/>
        <v>173</v>
      </c>
      <c r="N34" s="5">
        <f t="shared" si="1"/>
        <v>0</v>
      </c>
      <c r="O34" s="25"/>
    </row>
    <row r="35" spans="1:15" x14ac:dyDescent="0.3">
      <c r="A35" s="24" t="s">
        <v>1033</v>
      </c>
      <c r="B35" s="58" t="s">
        <v>66</v>
      </c>
      <c r="C35" s="29">
        <v>206</v>
      </c>
      <c r="D35" s="46">
        <v>808</v>
      </c>
      <c r="E35" s="46"/>
      <c r="F35" s="46"/>
      <c r="G35" s="24" t="s">
        <v>1022</v>
      </c>
      <c r="H35" s="24"/>
      <c r="I35" s="24" t="s">
        <v>234</v>
      </c>
      <c r="J35" s="32">
        <v>45223</v>
      </c>
      <c r="K35" s="32">
        <v>45231</v>
      </c>
      <c r="L35" s="32">
        <v>47057</v>
      </c>
      <c r="M35" s="5">
        <f t="shared" si="0"/>
        <v>808</v>
      </c>
      <c r="N35" s="5">
        <f t="shared" si="1"/>
        <v>0</v>
      </c>
      <c r="O35" s="25"/>
    </row>
    <row r="36" spans="1:15" x14ac:dyDescent="0.3">
      <c r="A36" s="24" t="s">
        <v>1033</v>
      </c>
      <c r="B36" s="58" t="s">
        <v>66</v>
      </c>
      <c r="C36" s="29">
        <v>207</v>
      </c>
      <c r="D36" s="46">
        <v>95</v>
      </c>
      <c r="E36" s="46"/>
      <c r="F36" s="46"/>
      <c r="G36" s="24" t="s">
        <v>1022</v>
      </c>
      <c r="H36" s="24"/>
      <c r="I36" s="24" t="s">
        <v>234</v>
      </c>
      <c r="J36" s="32">
        <v>45828</v>
      </c>
      <c r="K36" s="32">
        <v>45820</v>
      </c>
      <c r="L36" s="32">
        <v>46184</v>
      </c>
      <c r="M36" s="5">
        <f t="shared" si="0"/>
        <v>95</v>
      </c>
      <c r="N36" s="5">
        <f t="shared" si="1"/>
        <v>0</v>
      </c>
      <c r="O36" s="25"/>
    </row>
    <row r="37" spans="1:15" x14ac:dyDescent="0.3">
      <c r="A37" s="24" t="s">
        <v>1033</v>
      </c>
      <c r="B37" s="58" t="s">
        <v>66</v>
      </c>
      <c r="C37" s="29">
        <v>208</v>
      </c>
      <c r="D37" s="46">
        <v>178</v>
      </c>
      <c r="E37" s="46"/>
      <c r="F37" s="46"/>
      <c r="G37" s="24" t="s">
        <v>1022</v>
      </c>
      <c r="H37" s="24"/>
      <c r="I37" s="24" t="s">
        <v>234</v>
      </c>
      <c r="J37" s="32">
        <v>45976</v>
      </c>
      <c r="K37" s="32">
        <v>45976</v>
      </c>
      <c r="L37" s="32">
        <v>46340</v>
      </c>
      <c r="M37" s="5">
        <f t="shared" si="0"/>
        <v>178</v>
      </c>
      <c r="N37" s="5">
        <f t="shared" si="1"/>
        <v>0</v>
      </c>
      <c r="O37" s="25"/>
    </row>
    <row r="38" spans="1:15" x14ac:dyDescent="0.3">
      <c r="A38" s="24" t="s">
        <v>1033</v>
      </c>
      <c r="B38" s="58" t="s">
        <v>66</v>
      </c>
      <c r="C38" s="29">
        <v>209</v>
      </c>
      <c r="D38" s="46">
        <v>192</v>
      </c>
      <c r="E38" s="46"/>
      <c r="F38" s="46"/>
      <c r="G38" s="24" t="s">
        <v>1022</v>
      </c>
      <c r="H38" s="24"/>
      <c r="I38" s="24" t="s">
        <v>234</v>
      </c>
      <c r="J38" s="32">
        <v>45802</v>
      </c>
      <c r="K38" s="32">
        <v>45802</v>
      </c>
      <c r="L38" s="32">
        <v>46897</v>
      </c>
      <c r="M38" s="5">
        <f t="shared" si="0"/>
        <v>192</v>
      </c>
      <c r="N38" s="5">
        <f t="shared" si="1"/>
        <v>0</v>
      </c>
      <c r="O38" s="25"/>
    </row>
    <row r="39" spans="1:15" x14ac:dyDescent="0.3">
      <c r="A39" s="24" t="s">
        <v>1033</v>
      </c>
      <c r="B39" s="58" t="s">
        <v>66</v>
      </c>
      <c r="C39" s="29">
        <v>210</v>
      </c>
      <c r="D39" s="46">
        <v>82</v>
      </c>
      <c r="E39" s="46"/>
      <c r="F39" s="46"/>
      <c r="G39" s="24" t="s">
        <v>1022</v>
      </c>
      <c r="H39" s="24"/>
      <c r="I39" s="24" t="s">
        <v>234</v>
      </c>
      <c r="J39" s="32">
        <v>45977</v>
      </c>
      <c r="K39" s="32">
        <v>45977</v>
      </c>
      <c r="L39" s="32">
        <v>46341</v>
      </c>
      <c r="M39" s="5">
        <f t="shared" si="0"/>
        <v>82</v>
      </c>
      <c r="N39" s="5">
        <f t="shared" si="1"/>
        <v>0</v>
      </c>
      <c r="O39" s="25"/>
    </row>
    <row r="40" spans="1:15" x14ac:dyDescent="0.3">
      <c r="A40" s="53" t="s">
        <v>1033</v>
      </c>
      <c r="B40" s="53" t="s">
        <v>66</v>
      </c>
      <c r="C40" s="54">
        <v>211</v>
      </c>
      <c r="D40" s="61">
        <v>71</v>
      </c>
      <c r="E40" s="62"/>
      <c r="F40" s="62"/>
      <c r="G40" s="24" t="s">
        <v>1022</v>
      </c>
      <c r="H40" s="24"/>
      <c r="I40" s="24" t="s">
        <v>234</v>
      </c>
      <c r="J40" s="65">
        <v>45992</v>
      </c>
      <c r="K40" s="65">
        <v>45992</v>
      </c>
      <c r="L40" s="65">
        <v>46356</v>
      </c>
      <c r="M40" s="5">
        <f t="shared" si="0"/>
        <v>71</v>
      </c>
      <c r="N40" s="5">
        <f t="shared" si="1"/>
        <v>0</v>
      </c>
      <c r="O40" s="25"/>
    </row>
    <row r="41" spans="1:15" x14ac:dyDescent="0.3">
      <c r="A41" s="42" t="s">
        <v>1033</v>
      </c>
      <c r="B41" s="42" t="s">
        <v>1048</v>
      </c>
      <c r="C41" s="58" t="s">
        <v>1049</v>
      </c>
      <c r="D41" s="58">
        <v>5000</v>
      </c>
      <c r="E41" s="58"/>
      <c r="F41" s="58"/>
      <c r="G41" s="24" t="s">
        <v>1022</v>
      </c>
      <c r="H41" s="24"/>
      <c r="I41" s="24" t="s">
        <v>234</v>
      </c>
      <c r="J41" s="59">
        <v>45253</v>
      </c>
      <c r="K41" s="59">
        <v>45261</v>
      </c>
      <c r="L41" s="59">
        <v>47452</v>
      </c>
      <c r="M41" s="5">
        <f t="shared" si="0"/>
        <v>5000</v>
      </c>
      <c r="N41" s="5">
        <f t="shared" si="1"/>
        <v>0</v>
      </c>
      <c r="O41" s="25"/>
    </row>
  </sheetData>
  <phoneticPr fontId="24" type="noConversion"/>
  <conditionalFormatting sqref="C2:C15">
    <cfRule type="duplicateValues" priority="89"/>
    <cfRule type="duplicateValues" dxfId="86" priority="90"/>
    <cfRule type="duplicateValues" dxfId="85" priority="91" stopIfTrue="1"/>
  </conditionalFormatting>
  <conditionalFormatting sqref="C16:C30">
    <cfRule type="duplicateValues" priority="86"/>
    <cfRule type="duplicateValues" dxfId="84" priority="87"/>
    <cfRule type="duplicateValues" dxfId="83" priority="88" stopIfTrue="1"/>
  </conditionalFormatting>
  <conditionalFormatting sqref="C31:C41">
    <cfRule type="duplicateValues" priority="83"/>
    <cfRule type="duplicateValues" dxfId="82" priority="84"/>
    <cfRule type="duplicateValues" dxfId="81" priority="85" stopIfTrue="1"/>
  </conditionalFormatting>
  <conditionalFormatting sqref="P5">
    <cfRule type="duplicateValues" dxfId="80" priority="5"/>
    <cfRule type="duplicateValues" dxfId="79" priority="6"/>
  </conditionalFormatting>
  <conditionalFormatting sqref="Q6:R7">
    <cfRule type="duplicateValues" dxfId="78" priority="3"/>
    <cfRule type="duplicateValues" dxfId="77" priority="4"/>
  </conditionalFormatting>
  <conditionalFormatting sqref="S7">
    <cfRule type="duplicateValues" dxfId="76" priority="1"/>
    <cfRule type="duplicateValues" dxfId="75" priority="2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P772"/>
  <sheetViews>
    <sheetView workbookViewId="0">
      <pane ySplit="1" topLeftCell="A370" activePane="bottomLeft" state="frozen"/>
      <selection pane="bottomLeft" activeCell="N1" sqref="N1:N1048576"/>
    </sheetView>
  </sheetViews>
  <sheetFormatPr defaultColWidth="9" defaultRowHeight="14.5" x14ac:dyDescent="0.3"/>
  <cols>
    <col min="1" max="1" width="12" style="22" customWidth="1"/>
    <col min="2" max="2" width="14.83203125" style="22" customWidth="1"/>
    <col min="3" max="3" width="41.08203125" style="22" customWidth="1"/>
    <col min="4" max="4" width="15.9140625" style="22" customWidth="1"/>
    <col min="5" max="5" width="12.08203125" style="22" customWidth="1"/>
    <col min="6" max="14" width="11" style="22" customWidth="1"/>
    <col min="15" max="15" width="11" style="23" customWidth="1"/>
  </cols>
  <sheetData>
    <row r="1" spans="1:15" x14ac:dyDescent="0.3">
      <c r="A1" s="24" t="s">
        <v>20</v>
      </c>
      <c r="B1" s="24" t="s">
        <v>1017</v>
      </c>
      <c r="C1" s="24" t="s">
        <v>1018</v>
      </c>
      <c r="D1" s="24" t="s">
        <v>23</v>
      </c>
      <c r="E1" s="24" t="s">
        <v>24</v>
      </c>
      <c r="F1" s="24" t="s">
        <v>25</v>
      </c>
      <c r="G1" s="24" t="s">
        <v>26</v>
      </c>
      <c r="H1" s="24" t="s">
        <v>27</v>
      </c>
      <c r="I1" s="24" t="s">
        <v>28</v>
      </c>
      <c r="J1" s="24" t="s">
        <v>29</v>
      </c>
      <c r="K1" s="24" t="s">
        <v>30</v>
      </c>
      <c r="L1" s="24" t="s">
        <v>31</v>
      </c>
      <c r="M1" s="24" t="s">
        <v>32</v>
      </c>
      <c r="N1" s="24" t="s">
        <v>33</v>
      </c>
      <c r="O1" s="25" t="s">
        <v>1019</v>
      </c>
    </row>
    <row r="2" spans="1:15" hidden="1" x14ac:dyDescent="0.3">
      <c r="A2" s="24"/>
      <c r="B2" s="26" t="s">
        <v>533</v>
      </c>
      <c r="C2" s="26" t="s">
        <v>1050</v>
      </c>
      <c r="D2" s="27">
        <v>52.94</v>
      </c>
      <c r="E2" s="24"/>
      <c r="F2" s="24"/>
      <c r="G2" s="24" t="s">
        <v>1022</v>
      </c>
      <c r="H2" s="24"/>
      <c r="I2" s="24"/>
      <c r="J2" s="28"/>
      <c r="K2" s="28"/>
      <c r="L2" s="28"/>
      <c r="M2" s="5">
        <f>IF(G2="已出租",D2,0)</f>
        <v>52.94</v>
      </c>
      <c r="N2" s="5">
        <f>IF(G2="未出租",D2,0)</f>
        <v>0</v>
      </c>
      <c r="O2" s="25"/>
    </row>
    <row r="3" spans="1:15" hidden="1" x14ac:dyDescent="0.3">
      <c r="A3" s="24"/>
      <c r="B3" s="26" t="s">
        <v>533</v>
      </c>
      <c r="C3" s="29" t="s">
        <v>1051</v>
      </c>
      <c r="D3" s="30">
        <v>14.89</v>
      </c>
      <c r="E3" s="24"/>
      <c r="F3" s="24"/>
      <c r="G3" s="24" t="s">
        <v>1022</v>
      </c>
      <c r="H3" s="24"/>
      <c r="I3" s="24"/>
      <c r="J3" s="28"/>
      <c r="K3" s="28"/>
      <c r="L3" s="28"/>
      <c r="M3" s="5">
        <f t="shared" ref="M3:M66" si="0">IF(G3="已出租",D3,0)</f>
        <v>14.89</v>
      </c>
      <c r="N3" s="5">
        <f t="shared" ref="N3:N66" si="1">IF(G3="未出租",D3,0)</f>
        <v>0</v>
      </c>
      <c r="O3" s="25"/>
    </row>
    <row r="4" spans="1:15" hidden="1" x14ac:dyDescent="0.3">
      <c r="A4" s="24"/>
      <c r="B4" s="26" t="s">
        <v>533</v>
      </c>
      <c r="C4" s="29" t="s">
        <v>1052</v>
      </c>
      <c r="D4" s="30">
        <v>26.98</v>
      </c>
      <c r="E4" s="24"/>
      <c r="F4" s="24"/>
      <c r="G4" s="24" t="s">
        <v>1022</v>
      </c>
      <c r="H4" s="24"/>
      <c r="I4" s="24"/>
      <c r="J4" s="28"/>
      <c r="K4" s="28"/>
      <c r="L4" s="28"/>
      <c r="M4" s="5">
        <f t="shared" si="0"/>
        <v>26.98</v>
      </c>
      <c r="N4" s="5">
        <f t="shared" si="1"/>
        <v>0</v>
      </c>
      <c r="O4" s="25"/>
    </row>
    <row r="5" spans="1:15" hidden="1" x14ac:dyDescent="0.3">
      <c r="A5" s="24"/>
      <c r="B5" s="26" t="s">
        <v>533</v>
      </c>
      <c r="C5" s="29" t="s">
        <v>1053</v>
      </c>
      <c r="D5" s="30">
        <v>27</v>
      </c>
      <c r="E5" s="24"/>
      <c r="F5" s="24"/>
      <c r="G5" s="24" t="s">
        <v>1022</v>
      </c>
      <c r="H5" s="24"/>
      <c r="I5" s="24"/>
      <c r="J5" s="28"/>
      <c r="K5" s="28"/>
      <c r="L5" s="28"/>
      <c r="M5" s="5">
        <f t="shared" si="0"/>
        <v>27</v>
      </c>
      <c r="N5" s="5">
        <f t="shared" si="1"/>
        <v>0</v>
      </c>
      <c r="O5" s="25"/>
    </row>
    <row r="6" spans="1:15" hidden="1" x14ac:dyDescent="0.3">
      <c r="A6" s="24"/>
      <c r="B6" s="26" t="s">
        <v>533</v>
      </c>
      <c r="C6" s="29" t="s">
        <v>1054</v>
      </c>
      <c r="D6" s="30">
        <v>26.27</v>
      </c>
      <c r="E6" s="24"/>
      <c r="F6" s="24"/>
      <c r="G6" s="24" t="s">
        <v>1022</v>
      </c>
      <c r="H6" s="24"/>
      <c r="I6" s="24"/>
      <c r="J6" s="31"/>
      <c r="K6" s="28"/>
      <c r="L6" s="28"/>
      <c r="M6" s="5">
        <f t="shared" si="0"/>
        <v>26.27</v>
      </c>
      <c r="N6" s="5">
        <f t="shared" si="1"/>
        <v>0</v>
      </c>
      <c r="O6" s="25"/>
    </row>
    <row r="7" spans="1:15" hidden="1" x14ac:dyDescent="0.3">
      <c r="A7" s="24"/>
      <c r="B7" s="26" t="s">
        <v>533</v>
      </c>
      <c r="C7" s="29" t="s">
        <v>1055</v>
      </c>
      <c r="D7" s="30">
        <v>26.1</v>
      </c>
      <c r="E7" s="24"/>
      <c r="F7" s="24"/>
      <c r="G7" s="24" t="s">
        <v>1022</v>
      </c>
      <c r="H7" s="24"/>
      <c r="I7" s="24"/>
      <c r="J7" s="28"/>
      <c r="K7" s="28"/>
      <c r="L7" s="28"/>
      <c r="M7" s="5">
        <f t="shared" si="0"/>
        <v>26.1</v>
      </c>
      <c r="N7" s="5">
        <f t="shared" si="1"/>
        <v>0</v>
      </c>
      <c r="O7" s="25"/>
    </row>
    <row r="8" spans="1:15" hidden="1" x14ac:dyDescent="0.3">
      <c r="A8" s="24"/>
      <c r="B8" s="26" t="s">
        <v>533</v>
      </c>
      <c r="C8" s="29" t="s">
        <v>1056</v>
      </c>
      <c r="D8" s="30">
        <v>30.24</v>
      </c>
      <c r="E8" s="24"/>
      <c r="F8" s="24"/>
      <c r="G8" s="24" t="s">
        <v>1022</v>
      </c>
      <c r="H8" s="24"/>
      <c r="I8" s="24"/>
      <c r="J8" s="28"/>
      <c r="K8" s="28"/>
      <c r="L8" s="28"/>
      <c r="M8" s="5">
        <f t="shared" si="0"/>
        <v>30.24</v>
      </c>
      <c r="N8" s="5">
        <f t="shared" si="1"/>
        <v>0</v>
      </c>
      <c r="O8" s="25"/>
    </row>
    <row r="9" spans="1:15" hidden="1" x14ac:dyDescent="0.3">
      <c r="A9" s="24"/>
      <c r="B9" s="26" t="s">
        <v>533</v>
      </c>
      <c r="C9" s="29" t="s">
        <v>1057</v>
      </c>
      <c r="D9" s="30">
        <v>43.29</v>
      </c>
      <c r="E9" s="24"/>
      <c r="F9" s="24"/>
      <c r="G9" s="24" t="s">
        <v>1022</v>
      </c>
      <c r="H9" s="24"/>
      <c r="I9" s="24"/>
      <c r="J9" s="32"/>
      <c r="K9" s="32"/>
      <c r="L9" s="32"/>
      <c r="M9" s="5">
        <f t="shared" si="0"/>
        <v>43.29</v>
      </c>
      <c r="N9" s="5">
        <f t="shared" si="1"/>
        <v>0</v>
      </c>
      <c r="O9" s="25"/>
    </row>
    <row r="10" spans="1:15" hidden="1" x14ac:dyDescent="0.3">
      <c r="A10" s="24"/>
      <c r="B10" s="26" t="s">
        <v>533</v>
      </c>
      <c r="C10" s="29" t="s">
        <v>1058</v>
      </c>
      <c r="D10" s="30">
        <v>42.35</v>
      </c>
      <c r="E10" s="24"/>
      <c r="F10" s="24"/>
      <c r="G10" s="24" t="s">
        <v>1022</v>
      </c>
      <c r="H10" s="24"/>
      <c r="I10" s="24"/>
      <c r="J10" s="32"/>
      <c r="K10" s="32"/>
      <c r="L10" s="32"/>
      <c r="M10" s="5">
        <f t="shared" si="0"/>
        <v>42.35</v>
      </c>
      <c r="N10" s="5">
        <f t="shared" si="1"/>
        <v>0</v>
      </c>
      <c r="O10" s="25"/>
    </row>
    <row r="11" spans="1:15" hidden="1" x14ac:dyDescent="0.3">
      <c r="A11" s="24"/>
      <c r="B11" s="26" t="s">
        <v>533</v>
      </c>
      <c r="C11" s="29" t="s">
        <v>1059</v>
      </c>
      <c r="D11" s="30">
        <v>45.4</v>
      </c>
      <c r="E11" s="24"/>
      <c r="F11" s="24"/>
      <c r="G11" s="24" t="s">
        <v>1022</v>
      </c>
      <c r="H11" s="24"/>
      <c r="I11" s="24"/>
      <c r="J11" s="32"/>
      <c r="K11" s="32"/>
      <c r="L11" s="32"/>
      <c r="M11" s="5">
        <f t="shared" si="0"/>
        <v>45.4</v>
      </c>
      <c r="N11" s="5">
        <f t="shared" si="1"/>
        <v>0</v>
      </c>
      <c r="O11" s="25"/>
    </row>
    <row r="12" spans="1:15" hidden="1" x14ac:dyDescent="0.3">
      <c r="A12" s="24"/>
      <c r="B12" s="26" t="s">
        <v>533</v>
      </c>
      <c r="C12" s="29" t="s">
        <v>1060</v>
      </c>
      <c r="D12" s="30">
        <v>36.619999999999997</v>
      </c>
      <c r="E12" s="24"/>
      <c r="F12" s="24"/>
      <c r="G12" s="24" t="s">
        <v>1022</v>
      </c>
      <c r="H12" s="24"/>
      <c r="I12" s="24"/>
      <c r="J12" s="28"/>
      <c r="K12" s="28"/>
      <c r="L12" s="28"/>
      <c r="M12" s="5">
        <f t="shared" si="0"/>
        <v>36.619999999999997</v>
      </c>
      <c r="N12" s="5">
        <f t="shared" si="1"/>
        <v>0</v>
      </c>
      <c r="O12" s="25"/>
    </row>
    <row r="13" spans="1:15" hidden="1" x14ac:dyDescent="0.3">
      <c r="A13" s="24"/>
      <c r="B13" s="26" t="s">
        <v>533</v>
      </c>
      <c r="C13" s="29" t="s">
        <v>1061</v>
      </c>
      <c r="D13" s="30">
        <v>42</v>
      </c>
      <c r="E13" s="24"/>
      <c r="F13" s="24"/>
      <c r="G13" s="24" t="s">
        <v>1022</v>
      </c>
      <c r="H13" s="24"/>
      <c r="I13" s="24"/>
      <c r="J13" s="28"/>
      <c r="K13" s="28"/>
      <c r="L13" s="28"/>
      <c r="M13" s="5">
        <f t="shared" si="0"/>
        <v>42</v>
      </c>
      <c r="N13" s="5">
        <f t="shared" si="1"/>
        <v>0</v>
      </c>
      <c r="O13" s="25"/>
    </row>
    <row r="14" spans="1:15" hidden="1" x14ac:dyDescent="0.3">
      <c r="A14" s="24"/>
      <c r="B14" s="26" t="s">
        <v>533</v>
      </c>
      <c r="C14" s="29" t="s">
        <v>1062</v>
      </c>
      <c r="D14" s="30">
        <v>30.24</v>
      </c>
      <c r="E14" s="24"/>
      <c r="F14" s="24"/>
      <c r="G14" s="24" t="s">
        <v>1022</v>
      </c>
      <c r="H14" s="24"/>
      <c r="I14" s="24"/>
      <c r="J14" s="28"/>
      <c r="K14" s="28"/>
      <c r="L14" s="28"/>
      <c r="M14" s="5">
        <f t="shared" si="0"/>
        <v>30.24</v>
      </c>
      <c r="N14" s="5">
        <f t="shared" si="1"/>
        <v>0</v>
      </c>
      <c r="O14" s="25"/>
    </row>
    <row r="15" spans="1:15" hidden="1" x14ac:dyDescent="0.3">
      <c r="A15" s="24"/>
      <c r="B15" s="26" t="s">
        <v>533</v>
      </c>
      <c r="C15" s="29" t="s">
        <v>1063</v>
      </c>
      <c r="D15" s="30">
        <v>49.62</v>
      </c>
      <c r="E15" s="24"/>
      <c r="F15" s="24"/>
      <c r="G15" s="24" t="s">
        <v>1022</v>
      </c>
      <c r="H15" s="24"/>
      <c r="I15" s="24"/>
      <c r="J15" s="32"/>
      <c r="K15" s="32"/>
      <c r="L15" s="32"/>
      <c r="M15" s="5">
        <f t="shared" si="0"/>
        <v>49.62</v>
      </c>
      <c r="N15" s="5">
        <f t="shared" si="1"/>
        <v>0</v>
      </c>
      <c r="O15" s="25"/>
    </row>
    <row r="16" spans="1:15" hidden="1" x14ac:dyDescent="0.3">
      <c r="A16" s="24"/>
      <c r="B16" s="26" t="s">
        <v>533</v>
      </c>
      <c r="C16" s="29" t="s">
        <v>1064</v>
      </c>
      <c r="D16" s="30">
        <v>26.82</v>
      </c>
      <c r="E16" s="24"/>
      <c r="F16" s="24"/>
      <c r="G16" s="24" t="s">
        <v>1022</v>
      </c>
      <c r="H16" s="24"/>
      <c r="I16" s="24"/>
      <c r="J16" s="31"/>
      <c r="K16" s="31"/>
      <c r="L16" s="31"/>
      <c r="M16" s="5">
        <f t="shared" si="0"/>
        <v>26.82</v>
      </c>
      <c r="N16" s="5">
        <f t="shared" si="1"/>
        <v>0</v>
      </c>
      <c r="O16" s="25"/>
    </row>
    <row r="17" spans="1:15" hidden="1" x14ac:dyDescent="0.3">
      <c r="A17" s="24"/>
      <c r="B17" s="26" t="s">
        <v>533</v>
      </c>
      <c r="C17" s="29" t="s">
        <v>1065</v>
      </c>
      <c r="D17" s="30">
        <v>57.6</v>
      </c>
      <c r="E17" s="24"/>
      <c r="F17" s="24"/>
      <c r="G17" s="24" t="s">
        <v>1022</v>
      </c>
      <c r="H17" s="24"/>
      <c r="I17" s="24"/>
      <c r="J17" s="31"/>
      <c r="K17" s="31"/>
      <c r="L17" s="31"/>
      <c r="M17" s="5">
        <f t="shared" si="0"/>
        <v>57.6</v>
      </c>
      <c r="N17" s="5">
        <f t="shared" si="1"/>
        <v>0</v>
      </c>
      <c r="O17" s="25"/>
    </row>
    <row r="18" spans="1:15" hidden="1" x14ac:dyDescent="0.3">
      <c r="A18" s="24"/>
      <c r="B18" s="26" t="s">
        <v>533</v>
      </c>
      <c r="C18" s="29" t="s">
        <v>1066</v>
      </c>
      <c r="D18" s="30">
        <v>58.9</v>
      </c>
      <c r="E18" s="24"/>
      <c r="F18" s="24"/>
      <c r="G18" s="24" t="s">
        <v>1022</v>
      </c>
      <c r="H18" s="24"/>
      <c r="I18" s="24"/>
      <c r="J18" s="31"/>
      <c r="K18" s="31"/>
      <c r="L18" s="31"/>
      <c r="M18" s="5">
        <f t="shared" si="0"/>
        <v>58.9</v>
      </c>
      <c r="N18" s="5">
        <f t="shared" si="1"/>
        <v>0</v>
      </c>
      <c r="O18" s="25"/>
    </row>
    <row r="19" spans="1:15" hidden="1" x14ac:dyDescent="0.3">
      <c r="A19" s="24"/>
      <c r="B19" s="26" t="s">
        <v>533</v>
      </c>
      <c r="C19" s="29" t="s">
        <v>1067</v>
      </c>
      <c r="D19" s="30">
        <v>58.48</v>
      </c>
      <c r="E19" s="24"/>
      <c r="F19" s="24"/>
      <c r="G19" s="24" t="s">
        <v>1022</v>
      </c>
      <c r="H19" s="24"/>
      <c r="I19" s="24"/>
      <c r="J19" s="31"/>
      <c r="K19" s="31"/>
      <c r="L19" s="31"/>
      <c r="M19" s="5">
        <f t="shared" si="0"/>
        <v>58.48</v>
      </c>
      <c r="N19" s="5">
        <f t="shared" si="1"/>
        <v>0</v>
      </c>
      <c r="O19" s="25"/>
    </row>
    <row r="20" spans="1:15" hidden="1" x14ac:dyDescent="0.3">
      <c r="A20" s="24"/>
      <c r="B20" s="26" t="s">
        <v>533</v>
      </c>
      <c r="C20" s="29" t="s">
        <v>1068</v>
      </c>
      <c r="D20" s="30">
        <v>60.62</v>
      </c>
      <c r="E20" s="24"/>
      <c r="F20" s="24"/>
      <c r="G20" s="24" t="s">
        <v>1022</v>
      </c>
      <c r="H20" s="24"/>
      <c r="I20" s="24"/>
      <c r="J20" s="31"/>
      <c r="K20" s="31"/>
      <c r="L20" s="31"/>
      <c r="M20" s="5">
        <f t="shared" si="0"/>
        <v>60.62</v>
      </c>
      <c r="N20" s="5">
        <f t="shared" si="1"/>
        <v>0</v>
      </c>
      <c r="O20" s="25"/>
    </row>
    <row r="21" spans="1:15" hidden="1" x14ac:dyDescent="0.3">
      <c r="A21" s="24"/>
      <c r="B21" s="26" t="s">
        <v>533</v>
      </c>
      <c r="C21" s="29" t="s">
        <v>1069</v>
      </c>
      <c r="D21" s="30">
        <v>36.119999999999997</v>
      </c>
      <c r="E21" s="24"/>
      <c r="F21" s="24"/>
      <c r="G21" s="24" t="s">
        <v>1022</v>
      </c>
      <c r="H21" s="24"/>
      <c r="I21" s="24"/>
      <c r="J21" s="31"/>
      <c r="K21" s="31"/>
      <c r="L21" s="31"/>
      <c r="M21" s="5">
        <f t="shared" si="0"/>
        <v>36.119999999999997</v>
      </c>
      <c r="N21" s="5">
        <f t="shared" si="1"/>
        <v>0</v>
      </c>
      <c r="O21" s="25"/>
    </row>
    <row r="22" spans="1:15" hidden="1" x14ac:dyDescent="0.3">
      <c r="A22" s="24"/>
      <c r="B22" s="26" t="s">
        <v>533</v>
      </c>
      <c r="C22" s="29" t="s">
        <v>1070</v>
      </c>
      <c r="D22" s="30">
        <v>25.19</v>
      </c>
      <c r="E22" s="24"/>
      <c r="F22" s="24"/>
      <c r="G22" s="24" t="s">
        <v>1022</v>
      </c>
      <c r="H22" s="24"/>
      <c r="I22" s="24"/>
      <c r="J22" s="28"/>
      <c r="K22" s="28"/>
      <c r="L22" s="28"/>
      <c r="M22" s="5">
        <f t="shared" si="0"/>
        <v>25.19</v>
      </c>
      <c r="N22" s="5">
        <f t="shared" si="1"/>
        <v>0</v>
      </c>
      <c r="O22" s="25"/>
    </row>
    <row r="23" spans="1:15" hidden="1" x14ac:dyDescent="0.3">
      <c r="A23" s="24"/>
      <c r="B23" s="26" t="s">
        <v>533</v>
      </c>
      <c r="C23" s="29" t="s">
        <v>1071</v>
      </c>
      <c r="D23" s="30">
        <v>53.97</v>
      </c>
      <c r="E23" s="24"/>
      <c r="F23" s="24"/>
      <c r="G23" s="24" t="s">
        <v>1022</v>
      </c>
      <c r="H23" s="24"/>
      <c r="I23" s="24"/>
      <c r="J23" s="32"/>
      <c r="K23" s="32"/>
      <c r="L23" s="32"/>
      <c r="M23" s="5">
        <f t="shared" si="0"/>
        <v>53.97</v>
      </c>
      <c r="N23" s="5">
        <f t="shared" si="1"/>
        <v>0</v>
      </c>
      <c r="O23" s="25"/>
    </row>
    <row r="24" spans="1:15" hidden="1" x14ac:dyDescent="0.3">
      <c r="A24" s="24"/>
      <c r="B24" s="26" t="s">
        <v>533</v>
      </c>
      <c r="C24" s="29" t="s">
        <v>1072</v>
      </c>
      <c r="D24" s="30">
        <v>77.97</v>
      </c>
      <c r="E24" s="24"/>
      <c r="F24" s="24"/>
      <c r="G24" s="24" t="s">
        <v>1022</v>
      </c>
      <c r="H24" s="24"/>
      <c r="I24" s="24"/>
      <c r="J24" s="32"/>
      <c r="K24" s="32"/>
      <c r="L24" s="32"/>
      <c r="M24" s="5">
        <f t="shared" si="0"/>
        <v>77.97</v>
      </c>
      <c r="N24" s="5">
        <f t="shared" si="1"/>
        <v>0</v>
      </c>
      <c r="O24" s="25"/>
    </row>
    <row r="25" spans="1:15" hidden="1" x14ac:dyDescent="0.3">
      <c r="A25" s="24"/>
      <c r="B25" s="26" t="s">
        <v>533</v>
      </c>
      <c r="C25" s="29" t="s">
        <v>1073</v>
      </c>
      <c r="D25" s="30">
        <v>27.73</v>
      </c>
      <c r="E25" s="24"/>
      <c r="F25" s="24"/>
      <c r="G25" s="24" t="s">
        <v>1022</v>
      </c>
      <c r="H25" s="24"/>
      <c r="I25" s="24"/>
      <c r="J25" s="28"/>
      <c r="K25" s="28"/>
      <c r="L25" s="28"/>
      <c r="M25" s="5">
        <f t="shared" si="0"/>
        <v>27.73</v>
      </c>
      <c r="N25" s="5">
        <f t="shared" si="1"/>
        <v>0</v>
      </c>
      <c r="O25" s="25"/>
    </row>
    <row r="26" spans="1:15" hidden="1" x14ac:dyDescent="0.3">
      <c r="A26" s="24"/>
      <c r="B26" s="26" t="s">
        <v>533</v>
      </c>
      <c r="C26" s="29" t="s">
        <v>1074</v>
      </c>
      <c r="D26" s="30">
        <v>22.51</v>
      </c>
      <c r="E26" s="24"/>
      <c r="F26" s="24"/>
      <c r="G26" s="24" t="s">
        <v>1022</v>
      </c>
      <c r="H26" s="24"/>
      <c r="I26" s="24"/>
      <c r="J26" s="32"/>
      <c r="K26" s="28"/>
      <c r="L26" s="28"/>
      <c r="M26" s="5">
        <f t="shared" si="0"/>
        <v>22.51</v>
      </c>
      <c r="N26" s="5">
        <f t="shared" si="1"/>
        <v>0</v>
      </c>
      <c r="O26" s="25"/>
    </row>
    <row r="27" spans="1:15" hidden="1" x14ac:dyDescent="0.3">
      <c r="A27" s="24"/>
      <c r="B27" s="26" t="s">
        <v>533</v>
      </c>
      <c r="C27" s="29" t="s">
        <v>1075</v>
      </c>
      <c r="D27" s="30">
        <v>44</v>
      </c>
      <c r="E27" s="24"/>
      <c r="F27" s="24"/>
      <c r="G27" s="24" t="s">
        <v>1022</v>
      </c>
      <c r="H27" s="24"/>
      <c r="I27" s="24"/>
      <c r="J27" s="32"/>
      <c r="K27" s="32"/>
      <c r="L27" s="32"/>
      <c r="M27" s="5">
        <f t="shared" si="0"/>
        <v>44</v>
      </c>
      <c r="N27" s="5">
        <f t="shared" si="1"/>
        <v>0</v>
      </c>
      <c r="O27" s="25"/>
    </row>
    <row r="28" spans="1:15" hidden="1" x14ac:dyDescent="0.3">
      <c r="A28" s="24"/>
      <c r="B28" s="26" t="s">
        <v>533</v>
      </c>
      <c r="C28" s="29" t="s">
        <v>1076</v>
      </c>
      <c r="D28" s="30">
        <v>60</v>
      </c>
      <c r="E28" s="24"/>
      <c r="F28" s="24"/>
      <c r="G28" s="24" t="s">
        <v>1022</v>
      </c>
      <c r="H28" s="24"/>
      <c r="I28" s="24"/>
      <c r="J28" s="32"/>
      <c r="K28" s="32"/>
      <c r="L28" s="32"/>
      <c r="M28" s="5">
        <f t="shared" si="0"/>
        <v>60</v>
      </c>
      <c r="N28" s="5">
        <f t="shared" si="1"/>
        <v>0</v>
      </c>
      <c r="O28" s="25"/>
    </row>
    <row r="29" spans="1:15" hidden="1" x14ac:dyDescent="0.3">
      <c r="A29" s="24"/>
      <c r="B29" s="26" t="s">
        <v>533</v>
      </c>
      <c r="C29" s="29" t="s">
        <v>1077</v>
      </c>
      <c r="D29" s="27">
        <v>50.33</v>
      </c>
      <c r="E29" s="24"/>
      <c r="F29" s="24"/>
      <c r="G29" s="24" t="s">
        <v>1022</v>
      </c>
      <c r="H29" s="24"/>
      <c r="I29" s="24"/>
      <c r="J29" s="32"/>
      <c r="K29" s="32"/>
      <c r="L29" s="32"/>
      <c r="M29" s="5">
        <f t="shared" si="0"/>
        <v>50.33</v>
      </c>
      <c r="N29" s="5">
        <f t="shared" si="1"/>
        <v>0</v>
      </c>
      <c r="O29" s="25"/>
    </row>
    <row r="30" spans="1:15" hidden="1" x14ac:dyDescent="0.3">
      <c r="A30" s="29"/>
      <c r="B30" s="26" t="s">
        <v>533</v>
      </c>
      <c r="C30" s="29" t="s">
        <v>1078</v>
      </c>
      <c r="D30" s="27">
        <v>43.85</v>
      </c>
      <c r="E30" s="24"/>
      <c r="F30" s="24"/>
      <c r="G30" s="24" t="s">
        <v>1022</v>
      </c>
      <c r="H30" s="24"/>
      <c r="I30" s="24"/>
      <c r="J30" s="32"/>
      <c r="K30" s="32"/>
      <c r="L30" s="32"/>
      <c r="M30" s="5">
        <f t="shared" si="0"/>
        <v>43.85</v>
      </c>
      <c r="N30" s="5">
        <f t="shared" si="1"/>
        <v>0</v>
      </c>
      <c r="O30" s="25"/>
    </row>
    <row r="31" spans="1:15" hidden="1" x14ac:dyDescent="0.3">
      <c r="A31" s="29"/>
      <c r="B31" s="26" t="s">
        <v>533</v>
      </c>
      <c r="C31" s="29" t="s">
        <v>1079</v>
      </c>
      <c r="D31" s="27">
        <v>37.979999999999997</v>
      </c>
      <c r="E31" s="24"/>
      <c r="F31" s="24"/>
      <c r="G31" s="24" t="s">
        <v>1022</v>
      </c>
      <c r="H31" s="24"/>
      <c r="I31" s="24"/>
      <c r="J31" s="32"/>
      <c r="K31" s="32"/>
      <c r="L31" s="32"/>
      <c r="M31" s="5">
        <f t="shared" si="0"/>
        <v>37.979999999999997</v>
      </c>
      <c r="N31" s="5">
        <f t="shared" si="1"/>
        <v>0</v>
      </c>
      <c r="O31" s="25"/>
    </row>
    <row r="32" spans="1:15" hidden="1" x14ac:dyDescent="0.3">
      <c r="A32" s="24"/>
      <c r="B32" s="26" t="s">
        <v>533</v>
      </c>
      <c r="C32" s="29" t="s">
        <v>1080</v>
      </c>
      <c r="D32" s="27">
        <v>27.88</v>
      </c>
      <c r="E32" s="24"/>
      <c r="F32" s="24"/>
      <c r="G32" s="24" t="s">
        <v>1022</v>
      </c>
      <c r="H32" s="24"/>
      <c r="I32" s="24"/>
      <c r="J32" s="32"/>
      <c r="K32" s="32"/>
      <c r="L32" s="32"/>
      <c r="M32" s="5">
        <f t="shared" si="0"/>
        <v>27.88</v>
      </c>
      <c r="N32" s="5">
        <f t="shared" si="1"/>
        <v>0</v>
      </c>
      <c r="O32" s="25"/>
    </row>
    <row r="33" spans="1:15" hidden="1" x14ac:dyDescent="0.3">
      <c r="A33" s="24"/>
      <c r="B33" s="26" t="s">
        <v>533</v>
      </c>
      <c r="C33" s="29" t="s">
        <v>1081</v>
      </c>
      <c r="D33" s="27">
        <v>37.07</v>
      </c>
      <c r="E33" s="24"/>
      <c r="F33" s="24"/>
      <c r="G33" s="24" t="s">
        <v>1022</v>
      </c>
      <c r="H33" s="24"/>
      <c r="I33" s="24"/>
      <c r="J33" s="32"/>
      <c r="K33" s="32"/>
      <c r="L33" s="32"/>
      <c r="M33" s="5">
        <f t="shared" si="0"/>
        <v>37.07</v>
      </c>
      <c r="N33" s="5">
        <f t="shared" si="1"/>
        <v>0</v>
      </c>
      <c r="O33" s="25"/>
    </row>
    <row r="34" spans="1:15" hidden="1" x14ac:dyDescent="0.3">
      <c r="A34" s="24"/>
      <c r="B34" s="26" t="s">
        <v>533</v>
      </c>
      <c r="C34" s="29" t="s">
        <v>1082</v>
      </c>
      <c r="D34" s="27">
        <v>33.08</v>
      </c>
      <c r="E34" s="24"/>
      <c r="F34" s="24"/>
      <c r="G34" s="24" t="s">
        <v>1022</v>
      </c>
      <c r="H34" s="24"/>
      <c r="I34" s="24"/>
      <c r="J34" s="32"/>
      <c r="K34" s="32"/>
      <c r="L34" s="32"/>
      <c r="M34" s="5">
        <f t="shared" si="0"/>
        <v>33.08</v>
      </c>
      <c r="N34" s="5">
        <f t="shared" si="1"/>
        <v>0</v>
      </c>
      <c r="O34" s="25"/>
    </row>
    <row r="35" spans="1:15" hidden="1" x14ac:dyDescent="0.3">
      <c r="A35" s="24"/>
      <c r="B35" s="26" t="s">
        <v>533</v>
      </c>
      <c r="C35" s="29" t="s">
        <v>1083</v>
      </c>
      <c r="D35" s="27">
        <v>42.6</v>
      </c>
      <c r="E35" s="24"/>
      <c r="F35" s="24"/>
      <c r="G35" s="24" t="s">
        <v>1022</v>
      </c>
      <c r="H35" s="24"/>
      <c r="I35" s="24"/>
      <c r="J35" s="32"/>
      <c r="K35" s="32"/>
      <c r="L35" s="32"/>
      <c r="M35" s="5">
        <f t="shared" si="0"/>
        <v>42.6</v>
      </c>
      <c r="N35" s="5">
        <f t="shared" si="1"/>
        <v>0</v>
      </c>
      <c r="O35" s="25"/>
    </row>
    <row r="36" spans="1:15" hidden="1" x14ac:dyDescent="0.3">
      <c r="A36" s="24"/>
      <c r="B36" s="26" t="s">
        <v>533</v>
      </c>
      <c r="C36" s="29" t="s">
        <v>1084</v>
      </c>
      <c r="D36" s="27">
        <v>25.2</v>
      </c>
      <c r="E36" s="24"/>
      <c r="F36" s="24"/>
      <c r="G36" s="24" t="s">
        <v>1022</v>
      </c>
      <c r="H36" s="24"/>
      <c r="I36" s="24"/>
      <c r="J36" s="32"/>
      <c r="K36" s="32"/>
      <c r="L36" s="32"/>
      <c r="M36" s="5">
        <f t="shared" si="0"/>
        <v>25.2</v>
      </c>
      <c r="N36" s="5">
        <f t="shared" si="1"/>
        <v>0</v>
      </c>
      <c r="O36" s="25"/>
    </row>
    <row r="37" spans="1:15" hidden="1" x14ac:dyDescent="0.3">
      <c r="A37" s="24"/>
      <c r="B37" s="26" t="s">
        <v>533</v>
      </c>
      <c r="C37" s="29" t="s">
        <v>1085</v>
      </c>
      <c r="D37" s="27">
        <v>22.9</v>
      </c>
      <c r="E37" s="24"/>
      <c r="F37" s="24"/>
      <c r="G37" s="24" t="s">
        <v>1022</v>
      </c>
      <c r="H37" s="24"/>
      <c r="I37" s="24"/>
      <c r="J37" s="32"/>
      <c r="K37" s="32"/>
      <c r="L37" s="32"/>
      <c r="M37" s="5">
        <f t="shared" si="0"/>
        <v>22.9</v>
      </c>
      <c r="N37" s="5">
        <f t="shared" si="1"/>
        <v>0</v>
      </c>
      <c r="O37" s="25"/>
    </row>
    <row r="38" spans="1:15" hidden="1" x14ac:dyDescent="0.3">
      <c r="A38" s="24"/>
      <c r="B38" s="26" t="s">
        <v>533</v>
      </c>
      <c r="C38" s="29" t="s">
        <v>1086</v>
      </c>
      <c r="D38" s="27">
        <v>37.07</v>
      </c>
      <c r="E38" s="24"/>
      <c r="F38" s="24"/>
      <c r="G38" s="24" t="s">
        <v>1022</v>
      </c>
      <c r="H38" s="24"/>
      <c r="I38" s="24"/>
      <c r="J38" s="32"/>
      <c r="K38" s="32"/>
      <c r="L38" s="32"/>
      <c r="M38" s="5">
        <f t="shared" si="0"/>
        <v>37.07</v>
      </c>
      <c r="N38" s="5">
        <f t="shared" si="1"/>
        <v>0</v>
      </c>
      <c r="O38" s="25"/>
    </row>
    <row r="39" spans="1:15" hidden="1" x14ac:dyDescent="0.3">
      <c r="A39" s="24"/>
      <c r="B39" s="26" t="s">
        <v>533</v>
      </c>
      <c r="C39" s="29" t="s">
        <v>1087</v>
      </c>
      <c r="D39" s="27">
        <v>40.08</v>
      </c>
      <c r="E39" s="24"/>
      <c r="F39" s="24"/>
      <c r="G39" s="24" t="s">
        <v>1022</v>
      </c>
      <c r="H39" s="24"/>
      <c r="I39" s="24"/>
      <c r="J39" s="32"/>
      <c r="K39" s="32"/>
      <c r="L39" s="32"/>
      <c r="M39" s="5">
        <f t="shared" si="0"/>
        <v>40.08</v>
      </c>
      <c r="N39" s="5">
        <f t="shared" si="1"/>
        <v>0</v>
      </c>
      <c r="O39" s="25"/>
    </row>
    <row r="40" spans="1:15" hidden="1" x14ac:dyDescent="0.3">
      <c r="A40" s="24"/>
      <c r="B40" s="26" t="s">
        <v>533</v>
      </c>
      <c r="C40" s="29" t="s">
        <v>1088</v>
      </c>
      <c r="D40" s="27">
        <v>41.7</v>
      </c>
      <c r="E40" s="24"/>
      <c r="F40" s="24"/>
      <c r="G40" s="24" t="s">
        <v>1022</v>
      </c>
      <c r="H40" s="24"/>
      <c r="I40" s="24"/>
      <c r="J40" s="32"/>
      <c r="K40" s="32"/>
      <c r="L40" s="32"/>
      <c r="M40" s="5">
        <f t="shared" si="0"/>
        <v>41.7</v>
      </c>
      <c r="N40" s="5">
        <f t="shared" si="1"/>
        <v>0</v>
      </c>
      <c r="O40" s="25"/>
    </row>
    <row r="41" spans="1:15" hidden="1" x14ac:dyDescent="0.3">
      <c r="A41" s="24"/>
      <c r="B41" s="26" t="s">
        <v>533</v>
      </c>
      <c r="C41" s="29" t="s">
        <v>1089</v>
      </c>
      <c r="D41" s="27">
        <v>37</v>
      </c>
      <c r="E41" s="24"/>
      <c r="F41" s="24"/>
      <c r="G41" s="24" t="s">
        <v>1022</v>
      </c>
      <c r="H41" s="24"/>
      <c r="I41" s="24"/>
      <c r="J41" s="32"/>
      <c r="K41" s="32"/>
      <c r="L41" s="32"/>
      <c r="M41" s="5">
        <f t="shared" si="0"/>
        <v>37</v>
      </c>
      <c r="N41" s="5">
        <f t="shared" si="1"/>
        <v>0</v>
      </c>
      <c r="O41" s="25"/>
    </row>
    <row r="42" spans="1:15" hidden="1" x14ac:dyDescent="0.3">
      <c r="A42" s="24"/>
      <c r="B42" s="26" t="s">
        <v>533</v>
      </c>
      <c r="C42" s="29" t="s">
        <v>1090</v>
      </c>
      <c r="D42" s="27">
        <v>34.31</v>
      </c>
      <c r="E42" s="24"/>
      <c r="F42" s="24"/>
      <c r="G42" s="24" t="s">
        <v>1022</v>
      </c>
      <c r="H42" s="24"/>
      <c r="I42" s="24"/>
      <c r="J42" s="24"/>
      <c r="K42" s="24"/>
      <c r="L42" s="24"/>
      <c r="M42" s="5">
        <f t="shared" si="0"/>
        <v>34.31</v>
      </c>
      <c r="N42" s="5">
        <f t="shared" si="1"/>
        <v>0</v>
      </c>
      <c r="O42" s="25"/>
    </row>
    <row r="43" spans="1:15" hidden="1" x14ac:dyDescent="0.3">
      <c r="A43" s="24"/>
      <c r="B43" s="26" t="s">
        <v>533</v>
      </c>
      <c r="C43" s="29" t="s">
        <v>1091</v>
      </c>
      <c r="D43" s="27">
        <v>15.57</v>
      </c>
      <c r="E43" s="24"/>
      <c r="F43" s="24"/>
      <c r="G43" s="24" t="s">
        <v>1022</v>
      </c>
      <c r="H43" s="24"/>
      <c r="I43" s="24"/>
      <c r="J43" s="24"/>
      <c r="K43" s="24"/>
      <c r="L43" s="24"/>
      <c r="M43" s="5">
        <f t="shared" si="0"/>
        <v>15.57</v>
      </c>
      <c r="N43" s="5">
        <f t="shared" si="1"/>
        <v>0</v>
      </c>
      <c r="O43" s="25"/>
    </row>
    <row r="44" spans="1:15" hidden="1" x14ac:dyDescent="0.3">
      <c r="A44" s="24"/>
      <c r="B44" s="26" t="s">
        <v>533</v>
      </c>
      <c r="C44" s="29" t="s">
        <v>1092</v>
      </c>
      <c r="D44" s="27">
        <v>15.65</v>
      </c>
      <c r="E44" s="24"/>
      <c r="F44" s="24"/>
      <c r="G44" s="24" t="s">
        <v>1022</v>
      </c>
      <c r="H44" s="24"/>
      <c r="I44" s="24"/>
      <c r="J44" s="24"/>
      <c r="K44" s="24"/>
      <c r="L44" s="24"/>
      <c r="M44" s="5">
        <f t="shared" si="0"/>
        <v>15.65</v>
      </c>
      <c r="N44" s="5">
        <f t="shared" si="1"/>
        <v>0</v>
      </c>
      <c r="O44" s="25"/>
    </row>
    <row r="45" spans="1:15" hidden="1" x14ac:dyDescent="0.3">
      <c r="A45" s="24"/>
      <c r="B45" s="26" t="s">
        <v>533</v>
      </c>
      <c r="C45" s="29" t="s">
        <v>1093</v>
      </c>
      <c r="D45" s="27">
        <v>20.5</v>
      </c>
      <c r="E45" s="24"/>
      <c r="F45" s="24"/>
      <c r="G45" s="24" t="s">
        <v>1022</v>
      </c>
      <c r="H45" s="24"/>
      <c r="I45" s="24"/>
      <c r="J45" s="24"/>
      <c r="K45" s="24"/>
      <c r="L45" s="24"/>
      <c r="M45" s="5">
        <f t="shared" si="0"/>
        <v>20.5</v>
      </c>
      <c r="N45" s="5">
        <f t="shared" si="1"/>
        <v>0</v>
      </c>
      <c r="O45" s="25"/>
    </row>
    <row r="46" spans="1:15" hidden="1" x14ac:dyDescent="0.3">
      <c r="A46" s="24"/>
      <c r="B46" s="26" t="s">
        <v>533</v>
      </c>
      <c r="C46" s="29" t="s">
        <v>1094</v>
      </c>
      <c r="D46" s="27">
        <v>21.85</v>
      </c>
      <c r="E46" s="24"/>
      <c r="F46" s="24"/>
      <c r="G46" s="24" t="s">
        <v>1022</v>
      </c>
      <c r="H46" s="24"/>
      <c r="I46" s="24"/>
      <c r="J46" s="24"/>
      <c r="K46" s="24"/>
      <c r="L46" s="24"/>
      <c r="M46" s="5">
        <f t="shared" si="0"/>
        <v>21.85</v>
      </c>
      <c r="N46" s="5">
        <f t="shared" si="1"/>
        <v>0</v>
      </c>
      <c r="O46" s="25"/>
    </row>
    <row r="47" spans="1:15" hidden="1" x14ac:dyDescent="0.3">
      <c r="A47" s="24"/>
      <c r="B47" s="26" t="s">
        <v>533</v>
      </c>
      <c r="C47" s="29" t="s">
        <v>1095</v>
      </c>
      <c r="D47" s="27">
        <v>37.43</v>
      </c>
      <c r="E47" s="24"/>
      <c r="F47" s="24"/>
      <c r="G47" s="24" t="s">
        <v>1022</v>
      </c>
      <c r="H47" s="24"/>
      <c r="I47" s="24"/>
      <c r="J47" s="24"/>
      <c r="K47" s="24"/>
      <c r="L47" s="24"/>
      <c r="M47" s="5">
        <f t="shared" si="0"/>
        <v>37.43</v>
      </c>
      <c r="N47" s="5">
        <f t="shared" si="1"/>
        <v>0</v>
      </c>
      <c r="O47" s="25"/>
    </row>
    <row r="48" spans="1:15" hidden="1" x14ac:dyDescent="0.3">
      <c r="A48" s="24"/>
      <c r="B48" s="26" t="s">
        <v>533</v>
      </c>
      <c r="C48" s="29" t="s">
        <v>1096</v>
      </c>
      <c r="D48" s="30">
        <v>29.07</v>
      </c>
      <c r="E48" s="24"/>
      <c r="F48" s="24"/>
      <c r="G48" s="24" t="s">
        <v>1022</v>
      </c>
      <c r="H48" s="24"/>
      <c r="I48" s="24"/>
      <c r="J48" s="24"/>
      <c r="K48" s="24"/>
      <c r="L48" s="24"/>
      <c r="M48" s="5">
        <f t="shared" si="0"/>
        <v>29.07</v>
      </c>
      <c r="N48" s="5">
        <f t="shared" si="1"/>
        <v>0</v>
      </c>
      <c r="O48" s="25"/>
    </row>
    <row r="49" spans="1:15" hidden="1" x14ac:dyDescent="0.3">
      <c r="A49" s="24"/>
      <c r="B49" s="26" t="s">
        <v>533</v>
      </c>
      <c r="C49" s="29" t="s">
        <v>1097</v>
      </c>
      <c r="D49" s="30">
        <v>29.62</v>
      </c>
      <c r="E49" s="24"/>
      <c r="F49" s="24"/>
      <c r="G49" s="24" t="s">
        <v>1022</v>
      </c>
      <c r="H49" s="24"/>
      <c r="I49" s="24"/>
      <c r="J49" s="24"/>
      <c r="K49" s="24"/>
      <c r="L49" s="24"/>
      <c r="M49" s="5">
        <f t="shared" si="0"/>
        <v>29.62</v>
      </c>
      <c r="N49" s="5">
        <f t="shared" si="1"/>
        <v>0</v>
      </c>
      <c r="O49" s="25"/>
    </row>
    <row r="50" spans="1:15" hidden="1" x14ac:dyDescent="0.3">
      <c r="A50" s="24"/>
      <c r="B50" s="26" t="s">
        <v>533</v>
      </c>
      <c r="C50" s="29" t="s">
        <v>1098</v>
      </c>
      <c r="D50" s="30">
        <v>27.84</v>
      </c>
      <c r="E50" s="24"/>
      <c r="F50" s="24"/>
      <c r="G50" s="24" t="s">
        <v>1022</v>
      </c>
      <c r="H50" s="24"/>
      <c r="I50" s="24"/>
      <c r="J50" s="24"/>
      <c r="K50" s="24"/>
      <c r="L50" s="24"/>
      <c r="M50" s="5">
        <f t="shared" si="0"/>
        <v>27.84</v>
      </c>
      <c r="N50" s="5">
        <f t="shared" si="1"/>
        <v>0</v>
      </c>
      <c r="O50" s="25"/>
    </row>
    <row r="51" spans="1:15" hidden="1" x14ac:dyDescent="0.3">
      <c r="A51" s="24"/>
      <c r="B51" s="26" t="s">
        <v>533</v>
      </c>
      <c r="C51" s="29" t="s">
        <v>1099</v>
      </c>
      <c r="D51" s="30">
        <v>28.8</v>
      </c>
      <c r="E51" s="24"/>
      <c r="F51" s="24"/>
      <c r="G51" s="24" t="s">
        <v>1022</v>
      </c>
      <c r="H51" s="24"/>
      <c r="I51" s="24"/>
      <c r="J51" s="24"/>
      <c r="K51" s="24"/>
      <c r="L51" s="24"/>
      <c r="M51" s="5">
        <f t="shared" si="0"/>
        <v>28.8</v>
      </c>
      <c r="N51" s="5">
        <f t="shared" si="1"/>
        <v>0</v>
      </c>
      <c r="O51" s="25"/>
    </row>
    <row r="52" spans="1:15" hidden="1" x14ac:dyDescent="0.3">
      <c r="A52" s="24"/>
      <c r="B52" s="26" t="s">
        <v>533</v>
      </c>
      <c r="C52" s="29" t="s">
        <v>1100</v>
      </c>
      <c r="D52" s="30">
        <v>22.37</v>
      </c>
      <c r="E52" s="24"/>
      <c r="F52" s="24"/>
      <c r="G52" s="24" t="s">
        <v>1022</v>
      </c>
      <c r="H52" s="24"/>
      <c r="I52" s="24"/>
      <c r="J52" s="24"/>
      <c r="K52" s="24"/>
      <c r="L52" s="24"/>
      <c r="M52" s="5">
        <f t="shared" si="0"/>
        <v>22.37</v>
      </c>
      <c r="N52" s="5">
        <f t="shared" si="1"/>
        <v>0</v>
      </c>
      <c r="O52" s="25"/>
    </row>
    <row r="53" spans="1:15" hidden="1" x14ac:dyDescent="0.3">
      <c r="A53" s="24"/>
      <c r="B53" s="26" t="s">
        <v>533</v>
      </c>
      <c r="C53" s="29" t="s">
        <v>1101</v>
      </c>
      <c r="D53" s="30">
        <v>56.1</v>
      </c>
      <c r="E53" s="24"/>
      <c r="F53" s="24"/>
      <c r="G53" s="24" t="s">
        <v>1022</v>
      </c>
      <c r="H53" s="24"/>
      <c r="I53" s="24"/>
      <c r="J53" s="24"/>
      <c r="K53" s="24"/>
      <c r="L53" s="24"/>
      <c r="M53" s="5">
        <f t="shared" si="0"/>
        <v>56.1</v>
      </c>
      <c r="N53" s="5">
        <f t="shared" si="1"/>
        <v>0</v>
      </c>
      <c r="O53" s="25"/>
    </row>
    <row r="54" spans="1:15" hidden="1" x14ac:dyDescent="0.3">
      <c r="A54" s="24"/>
      <c r="B54" s="26" t="s">
        <v>533</v>
      </c>
      <c r="C54" s="29" t="s">
        <v>1102</v>
      </c>
      <c r="D54" s="30">
        <v>44.56</v>
      </c>
      <c r="E54" s="24"/>
      <c r="F54" s="24"/>
      <c r="G54" s="24" t="s">
        <v>1022</v>
      </c>
      <c r="H54" s="24"/>
      <c r="I54" s="24"/>
      <c r="J54" s="24"/>
      <c r="K54" s="24"/>
      <c r="L54" s="24"/>
      <c r="M54" s="5">
        <f t="shared" si="0"/>
        <v>44.56</v>
      </c>
      <c r="N54" s="5">
        <f t="shared" si="1"/>
        <v>0</v>
      </c>
      <c r="O54" s="25"/>
    </row>
    <row r="55" spans="1:15" hidden="1" x14ac:dyDescent="0.3">
      <c r="A55" s="24"/>
      <c r="B55" s="26" t="s">
        <v>533</v>
      </c>
      <c r="C55" s="29" t="s">
        <v>1103</v>
      </c>
      <c r="D55" s="30">
        <v>30.5</v>
      </c>
      <c r="E55" s="24"/>
      <c r="F55" s="24"/>
      <c r="G55" s="24" t="s">
        <v>1022</v>
      </c>
      <c r="H55" s="24"/>
      <c r="I55" s="24"/>
      <c r="J55" s="24"/>
      <c r="K55" s="24"/>
      <c r="L55" s="24"/>
      <c r="M55" s="5">
        <f t="shared" si="0"/>
        <v>30.5</v>
      </c>
      <c r="N55" s="5">
        <f t="shared" si="1"/>
        <v>0</v>
      </c>
      <c r="O55" s="25"/>
    </row>
    <row r="56" spans="1:15" hidden="1" x14ac:dyDescent="0.3">
      <c r="A56" s="24"/>
      <c r="B56" s="26" t="s">
        <v>533</v>
      </c>
      <c r="C56" s="29" t="s">
        <v>1104</v>
      </c>
      <c r="D56" s="30">
        <v>20.54</v>
      </c>
      <c r="E56" s="24"/>
      <c r="F56" s="24"/>
      <c r="G56" s="24" t="s">
        <v>1022</v>
      </c>
      <c r="H56" s="24"/>
      <c r="I56" s="24"/>
      <c r="J56" s="24"/>
      <c r="K56" s="24"/>
      <c r="L56" s="24"/>
      <c r="M56" s="5">
        <f t="shared" si="0"/>
        <v>20.54</v>
      </c>
      <c r="N56" s="5">
        <f t="shared" si="1"/>
        <v>0</v>
      </c>
      <c r="O56" s="25"/>
    </row>
    <row r="57" spans="1:15" hidden="1" x14ac:dyDescent="0.3">
      <c r="A57" s="24"/>
      <c r="B57" s="26" t="s">
        <v>533</v>
      </c>
      <c r="C57" s="29" t="s">
        <v>1105</v>
      </c>
      <c r="D57" s="30">
        <v>21.38</v>
      </c>
      <c r="E57" s="24"/>
      <c r="F57" s="24"/>
      <c r="G57" s="24" t="s">
        <v>1022</v>
      </c>
      <c r="H57" s="24"/>
      <c r="I57" s="24"/>
      <c r="J57" s="24"/>
      <c r="K57" s="24"/>
      <c r="L57" s="24"/>
      <c r="M57" s="5">
        <f t="shared" si="0"/>
        <v>21.38</v>
      </c>
      <c r="N57" s="5">
        <f t="shared" si="1"/>
        <v>0</v>
      </c>
      <c r="O57" s="25"/>
    </row>
    <row r="58" spans="1:15" hidden="1" x14ac:dyDescent="0.3">
      <c r="A58" s="24"/>
      <c r="B58" s="26" t="s">
        <v>533</v>
      </c>
      <c r="C58" s="29" t="s">
        <v>1106</v>
      </c>
      <c r="D58" s="30">
        <v>19.7</v>
      </c>
      <c r="E58" s="24"/>
      <c r="F58" s="24"/>
      <c r="G58" s="24" t="s">
        <v>1022</v>
      </c>
      <c r="H58" s="24"/>
      <c r="I58" s="24"/>
      <c r="J58" s="24"/>
      <c r="K58" s="24"/>
      <c r="L58" s="24"/>
      <c r="M58" s="5">
        <f t="shared" si="0"/>
        <v>19.7</v>
      </c>
      <c r="N58" s="5">
        <f t="shared" si="1"/>
        <v>0</v>
      </c>
      <c r="O58" s="25"/>
    </row>
    <row r="59" spans="1:15" hidden="1" x14ac:dyDescent="0.3">
      <c r="A59" s="24"/>
      <c r="B59" s="26" t="s">
        <v>533</v>
      </c>
      <c r="C59" s="29" t="s">
        <v>1107</v>
      </c>
      <c r="D59" s="30">
        <v>38.49</v>
      </c>
      <c r="E59" s="24"/>
      <c r="F59" s="24"/>
      <c r="G59" s="24" t="s">
        <v>1022</v>
      </c>
      <c r="H59" s="24"/>
      <c r="I59" s="24"/>
      <c r="J59" s="24"/>
      <c r="K59" s="24"/>
      <c r="L59" s="24"/>
      <c r="M59" s="5">
        <f t="shared" si="0"/>
        <v>38.49</v>
      </c>
      <c r="N59" s="5">
        <f t="shared" si="1"/>
        <v>0</v>
      </c>
      <c r="O59" s="25"/>
    </row>
    <row r="60" spans="1:15" hidden="1" x14ac:dyDescent="0.3">
      <c r="A60" s="24"/>
      <c r="B60" s="26" t="s">
        <v>533</v>
      </c>
      <c r="C60" s="29" t="s">
        <v>1108</v>
      </c>
      <c r="D60" s="30">
        <v>24.55</v>
      </c>
      <c r="E60" s="24"/>
      <c r="F60" s="24"/>
      <c r="G60" s="24" t="s">
        <v>1022</v>
      </c>
      <c r="H60" s="24"/>
      <c r="I60" s="24"/>
      <c r="J60" s="24"/>
      <c r="K60" s="24"/>
      <c r="L60" s="24"/>
      <c r="M60" s="5">
        <f t="shared" si="0"/>
        <v>24.55</v>
      </c>
      <c r="N60" s="5">
        <f t="shared" si="1"/>
        <v>0</v>
      </c>
      <c r="O60" s="25"/>
    </row>
    <row r="61" spans="1:15" hidden="1" x14ac:dyDescent="0.3">
      <c r="A61" s="24"/>
      <c r="B61" s="26" t="s">
        <v>533</v>
      </c>
      <c r="C61" s="29" t="s">
        <v>1109</v>
      </c>
      <c r="D61" s="30">
        <v>53.3</v>
      </c>
      <c r="E61" s="24"/>
      <c r="F61" s="24"/>
      <c r="G61" s="24" t="s">
        <v>1022</v>
      </c>
      <c r="H61" s="24"/>
      <c r="I61" s="24"/>
      <c r="J61" s="24"/>
      <c r="K61" s="24"/>
      <c r="L61" s="24"/>
      <c r="M61" s="5">
        <f t="shared" si="0"/>
        <v>53.3</v>
      </c>
      <c r="N61" s="5">
        <f t="shared" si="1"/>
        <v>0</v>
      </c>
      <c r="O61" s="25"/>
    </row>
    <row r="62" spans="1:15" hidden="1" x14ac:dyDescent="0.3">
      <c r="A62" s="24"/>
      <c r="B62" s="26" t="s">
        <v>533</v>
      </c>
      <c r="C62" s="29" t="s">
        <v>1110</v>
      </c>
      <c r="D62" s="30">
        <v>53.3</v>
      </c>
      <c r="E62" s="24"/>
      <c r="F62" s="24"/>
      <c r="G62" s="24" t="s">
        <v>1022</v>
      </c>
      <c r="H62" s="24"/>
      <c r="I62" s="24"/>
      <c r="J62" s="24"/>
      <c r="K62" s="24"/>
      <c r="L62" s="24"/>
      <c r="M62" s="5">
        <f t="shared" si="0"/>
        <v>53.3</v>
      </c>
      <c r="N62" s="5">
        <f t="shared" si="1"/>
        <v>0</v>
      </c>
      <c r="O62" s="25"/>
    </row>
    <row r="63" spans="1:15" hidden="1" x14ac:dyDescent="0.3">
      <c r="A63" s="24"/>
      <c r="B63" s="26" t="s">
        <v>533</v>
      </c>
      <c r="C63" s="29" t="s">
        <v>1111</v>
      </c>
      <c r="D63" s="30">
        <v>42.8</v>
      </c>
      <c r="E63" s="24"/>
      <c r="F63" s="24"/>
      <c r="G63" s="24" t="s">
        <v>1022</v>
      </c>
      <c r="H63" s="24"/>
      <c r="I63" s="24"/>
      <c r="J63" s="24"/>
      <c r="K63" s="24"/>
      <c r="L63" s="24"/>
      <c r="M63" s="5">
        <f t="shared" si="0"/>
        <v>42.8</v>
      </c>
      <c r="N63" s="5">
        <f t="shared" si="1"/>
        <v>0</v>
      </c>
      <c r="O63" s="25"/>
    </row>
    <row r="64" spans="1:15" hidden="1" x14ac:dyDescent="0.3">
      <c r="A64" s="24"/>
      <c r="B64" s="26" t="s">
        <v>533</v>
      </c>
      <c r="C64" s="29" t="s">
        <v>1112</v>
      </c>
      <c r="D64" s="30">
        <v>17</v>
      </c>
      <c r="E64" s="24"/>
      <c r="F64" s="24"/>
      <c r="G64" s="24" t="s">
        <v>1022</v>
      </c>
      <c r="H64" s="24"/>
      <c r="I64" s="24"/>
      <c r="J64" s="24"/>
      <c r="K64" s="24"/>
      <c r="L64" s="24"/>
      <c r="M64" s="5">
        <f t="shared" si="0"/>
        <v>17</v>
      </c>
      <c r="N64" s="5">
        <f t="shared" si="1"/>
        <v>0</v>
      </c>
      <c r="O64" s="25"/>
    </row>
    <row r="65" spans="1:15" hidden="1" x14ac:dyDescent="0.3">
      <c r="A65" s="24"/>
      <c r="B65" s="26" t="s">
        <v>533</v>
      </c>
      <c r="C65" s="29" t="s">
        <v>1113</v>
      </c>
      <c r="D65" s="30">
        <v>19.100000000000001</v>
      </c>
      <c r="E65" s="24"/>
      <c r="F65" s="24"/>
      <c r="G65" s="24" t="s">
        <v>1022</v>
      </c>
      <c r="H65" s="24"/>
      <c r="I65" s="24"/>
      <c r="J65" s="24"/>
      <c r="K65" s="24"/>
      <c r="L65" s="24"/>
      <c r="M65" s="5">
        <f t="shared" si="0"/>
        <v>19.100000000000001</v>
      </c>
      <c r="N65" s="5">
        <f t="shared" si="1"/>
        <v>0</v>
      </c>
      <c r="O65" s="25"/>
    </row>
    <row r="66" spans="1:15" hidden="1" x14ac:dyDescent="0.3">
      <c r="A66" s="24"/>
      <c r="B66" s="26" t="s">
        <v>533</v>
      </c>
      <c r="C66" s="29" t="s">
        <v>1114</v>
      </c>
      <c r="D66" s="30">
        <v>18.8</v>
      </c>
      <c r="E66" s="24"/>
      <c r="F66" s="24"/>
      <c r="G66" s="24" t="s">
        <v>1022</v>
      </c>
      <c r="H66" s="24"/>
      <c r="I66" s="24"/>
      <c r="J66" s="24"/>
      <c r="K66" s="24"/>
      <c r="L66" s="24"/>
      <c r="M66" s="5">
        <f t="shared" si="0"/>
        <v>18.8</v>
      </c>
      <c r="N66" s="5">
        <f t="shared" si="1"/>
        <v>0</v>
      </c>
      <c r="O66" s="25"/>
    </row>
    <row r="67" spans="1:15" hidden="1" x14ac:dyDescent="0.3">
      <c r="A67" s="24"/>
      <c r="B67" s="26" t="s">
        <v>533</v>
      </c>
      <c r="C67" s="29" t="s">
        <v>1115</v>
      </c>
      <c r="D67" s="30">
        <v>17.3</v>
      </c>
      <c r="E67" s="24"/>
      <c r="F67" s="24"/>
      <c r="G67" s="24" t="s">
        <v>1022</v>
      </c>
      <c r="H67" s="24"/>
      <c r="I67" s="24"/>
      <c r="J67" s="24"/>
      <c r="K67" s="24"/>
      <c r="L67" s="24"/>
      <c r="M67" s="5">
        <f t="shared" ref="M67:M130" si="2">IF(G67="已出租",D67,0)</f>
        <v>17.3</v>
      </c>
      <c r="N67" s="5">
        <f t="shared" ref="N67:N130" si="3">IF(G67="未出租",D67,0)</f>
        <v>0</v>
      </c>
      <c r="O67" s="25"/>
    </row>
    <row r="68" spans="1:15" hidden="1" x14ac:dyDescent="0.3">
      <c r="A68" s="24"/>
      <c r="B68" s="26" t="s">
        <v>533</v>
      </c>
      <c r="C68" s="29" t="s">
        <v>1116</v>
      </c>
      <c r="D68" s="30">
        <v>23.5</v>
      </c>
      <c r="E68" s="24"/>
      <c r="F68" s="24"/>
      <c r="G68" s="24" t="s">
        <v>1022</v>
      </c>
      <c r="H68" s="24"/>
      <c r="I68" s="24"/>
      <c r="J68" s="24"/>
      <c r="K68" s="24"/>
      <c r="L68" s="24"/>
      <c r="M68" s="5">
        <f t="shared" si="2"/>
        <v>23.5</v>
      </c>
      <c r="N68" s="5">
        <f t="shared" si="3"/>
        <v>0</v>
      </c>
      <c r="O68" s="25"/>
    </row>
    <row r="69" spans="1:15" hidden="1" x14ac:dyDescent="0.3">
      <c r="A69" s="24"/>
      <c r="B69" s="26" t="s">
        <v>533</v>
      </c>
      <c r="C69" s="29" t="s">
        <v>1117</v>
      </c>
      <c r="D69" s="30">
        <v>23.5</v>
      </c>
      <c r="E69" s="24"/>
      <c r="F69" s="24"/>
      <c r="G69" s="24" t="s">
        <v>1022</v>
      </c>
      <c r="H69" s="24"/>
      <c r="I69" s="24"/>
      <c r="J69" s="24"/>
      <c r="K69" s="24"/>
      <c r="L69" s="24"/>
      <c r="M69" s="5">
        <f t="shared" si="2"/>
        <v>23.5</v>
      </c>
      <c r="N69" s="5">
        <f t="shared" si="3"/>
        <v>0</v>
      </c>
      <c r="O69" s="25"/>
    </row>
    <row r="70" spans="1:15" hidden="1" x14ac:dyDescent="0.3">
      <c r="A70" s="24"/>
      <c r="B70" s="26" t="s">
        <v>533</v>
      </c>
      <c r="C70" s="29" t="s">
        <v>1118</v>
      </c>
      <c r="D70" s="30">
        <v>34.6</v>
      </c>
      <c r="E70" s="24"/>
      <c r="F70" s="24"/>
      <c r="G70" s="24" t="s">
        <v>1022</v>
      </c>
      <c r="H70" s="24"/>
      <c r="I70" s="24"/>
      <c r="J70" s="24"/>
      <c r="K70" s="24"/>
      <c r="L70" s="24"/>
      <c r="M70" s="5">
        <f t="shared" si="2"/>
        <v>34.6</v>
      </c>
      <c r="N70" s="5">
        <f t="shared" si="3"/>
        <v>0</v>
      </c>
      <c r="O70" s="25"/>
    </row>
    <row r="71" spans="1:15" hidden="1" x14ac:dyDescent="0.3">
      <c r="A71" s="24"/>
      <c r="B71" s="26" t="s">
        <v>533</v>
      </c>
      <c r="C71" s="29" t="s">
        <v>1119</v>
      </c>
      <c r="D71" s="30">
        <v>32.799999999999997</v>
      </c>
      <c r="E71" s="24"/>
      <c r="F71" s="24"/>
      <c r="G71" s="24" t="s">
        <v>1022</v>
      </c>
      <c r="H71" s="24"/>
      <c r="I71" s="24"/>
      <c r="J71" s="24"/>
      <c r="K71" s="24"/>
      <c r="L71" s="24"/>
      <c r="M71" s="5">
        <f t="shared" si="2"/>
        <v>32.799999999999997</v>
      </c>
      <c r="N71" s="5">
        <f t="shared" si="3"/>
        <v>0</v>
      </c>
      <c r="O71" s="25"/>
    </row>
    <row r="72" spans="1:15" hidden="1" x14ac:dyDescent="0.3">
      <c r="A72" s="24"/>
      <c r="B72" s="26" t="s">
        <v>533</v>
      </c>
      <c r="C72" s="29" t="s">
        <v>1120</v>
      </c>
      <c r="D72" s="30">
        <v>32.6</v>
      </c>
      <c r="E72" s="24"/>
      <c r="F72" s="24"/>
      <c r="G72" s="24" t="s">
        <v>1022</v>
      </c>
      <c r="H72" s="24"/>
      <c r="I72" s="24"/>
      <c r="J72" s="24"/>
      <c r="K72" s="24"/>
      <c r="L72" s="24"/>
      <c r="M72" s="5">
        <f t="shared" si="2"/>
        <v>32.6</v>
      </c>
      <c r="N72" s="5">
        <f t="shared" si="3"/>
        <v>0</v>
      </c>
      <c r="O72" s="25"/>
    </row>
    <row r="73" spans="1:15" hidden="1" x14ac:dyDescent="0.3">
      <c r="A73" s="24"/>
      <c r="B73" s="26" t="s">
        <v>533</v>
      </c>
      <c r="C73" s="29" t="s">
        <v>1121</v>
      </c>
      <c r="D73" s="30">
        <v>32.6</v>
      </c>
      <c r="E73" s="24"/>
      <c r="F73" s="24"/>
      <c r="G73" s="24" t="s">
        <v>1022</v>
      </c>
      <c r="H73" s="24"/>
      <c r="I73" s="24"/>
      <c r="J73" s="24"/>
      <c r="K73" s="24"/>
      <c r="L73" s="24"/>
      <c r="M73" s="5">
        <f t="shared" si="2"/>
        <v>32.6</v>
      </c>
      <c r="N73" s="5">
        <f t="shared" si="3"/>
        <v>0</v>
      </c>
      <c r="O73" s="25"/>
    </row>
    <row r="74" spans="1:15" hidden="1" x14ac:dyDescent="0.3">
      <c r="A74" s="24"/>
      <c r="B74" s="26" t="s">
        <v>533</v>
      </c>
      <c r="C74" s="29" t="s">
        <v>1122</v>
      </c>
      <c r="D74" s="30">
        <v>32.799999999999997</v>
      </c>
      <c r="E74" s="24"/>
      <c r="F74" s="24"/>
      <c r="G74" s="24" t="s">
        <v>1022</v>
      </c>
      <c r="H74" s="24"/>
      <c r="I74" s="24"/>
      <c r="J74" s="24"/>
      <c r="K74" s="24"/>
      <c r="L74" s="24"/>
      <c r="M74" s="5">
        <f t="shared" si="2"/>
        <v>32.799999999999997</v>
      </c>
      <c r="N74" s="5">
        <f t="shared" si="3"/>
        <v>0</v>
      </c>
      <c r="O74" s="25"/>
    </row>
    <row r="75" spans="1:15" hidden="1" x14ac:dyDescent="0.3">
      <c r="A75" s="24"/>
      <c r="B75" s="26" t="s">
        <v>533</v>
      </c>
      <c r="C75" s="29" t="s">
        <v>1123</v>
      </c>
      <c r="D75" s="30">
        <v>32.6</v>
      </c>
      <c r="E75" s="24"/>
      <c r="F75" s="24"/>
      <c r="G75" s="24" t="s">
        <v>1022</v>
      </c>
      <c r="H75" s="24"/>
      <c r="I75" s="24"/>
      <c r="J75" s="24"/>
      <c r="K75" s="24"/>
      <c r="L75" s="24"/>
      <c r="M75" s="5">
        <f t="shared" si="2"/>
        <v>32.6</v>
      </c>
      <c r="N75" s="5">
        <f t="shared" si="3"/>
        <v>0</v>
      </c>
      <c r="O75" s="25"/>
    </row>
    <row r="76" spans="1:15" hidden="1" x14ac:dyDescent="0.3">
      <c r="A76" s="24"/>
      <c r="B76" s="26" t="s">
        <v>533</v>
      </c>
      <c r="C76" s="29" t="s">
        <v>1124</v>
      </c>
      <c r="D76" s="30">
        <v>7.2</v>
      </c>
      <c r="E76" s="24"/>
      <c r="F76" s="24"/>
      <c r="G76" s="24" t="s">
        <v>1022</v>
      </c>
      <c r="H76" s="24"/>
      <c r="I76" s="24"/>
      <c r="J76" s="24"/>
      <c r="K76" s="24"/>
      <c r="L76" s="24"/>
      <c r="M76" s="5">
        <f t="shared" si="2"/>
        <v>7.2</v>
      </c>
      <c r="N76" s="5">
        <f t="shared" si="3"/>
        <v>0</v>
      </c>
      <c r="O76" s="25"/>
    </row>
    <row r="77" spans="1:15" hidden="1" x14ac:dyDescent="0.3">
      <c r="A77" s="24"/>
      <c r="B77" s="26" t="s">
        <v>533</v>
      </c>
      <c r="C77" s="29" t="s">
        <v>1125</v>
      </c>
      <c r="D77" s="30">
        <v>38.299999999999997</v>
      </c>
      <c r="E77" s="24"/>
      <c r="F77" s="24"/>
      <c r="G77" s="24" t="s">
        <v>1022</v>
      </c>
      <c r="H77" s="24"/>
      <c r="I77" s="24"/>
      <c r="J77" s="24"/>
      <c r="K77" s="24"/>
      <c r="L77" s="24"/>
      <c r="M77" s="5">
        <f t="shared" si="2"/>
        <v>38.299999999999997</v>
      </c>
      <c r="N77" s="5">
        <f t="shared" si="3"/>
        <v>0</v>
      </c>
      <c r="O77" s="25"/>
    </row>
    <row r="78" spans="1:15" hidden="1" x14ac:dyDescent="0.3">
      <c r="A78" s="24"/>
      <c r="B78" s="26" t="s">
        <v>533</v>
      </c>
      <c r="C78" s="29" t="s">
        <v>1126</v>
      </c>
      <c r="D78" s="30">
        <v>37.200000000000003</v>
      </c>
      <c r="E78" s="24"/>
      <c r="F78" s="24"/>
      <c r="G78" s="24" t="s">
        <v>1022</v>
      </c>
      <c r="H78" s="24"/>
      <c r="I78" s="24"/>
      <c r="J78" s="24"/>
      <c r="K78" s="24"/>
      <c r="L78" s="24"/>
      <c r="M78" s="5">
        <f t="shared" si="2"/>
        <v>37.200000000000003</v>
      </c>
      <c r="N78" s="5">
        <f t="shared" si="3"/>
        <v>0</v>
      </c>
      <c r="O78" s="25"/>
    </row>
    <row r="79" spans="1:15" hidden="1" x14ac:dyDescent="0.3">
      <c r="A79" s="24"/>
      <c r="B79" s="26" t="s">
        <v>533</v>
      </c>
      <c r="C79" s="29" t="s">
        <v>1127</v>
      </c>
      <c r="D79" s="30">
        <v>41.7</v>
      </c>
      <c r="E79" s="24"/>
      <c r="F79" s="24"/>
      <c r="G79" s="24" t="s">
        <v>1022</v>
      </c>
      <c r="H79" s="24"/>
      <c r="I79" s="24"/>
      <c r="J79" s="24"/>
      <c r="K79" s="24"/>
      <c r="L79" s="24"/>
      <c r="M79" s="5">
        <f t="shared" si="2"/>
        <v>41.7</v>
      </c>
      <c r="N79" s="5">
        <f t="shared" si="3"/>
        <v>0</v>
      </c>
      <c r="O79" s="25"/>
    </row>
    <row r="80" spans="1:15" hidden="1" x14ac:dyDescent="0.3">
      <c r="A80" s="24"/>
      <c r="B80" s="26" t="s">
        <v>533</v>
      </c>
      <c r="C80" s="29" t="s">
        <v>1128</v>
      </c>
      <c r="D80" s="30">
        <v>25</v>
      </c>
      <c r="E80" s="24"/>
      <c r="F80" s="24"/>
      <c r="G80" s="24" t="s">
        <v>1022</v>
      </c>
      <c r="H80" s="24"/>
      <c r="I80" s="24"/>
      <c r="J80" s="24"/>
      <c r="K80" s="24"/>
      <c r="L80" s="24"/>
      <c r="M80" s="5">
        <f t="shared" si="2"/>
        <v>25</v>
      </c>
      <c r="N80" s="5">
        <f t="shared" si="3"/>
        <v>0</v>
      </c>
      <c r="O80" s="25"/>
    </row>
    <row r="81" spans="1:15" hidden="1" x14ac:dyDescent="0.3">
      <c r="A81" s="24"/>
      <c r="B81" s="26" t="s">
        <v>533</v>
      </c>
      <c r="C81" s="29" t="s">
        <v>1129</v>
      </c>
      <c r="D81" s="30">
        <v>46.8</v>
      </c>
      <c r="E81" s="24"/>
      <c r="F81" s="24"/>
      <c r="G81" s="24" t="s">
        <v>1022</v>
      </c>
      <c r="H81" s="24"/>
      <c r="I81" s="24"/>
      <c r="J81" s="24"/>
      <c r="K81" s="24"/>
      <c r="L81" s="24"/>
      <c r="M81" s="5">
        <f t="shared" si="2"/>
        <v>46.8</v>
      </c>
      <c r="N81" s="5">
        <f t="shared" si="3"/>
        <v>0</v>
      </c>
      <c r="O81" s="25"/>
    </row>
    <row r="82" spans="1:15" hidden="1" x14ac:dyDescent="0.3">
      <c r="A82" s="24"/>
      <c r="B82" s="26" t="s">
        <v>533</v>
      </c>
      <c r="C82" s="29" t="s">
        <v>1130</v>
      </c>
      <c r="D82" s="30">
        <v>22.24</v>
      </c>
      <c r="E82" s="24"/>
      <c r="F82" s="24"/>
      <c r="G82" s="24" t="s">
        <v>1022</v>
      </c>
      <c r="H82" s="24"/>
      <c r="I82" s="24"/>
      <c r="J82" s="24"/>
      <c r="K82" s="24"/>
      <c r="L82" s="24"/>
      <c r="M82" s="5">
        <f t="shared" si="2"/>
        <v>22.24</v>
      </c>
      <c r="N82" s="5">
        <f t="shared" si="3"/>
        <v>0</v>
      </c>
      <c r="O82" s="25"/>
    </row>
    <row r="83" spans="1:15" hidden="1" x14ac:dyDescent="0.3">
      <c r="A83" s="24"/>
      <c r="B83" s="26" t="s">
        <v>533</v>
      </c>
      <c r="C83" s="29" t="s">
        <v>1131</v>
      </c>
      <c r="D83" s="30">
        <v>25.76</v>
      </c>
      <c r="E83" s="24"/>
      <c r="F83" s="24"/>
      <c r="G83" s="24" t="s">
        <v>1022</v>
      </c>
      <c r="H83" s="24"/>
      <c r="I83" s="24"/>
      <c r="J83" s="24"/>
      <c r="K83" s="24"/>
      <c r="L83" s="24"/>
      <c r="M83" s="5">
        <f t="shared" si="2"/>
        <v>25.76</v>
      </c>
      <c r="N83" s="5">
        <f t="shared" si="3"/>
        <v>0</v>
      </c>
      <c r="O83" s="25"/>
    </row>
    <row r="84" spans="1:15" hidden="1" x14ac:dyDescent="0.3">
      <c r="A84" s="24"/>
      <c r="B84" s="26" t="s">
        <v>533</v>
      </c>
      <c r="C84" s="29" t="s">
        <v>1132</v>
      </c>
      <c r="D84" s="30">
        <v>30.64</v>
      </c>
      <c r="E84" s="24"/>
      <c r="F84" s="24"/>
      <c r="G84" s="24" t="s">
        <v>1022</v>
      </c>
      <c r="H84" s="24"/>
      <c r="I84" s="24"/>
      <c r="J84" s="24"/>
      <c r="K84" s="24"/>
      <c r="L84" s="24"/>
      <c r="M84" s="5">
        <f t="shared" si="2"/>
        <v>30.64</v>
      </c>
      <c r="N84" s="5">
        <f t="shared" si="3"/>
        <v>0</v>
      </c>
      <c r="O84" s="25"/>
    </row>
    <row r="85" spans="1:15" hidden="1" x14ac:dyDescent="0.3">
      <c r="A85" s="24"/>
      <c r="B85" s="26" t="s">
        <v>533</v>
      </c>
      <c r="C85" s="29" t="s">
        <v>1133</v>
      </c>
      <c r="D85" s="30">
        <v>30.24</v>
      </c>
      <c r="E85" s="24"/>
      <c r="F85" s="24"/>
      <c r="G85" s="24" t="s">
        <v>1022</v>
      </c>
      <c r="H85" s="24"/>
      <c r="I85" s="24"/>
      <c r="J85" s="24"/>
      <c r="K85" s="24"/>
      <c r="L85" s="24"/>
      <c r="M85" s="5">
        <f t="shared" si="2"/>
        <v>30.24</v>
      </c>
      <c r="N85" s="5">
        <f t="shared" si="3"/>
        <v>0</v>
      </c>
      <c r="O85" s="25"/>
    </row>
    <row r="86" spans="1:15" hidden="1" x14ac:dyDescent="0.3">
      <c r="A86" s="24"/>
      <c r="B86" s="26" t="s">
        <v>533</v>
      </c>
      <c r="C86" s="29" t="s">
        <v>1134</v>
      </c>
      <c r="D86" s="30">
        <v>52.82</v>
      </c>
      <c r="E86" s="24"/>
      <c r="F86" s="24"/>
      <c r="G86" s="24" t="s">
        <v>1022</v>
      </c>
      <c r="H86" s="24"/>
      <c r="I86" s="24"/>
      <c r="J86" s="24"/>
      <c r="K86" s="24"/>
      <c r="L86" s="24"/>
      <c r="M86" s="5">
        <f t="shared" si="2"/>
        <v>52.82</v>
      </c>
      <c r="N86" s="5">
        <f t="shared" si="3"/>
        <v>0</v>
      </c>
      <c r="O86" s="25"/>
    </row>
    <row r="87" spans="1:15" hidden="1" x14ac:dyDescent="0.3">
      <c r="A87" s="24"/>
      <c r="B87" s="26" t="s">
        <v>533</v>
      </c>
      <c r="C87" s="29" t="s">
        <v>1135</v>
      </c>
      <c r="D87" s="30">
        <v>25.28</v>
      </c>
      <c r="E87" s="24"/>
      <c r="F87" s="24"/>
      <c r="G87" s="24" t="s">
        <v>1022</v>
      </c>
      <c r="H87" s="24"/>
      <c r="I87" s="24"/>
      <c r="J87" s="24"/>
      <c r="K87" s="24"/>
      <c r="L87" s="24"/>
      <c r="M87" s="5">
        <f t="shared" si="2"/>
        <v>25.28</v>
      </c>
      <c r="N87" s="5">
        <f t="shared" si="3"/>
        <v>0</v>
      </c>
      <c r="O87" s="25"/>
    </row>
    <row r="88" spans="1:15" hidden="1" x14ac:dyDescent="0.3">
      <c r="A88" s="24"/>
      <c r="B88" s="26" t="s">
        <v>533</v>
      </c>
      <c r="C88" s="29" t="s">
        <v>1136</v>
      </c>
      <c r="D88" s="30"/>
      <c r="E88" s="24"/>
      <c r="F88" s="24"/>
      <c r="G88" s="24" t="s">
        <v>1022</v>
      </c>
      <c r="H88" s="24"/>
      <c r="I88" s="24"/>
      <c r="J88" s="24"/>
      <c r="K88" s="24"/>
      <c r="L88" s="24"/>
      <c r="M88" s="5">
        <f t="shared" si="2"/>
        <v>0</v>
      </c>
      <c r="N88" s="5">
        <f t="shared" si="3"/>
        <v>0</v>
      </c>
      <c r="O88" s="25"/>
    </row>
    <row r="89" spans="1:15" hidden="1" x14ac:dyDescent="0.3">
      <c r="A89" s="24"/>
      <c r="B89" s="26" t="s">
        <v>533</v>
      </c>
      <c r="C89" s="29" t="s">
        <v>1137</v>
      </c>
      <c r="D89" s="30">
        <v>19.8</v>
      </c>
      <c r="E89" s="24"/>
      <c r="F89" s="24"/>
      <c r="G89" s="24" t="s">
        <v>1022</v>
      </c>
      <c r="H89" s="24"/>
      <c r="I89" s="24"/>
      <c r="J89" s="24"/>
      <c r="K89" s="24"/>
      <c r="L89" s="24"/>
      <c r="M89" s="5">
        <f t="shared" si="2"/>
        <v>19.8</v>
      </c>
      <c r="N89" s="5">
        <f t="shared" si="3"/>
        <v>0</v>
      </c>
      <c r="O89" s="25"/>
    </row>
    <row r="90" spans="1:15" hidden="1" x14ac:dyDescent="0.3">
      <c r="A90" s="24"/>
      <c r="B90" s="26" t="s">
        <v>533</v>
      </c>
      <c r="C90" s="29" t="s">
        <v>1138</v>
      </c>
      <c r="D90" s="30">
        <v>25.7</v>
      </c>
      <c r="E90" s="24"/>
      <c r="F90" s="24"/>
      <c r="G90" s="24" t="s">
        <v>1022</v>
      </c>
      <c r="H90" s="24"/>
      <c r="I90" s="24"/>
      <c r="J90" s="24"/>
      <c r="K90" s="24"/>
      <c r="L90" s="24"/>
      <c r="M90" s="5">
        <f t="shared" si="2"/>
        <v>25.7</v>
      </c>
      <c r="N90" s="5">
        <f t="shared" si="3"/>
        <v>0</v>
      </c>
      <c r="O90" s="25"/>
    </row>
    <row r="91" spans="1:15" hidden="1" x14ac:dyDescent="0.3">
      <c r="A91" s="24"/>
      <c r="B91" s="26" t="s">
        <v>533</v>
      </c>
      <c r="C91" s="29" t="s">
        <v>1139</v>
      </c>
      <c r="D91" s="30">
        <v>27.2</v>
      </c>
      <c r="E91" s="24"/>
      <c r="F91" s="24"/>
      <c r="G91" s="24" t="s">
        <v>1022</v>
      </c>
      <c r="H91" s="24"/>
      <c r="I91" s="24"/>
      <c r="J91" s="24"/>
      <c r="K91" s="24"/>
      <c r="L91" s="24"/>
      <c r="M91" s="5">
        <f t="shared" si="2"/>
        <v>27.2</v>
      </c>
      <c r="N91" s="5">
        <f t="shared" si="3"/>
        <v>0</v>
      </c>
      <c r="O91" s="25"/>
    </row>
    <row r="92" spans="1:15" hidden="1" x14ac:dyDescent="0.3">
      <c r="A92" s="24"/>
      <c r="B92" s="26" t="s">
        <v>533</v>
      </c>
      <c r="C92" s="29" t="s">
        <v>1140</v>
      </c>
      <c r="D92" s="30">
        <v>24.1</v>
      </c>
      <c r="E92" s="24"/>
      <c r="F92" s="24"/>
      <c r="G92" s="24" t="s">
        <v>1022</v>
      </c>
      <c r="H92" s="24"/>
      <c r="I92" s="24"/>
      <c r="J92" s="24"/>
      <c r="K92" s="24"/>
      <c r="L92" s="24"/>
      <c r="M92" s="5">
        <f t="shared" si="2"/>
        <v>24.1</v>
      </c>
      <c r="N92" s="5">
        <f t="shared" si="3"/>
        <v>0</v>
      </c>
      <c r="O92" s="25"/>
    </row>
    <row r="93" spans="1:15" hidden="1" x14ac:dyDescent="0.3">
      <c r="A93" s="24"/>
      <c r="B93" s="26" t="s">
        <v>533</v>
      </c>
      <c r="C93" s="29" t="s">
        <v>1141</v>
      </c>
      <c r="D93" s="30">
        <v>33.4</v>
      </c>
      <c r="E93" s="24"/>
      <c r="F93" s="24"/>
      <c r="G93" s="24" t="s">
        <v>1022</v>
      </c>
      <c r="H93" s="24"/>
      <c r="I93" s="24"/>
      <c r="J93" s="24"/>
      <c r="K93" s="24"/>
      <c r="L93" s="24"/>
      <c r="M93" s="5">
        <f t="shared" si="2"/>
        <v>33.4</v>
      </c>
      <c r="N93" s="5">
        <f t="shared" si="3"/>
        <v>0</v>
      </c>
      <c r="O93" s="25"/>
    </row>
    <row r="94" spans="1:15" hidden="1" x14ac:dyDescent="0.3">
      <c r="A94" s="24"/>
      <c r="B94" s="26" t="s">
        <v>533</v>
      </c>
      <c r="C94" s="29" t="s">
        <v>1142</v>
      </c>
      <c r="D94" s="30">
        <v>32.28</v>
      </c>
      <c r="E94" s="24"/>
      <c r="F94" s="24"/>
      <c r="G94" s="24" t="s">
        <v>1022</v>
      </c>
      <c r="H94" s="24"/>
      <c r="I94" s="24"/>
      <c r="J94" s="24"/>
      <c r="K94" s="24"/>
      <c r="L94" s="24"/>
      <c r="M94" s="5">
        <f t="shared" si="2"/>
        <v>32.28</v>
      </c>
      <c r="N94" s="5">
        <f t="shared" si="3"/>
        <v>0</v>
      </c>
      <c r="O94" s="25"/>
    </row>
    <row r="95" spans="1:15" hidden="1" x14ac:dyDescent="0.3">
      <c r="A95" s="24"/>
      <c r="B95" s="26" t="s">
        <v>533</v>
      </c>
      <c r="C95" s="29" t="s">
        <v>1143</v>
      </c>
      <c r="D95" s="30">
        <v>36.5</v>
      </c>
      <c r="E95" s="24"/>
      <c r="F95" s="24"/>
      <c r="G95" s="24" t="s">
        <v>1022</v>
      </c>
      <c r="H95" s="24"/>
      <c r="I95" s="24"/>
      <c r="J95" s="24"/>
      <c r="K95" s="24"/>
      <c r="L95" s="24"/>
      <c r="M95" s="5">
        <f t="shared" si="2"/>
        <v>36.5</v>
      </c>
      <c r="N95" s="5">
        <f t="shared" si="3"/>
        <v>0</v>
      </c>
      <c r="O95" s="25"/>
    </row>
    <row r="96" spans="1:15" hidden="1" x14ac:dyDescent="0.3">
      <c r="A96" s="24"/>
      <c r="B96" s="26" t="s">
        <v>533</v>
      </c>
      <c r="C96" s="29" t="s">
        <v>1144</v>
      </c>
      <c r="D96" s="30">
        <v>22.94</v>
      </c>
      <c r="E96" s="24"/>
      <c r="F96" s="24"/>
      <c r="G96" s="24" t="s">
        <v>1022</v>
      </c>
      <c r="H96" s="24"/>
      <c r="I96" s="24"/>
      <c r="J96" s="24"/>
      <c r="K96" s="24"/>
      <c r="L96" s="24"/>
      <c r="M96" s="5">
        <f t="shared" si="2"/>
        <v>22.94</v>
      </c>
      <c r="N96" s="5">
        <f t="shared" si="3"/>
        <v>0</v>
      </c>
      <c r="O96" s="25"/>
    </row>
    <row r="97" spans="1:15" hidden="1" x14ac:dyDescent="0.3">
      <c r="A97" s="24"/>
      <c r="B97" s="26" t="s">
        <v>533</v>
      </c>
      <c r="C97" s="29" t="s">
        <v>1145</v>
      </c>
      <c r="D97" s="30">
        <v>26.54</v>
      </c>
      <c r="E97" s="24"/>
      <c r="F97" s="24"/>
      <c r="G97" s="24" t="s">
        <v>1022</v>
      </c>
      <c r="H97" s="24"/>
      <c r="I97" s="24"/>
      <c r="J97" s="24"/>
      <c r="K97" s="24"/>
      <c r="L97" s="24"/>
      <c r="M97" s="5">
        <f t="shared" si="2"/>
        <v>26.54</v>
      </c>
      <c r="N97" s="5">
        <f t="shared" si="3"/>
        <v>0</v>
      </c>
      <c r="O97" s="25"/>
    </row>
    <row r="98" spans="1:15" hidden="1" x14ac:dyDescent="0.3">
      <c r="A98" s="24"/>
      <c r="B98" s="26" t="s">
        <v>533</v>
      </c>
      <c r="C98" s="29" t="s">
        <v>1146</v>
      </c>
      <c r="D98" s="30">
        <v>22.34</v>
      </c>
      <c r="E98" s="24"/>
      <c r="F98" s="24"/>
      <c r="G98" s="24" t="s">
        <v>1022</v>
      </c>
      <c r="H98" s="24"/>
      <c r="I98" s="24"/>
      <c r="J98" s="24"/>
      <c r="K98" s="24"/>
      <c r="L98" s="24"/>
      <c r="M98" s="5">
        <f t="shared" si="2"/>
        <v>22.34</v>
      </c>
      <c r="N98" s="5">
        <f t="shared" si="3"/>
        <v>0</v>
      </c>
      <c r="O98" s="25"/>
    </row>
    <row r="99" spans="1:15" hidden="1" x14ac:dyDescent="0.3">
      <c r="A99" s="24"/>
      <c r="B99" s="26" t="s">
        <v>533</v>
      </c>
      <c r="C99" s="29" t="s">
        <v>1147</v>
      </c>
      <c r="D99" s="30">
        <v>7.3</v>
      </c>
      <c r="E99" s="24"/>
      <c r="F99" s="24"/>
      <c r="G99" s="24" t="s">
        <v>1022</v>
      </c>
      <c r="H99" s="24"/>
      <c r="I99" s="24"/>
      <c r="J99" s="24"/>
      <c r="K99" s="24"/>
      <c r="L99" s="24"/>
      <c r="M99" s="5">
        <f t="shared" si="2"/>
        <v>7.3</v>
      </c>
      <c r="N99" s="5">
        <f t="shared" si="3"/>
        <v>0</v>
      </c>
      <c r="O99" s="25"/>
    </row>
    <row r="100" spans="1:15" hidden="1" x14ac:dyDescent="0.3">
      <c r="A100" s="24"/>
      <c r="B100" s="26" t="s">
        <v>533</v>
      </c>
      <c r="C100" s="29" t="s">
        <v>1148</v>
      </c>
      <c r="D100" s="30">
        <v>7.4</v>
      </c>
      <c r="E100" s="24"/>
      <c r="F100" s="24"/>
      <c r="G100" s="24" t="s">
        <v>1022</v>
      </c>
      <c r="H100" s="24"/>
      <c r="I100" s="24"/>
      <c r="J100" s="24"/>
      <c r="K100" s="24"/>
      <c r="L100" s="24"/>
      <c r="M100" s="5">
        <f t="shared" si="2"/>
        <v>7.4</v>
      </c>
      <c r="N100" s="5">
        <f t="shared" si="3"/>
        <v>0</v>
      </c>
      <c r="O100" s="25"/>
    </row>
    <row r="101" spans="1:15" hidden="1" x14ac:dyDescent="0.3">
      <c r="A101" s="24"/>
      <c r="B101" s="26" t="s">
        <v>533</v>
      </c>
      <c r="C101" s="29" t="s">
        <v>1149</v>
      </c>
      <c r="D101" s="30"/>
      <c r="E101" s="24"/>
      <c r="F101" s="24"/>
      <c r="G101" s="24" t="s">
        <v>1022</v>
      </c>
      <c r="H101" s="24"/>
      <c r="I101" s="24"/>
      <c r="J101" s="24"/>
      <c r="K101" s="24"/>
      <c r="L101" s="24"/>
      <c r="M101" s="5">
        <f t="shared" si="2"/>
        <v>0</v>
      </c>
      <c r="N101" s="5">
        <f t="shared" si="3"/>
        <v>0</v>
      </c>
      <c r="O101" s="25"/>
    </row>
    <row r="102" spans="1:15" hidden="1" x14ac:dyDescent="0.3">
      <c r="A102" s="24"/>
      <c r="B102" s="26" t="s">
        <v>533</v>
      </c>
      <c r="C102" s="29" t="s">
        <v>1150</v>
      </c>
      <c r="D102" s="30">
        <v>34.1</v>
      </c>
      <c r="E102" s="24"/>
      <c r="F102" s="24"/>
      <c r="G102" s="24" t="s">
        <v>1022</v>
      </c>
      <c r="H102" s="24"/>
      <c r="I102" s="24"/>
      <c r="J102" s="24"/>
      <c r="K102" s="24"/>
      <c r="L102" s="24"/>
      <c r="M102" s="5">
        <f t="shared" si="2"/>
        <v>34.1</v>
      </c>
      <c r="N102" s="5">
        <f t="shared" si="3"/>
        <v>0</v>
      </c>
      <c r="O102" s="25"/>
    </row>
    <row r="103" spans="1:15" hidden="1" x14ac:dyDescent="0.3">
      <c r="A103" s="24"/>
      <c r="B103" s="26" t="s">
        <v>533</v>
      </c>
      <c r="C103" s="29" t="s">
        <v>1151</v>
      </c>
      <c r="D103" s="30">
        <v>17.899999999999999</v>
      </c>
      <c r="E103" s="24"/>
      <c r="F103" s="24"/>
      <c r="G103" s="24" t="s">
        <v>1022</v>
      </c>
      <c r="H103" s="24"/>
      <c r="I103" s="24"/>
      <c r="J103" s="24"/>
      <c r="K103" s="24"/>
      <c r="L103" s="24"/>
      <c r="M103" s="5">
        <f t="shared" si="2"/>
        <v>17.899999999999999</v>
      </c>
      <c r="N103" s="5">
        <f t="shared" si="3"/>
        <v>0</v>
      </c>
      <c r="O103" s="25"/>
    </row>
    <row r="104" spans="1:15" hidden="1" x14ac:dyDescent="0.3">
      <c r="A104" s="24"/>
      <c r="B104" s="26" t="s">
        <v>533</v>
      </c>
      <c r="C104" s="29" t="s">
        <v>1152</v>
      </c>
      <c r="D104" s="30">
        <v>18.3</v>
      </c>
      <c r="E104" s="24"/>
      <c r="F104" s="24"/>
      <c r="G104" s="24" t="s">
        <v>1022</v>
      </c>
      <c r="H104" s="24"/>
      <c r="I104" s="24"/>
      <c r="J104" s="24"/>
      <c r="K104" s="24"/>
      <c r="L104" s="24"/>
      <c r="M104" s="5">
        <f t="shared" si="2"/>
        <v>18.3</v>
      </c>
      <c r="N104" s="5">
        <f t="shared" si="3"/>
        <v>0</v>
      </c>
      <c r="O104" s="25"/>
    </row>
    <row r="105" spans="1:15" hidden="1" x14ac:dyDescent="0.3">
      <c r="A105" s="24"/>
      <c r="B105" s="26" t="s">
        <v>533</v>
      </c>
      <c r="C105" s="29" t="s">
        <v>1153</v>
      </c>
      <c r="D105" s="30">
        <v>25.8</v>
      </c>
      <c r="E105" s="24"/>
      <c r="F105" s="24"/>
      <c r="G105" s="24" t="s">
        <v>1022</v>
      </c>
      <c r="H105" s="24"/>
      <c r="I105" s="24"/>
      <c r="J105" s="24"/>
      <c r="K105" s="24"/>
      <c r="L105" s="24"/>
      <c r="M105" s="5">
        <f t="shared" si="2"/>
        <v>25.8</v>
      </c>
      <c r="N105" s="5">
        <f t="shared" si="3"/>
        <v>0</v>
      </c>
      <c r="O105" s="25"/>
    </row>
    <row r="106" spans="1:15" hidden="1" x14ac:dyDescent="0.3">
      <c r="A106" s="24"/>
      <c r="B106" s="26" t="s">
        <v>533</v>
      </c>
      <c r="C106" s="29" t="s">
        <v>1154</v>
      </c>
      <c r="D106" s="30">
        <v>25.8</v>
      </c>
      <c r="E106" s="24"/>
      <c r="F106" s="24"/>
      <c r="G106" s="24" t="s">
        <v>1022</v>
      </c>
      <c r="H106" s="24"/>
      <c r="I106" s="24"/>
      <c r="J106" s="24"/>
      <c r="K106" s="24"/>
      <c r="L106" s="24"/>
      <c r="M106" s="5">
        <f t="shared" si="2"/>
        <v>25.8</v>
      </c>
      <c r="N106" s="5">
        <f t="shared" si="3"/>
        <v>0</v>
      </c>
      <c r="O106" s="25"/>
    </row>
    <row r="107" spans="1:15" hidden="1" x14ac:dyDescent="0.3">
      <c r="A107" s="24"/>
      <c r="B107" s="26" t="s">
        <v>533</v>
      </c>
      <c r="C107" s="29" t="s">
        <v>1155</v>
      </c>
      <c r="D107" s="30">
        <v>25.8</v>
      </c>
      <c r="E107" s="24"/>
      <c r="F107" s="24"/>
      <c r="G107" s="24" t="s">
        <v>1022</v>
      </c>
      <c r="H107" s="24"/>
      <c r="I107" s="24"/>
      <c r="J107" s="24"/>
      <c r="K107" s="24"/>
      <c r="L107" s="24"/>
      <c r="M107" s="5">
        <f t="shared" si="2"/>
        <v>25.8</v>
      </c>
      <c r="N107" s="5">
        <f t="shared" si="3"/>
        <v>0</v>
      </c>
      <c r="O107" s="25"/>
    </row>
    <row r="108" spans="1:15" hidden="1" x14ac:dyDescent="0.3">
      <c r="A108" s="24"/>
      <c r="B108" s="26" t="s">
        <v>533</v>
      </c>
      <c r="C108" s="29" t="s">
        <v>1156</v>
      </c>
      <c r="D108" s="30">
        <v>26.2</v>
      </c>
      <c r="E108" s="24"/>
      <c r="F108" s="24"/>
      <c r="G108" s="24" t="s">
        <v>1022</v>
      </c>
      <c r="H108" s="24"/>
      <c r="I108" s="24"/>
      <c r="J108" s="24"/>
      <c r="K108" s="24"/>
      <c r="L108" s="24"/>
      <c r="M108" s="5">
        <f t="shared" si="2"/>
        <v>26.2</v>
      </c>
      <c r="N108" s="5">
        <f t="shared" si="3"/>
        <v>0</v>
      </c>
      <c r="O108" s="25"/>
    </row>
    <row r="109" spans="1:15" hidden="1" x14ac:dyDescent="0.3">
      <c r="A109" s="24"/>
      <c r="B109" s="26" t="s">
        <v>533</v>
      </c>
      <c r="C109" s="29" t="s">
        <v>1157</v>
      </c>
      <c r="D109" s="30">
        <v>23.32</v>
      </c>
      <c r="E109" s="24"/>
      <c r="F109" s="24"/>
      <c r="G109" s="24" t="s">
        <v>1022</v>
      </c>
      <c r="H109" s="24"/>
      <c r="I109" s="24"/>
      <c r="J109" s="24"/>
      <c r="K109" s="24"/>
      <c r="L109" s="24"/>
      <c r="M109" s="5">
        <f t="shared" si="2"/>
        <v>23.32</v>
      </c>
      <c r="N109" s="5">
        <f t="shared" si="3"/>
        <v>0</v>
      </c>
      <c r="O109" s="25"/>
    </row>
    <row r="110" spans="1:15" hidden="1" x14ac:dyDescent="0.3">
      <c r="A110" s="24"/>
      <c r="B110" s="26" t="s">
        <v>533</v>
      </c>
      <c r="C110" s="29" t="s">
        <v>1158</v>
      </c>
      <c r="D110" s="30">
        <v>36.299999999999997</v>
      </c>
      <c r="E110" s="24"/>
      <c r="F110" s="24"/>
      <c r="G110" s="24" t="s">
        <v>1022</v>
      </c>
      <c r="H110" s="24"/>
      <c r="I110" s="24"/>
      <c r="J110" s="24"/>
      <c r="K110" s="24"/>
      <c r="L110" s="24"/>
      <c r="M110" s="5">
        <f t="shared" si="2"/>
        <v>36.299999999999997</v>
      </c>
      <c r="N110" s="5">
        <f t="shared" si="3"/>
        <v>0</v>
      </c>
      <c r="O110" s="25"/>
    </row>
    <row r="111" spans="1:15" hidden="1" x14ac:dyDescent="0.3">
      <c r="A111" s="24"/>
      <c r="B111" s="26" t="s">
        <v>533</v>
      </c>
      <c r="C111" s="29" t="s">
        <v>1159</v>
      </c>
      <c r="D111" s="30">
        <v>34.299999999999997</v>
      </c>
      <c r="E111" s="24"/>
      <c r="F111" s="24"/>
      <c r="G111" s="24" t="s">
        <v>1022</v>
      </c>
      <c r="H111" s="24"/>
      <c r="I111" s="24"/>
      <c r="J111" s="24"/>
      <c r="K111" s="24"/>
      <c r="L111" s="24"/>
      <c r="M111" s="5">
        <f t="shared" si="2"/>
        <v>34.299999999999997</v>
      </c>
      <c r="N111" s="5">
        <f t="shared" si="3"/>
        <v>0</v>
      </c>
      <c r="O111" s="25"/>
    </row>
    <row r="112" spans="1:15" hidden="1" x14ac:dyDescent="0.3">
      <c r="A112" s="24"/>
      <c r="B112" s="26" t="s">
        <v>533</v>
      </c>
      <c r="C112" s="29" t="s">
        <v>1160</v>
      </c>
      <c r="D112" s="30">
        <v>35</v>
      </c>
      <c r="E112" s="24"/>
      <c r="F112" s="24"/>
      <c r="G112" s="24" t="s">
        <v>1022</v>
      </c>
      <c r="H112" s="24"/>
      <c r="I112" s="24"/>
      <c r="J112" s="24"/>
      <c r="K112" s="24"/>
      <c r="L112" s="24"/>
      <c r="M112" s="5">
        <f t="shared" si="2"/>
        <v>35</v>
      </c>
      <c r="N112" s="5">
        <f t="shared" si="3"/>
        <v>0</v>
      </c>
      <c r="O112" s="25"/>
    </row>
    <row r="113" spans="1:15" hidden="1" x14ac:dyDescent="0.3">
      <c r="A113" s="24"/>
      <c r="B113" s="26" t="s">
        <v>533</v>
      </c>
      <c r="C113" s="29" t="s">
        <v>1161</v>
      </c>
      <c r="D113" s="30">
        <v>39.6</v>
      </c>
      <c r="E113" s="24"/>
      <c r="F113" s="24"/>
      <c r="G113" s="24" t="s">
        <v>1022</v>
      </c>
      <c r="H113" s="24"/>
      <c r="I113" s="24"/>
      <c r="J113" s="24"/>
      <c r="K113" s="24"/>
      <c r="L113" s="24"/>
      <c r="M113" s="5">
        <f t="shared" si="2"/>
        <v>39.6</v>
      </c>
      <c r="N113" s="5">
        <f t="shared" si="3"/>
        <v>0</v>
      </c>
      <c r="O113" s="25"/>
    </row>
    <row r="114" spans="1:15" hidden="1" x14ac:dyDescent="0.3">
      <c r="A114" s="24"/>
      <c r="B114" s="26" t="s">
        <v>533</v>
      </c>
      <c r="C114" s="29" t="s">
        <v>1162</v>
      </c>
      <c r="D114" s="30">
        <v>39.200000000000003</v>
      </c>
      <c r="E114" s="24"/>
      <c r="F114" s="24"/>
      <c r="G114" s="24" t="s">
        <v>1022</v>
      </c>
      <c r="H114" s="24"/>
      <c r="I114" s="24"/>
      <c r="J114" s="24"/>
      <c r="K114" s="24"/>
      <c r="L114" s="24"/>
      <c r="M114" s="5">
        <f t="shared" si="2"/>
        <v>39.200000000000003</v>
      </c>
      <c r="N114" s="5">
        <f t="shared" si="3"/>
        <v>0</v>
      </c>
      <c r="O114" s="25"/>
    </row>
    <row r="115" spans="1:15" hidden="1" x14ac:dyDescent="0.3">
      <c r="A115" s="24"/>
      <c r="B115" s="26" t="s">
        <v>533</v>
      </c>
      <c r="C115" s="29" t="s">
        <v>1163</v>
      </c>
      <c r="D115" s="30">
        <v>39.1</v>
      </c>
      <c r="E115" s="24"/>
      <c r="F115" s="24"/>
      <c r="G115" s="24" t="s">
        <v>1022</v>
      </c>
      <c r="H115" s="24"/>
      <c r="I115" s="24"/>
      <c r="J115" s="24"/>
      <c r="K115" s="24"/>
      <c r="L115" s="24"/>
      <c r="M115" s="5">
        <f t="shared" si="2"/>
        <v>39.1</v>
      </c>
      <c r="N115" s="5">
        <f t="shared" si="3"/>
        <v>0</v>
      </c>
      <c r="O115" s="25"/>
    </row>
    <row r="116" spans="1:15" hidden="1" x14ac:dyDescent="0.3">
      <c r="A116" s="24"/>
      <c r="B116" s="26" t="s">
        <v>533</v>
      </c>
      <c r="C116" s="29" t="s">
        <v>1164</v>
      </c>
      <c r="D116" s="30">
        <v>42.8</v>
      </c>
      <c r="E116" s="24"/>
      <c r="F116" s="24"/>
      <c r="G116" s="24" t="s">
        <v>1022</v>
      </c>
      <c r="H116" s="24"/>
      <c r="I116" s="24"/>
      <c r="J116" s="24"/>
      <c r="K116" s="24"/>
      <c r="L116" s="24"/>
      <c r="M116" s="5">
        <f t="shared" si="2"/>
        <v>42.8</v>
      </c>
      <c r="N116" s="5">
        <f t="shared" si="3"/>
        <v>0</v>
      </c>
      <c r="O116" s="25"/>
    </row>
    <row r="117" spans="1:15" hidden="1" x14ac:dyDescent="0.3">
      <c r="A117" s="24"/>
      <c r="B117" s="26" t="s">
        <v>533</v>
      </c>
      <c r="C117" s="29" t="s">
        <v>1165</v>
      </c>
      <c r="D117" s="30">
        <v>46.2</v>
      </c>
      <c r="E117" s="24"/>
      <c r="F117" s="24"/>
      <c r="G117" s="24" t="s">
        <v>1022</v>
      </c>
      <c r="H117" s="24"/>
      <c r="I117" s="24"/>
      <c r="J117" s="24"/>
      <c r="K117" s="24"/>
      <c r="L117" s="24"/>
      <c r="M117" s="5">
        <f t="shared" si="2"/>
        <v>46.2</v>
      </c>
      <c r="N117" s="5">
        <f t="shared" si="3"/>
        <v>0</v>
      </c>
      <c r="O117" s="25"/>
    </row>
    <row r="118" spans="1:15" hidden="1" x14ac:dyDescent="0.3">
      <c r="A118" s="24"/>
      <c r="B118" s="26" t="s">
        <v>533</v>
      </c>
      <c r="C118" s="29" t="s">
        <v>1166</v>
      </c>
      <c r="D118" s="30">
        <f>18.64+29.16</f>
        <v>47.8</v>
      </c>
      <c r="E118" s="24"/>
      <c r="F118" s="24"/>
      <c r="G118" s="24" t="s">
        <v>1022</v>
      </c>
      <c r="H118" s="24"/>
      <c r="I118" s="24"/>
      <c r="J118" s="24"/>
      <c r="K118" s="24"/>
      <c r="L118" s="24"/>
      <c r="M118" s="5">
        <f t="shared" si="2"/>
        <v>47.8</v>
      </c>
      <c r="N118" s="5">
        <f t="shared" si="3"/>
        <v>0</v>
      </c>
      <c r="O118" s="25"/>
    </row>
    <row r="119" spans="1:15" hidden="1" x14ac:dyDescent="0.3">
      <c r="A119" s="24"/>
      <c r="B119" s="26" t="s">
        <v>533</v>
      </c>
      <c r="C119" s="29" t="s">
        <v>1167</v>
      </c>
      <c r="D119" s="30">
        <v>16.38</v>
      </c>
      <c r="E119" s="24"/>
      <c r="F119" s="24"/>
      <c r="G119" s="24" t="s">
        <v>1022</v>
      </c>
      <c r="H119" s="24"/>
      <c r="I119" s="24"/>
      <c r="J119" s="24"/>
      <c r="K119" s="24"/>
      <c r="L119" s="24"/>
      <c r="M119" s="5">
        <f t="shared" si="2"/>
        <v>16.38</v>
      </c>
      <c r="N119" s="5">
        <f t="shared" si="3"/>
        <v>0</v>
      </c>
      <c r="O119" s="25"/>
    </row>
    <row r="120" spans="1:15" hidden="1" x14ac:dyDescent="0.3">
      <c r="A120" s="24"/>
      <c r="B120" s="26" t="s">
        <v>533</v>
      </c>
      <c r="C120" s="29" t="s">
        <v>1168</v>
      </c>
      <c r="D120" s="30">
        <v>16.3</v>
      </c>
      <c r="E120" s="24"/>
      <c r="F120" s="24"/>
      <c r="G120" s="24" t="s">
        <v>1022</v>
      </c>
      <c r="H120" s="24"/>
      <c r="I120" s="24"/>
      <c r="J120" s="24"/>
      <c r="K120" s="24"/>
      <c r="L120" s="24"/>
      <c r="M120" s="5">
        <f t="shared" si="2"/>
        <v>16.3</v>
      </c>
      <c r="N120" s="5">
        <f t="shared" si="3"/>
        <v>0</v>
      </c>
      <c r="O120" s="25"/>
    </row>
    <row r="121" spans="1:15" hidden="1" x14ac:dyDescent="0.3">
      <c r="A121" s="24"/>
      <c r="B121" s="26" t="s">
        <v>533</v>
      </c>
      <c r="C121" s="29" t="s">
        <v>1169</v>
      </c>
      <c r="D121" s="30">
        <v>42</v>
      </c>
      <c r="E121" s="24"/>
      <c r="F121" s="24"/>
      <c r="G121" s="24" t="s">
        <v>1022</v>
      </c>
      <c r="H121" s="24"/>
      <c r="I121" s="24"/>
      <c r="J121" s="24"/>
      <c r="K121" s="24"/>
      <c r="L121" s="24"/>
      <c r="M121" s="5">
        <f t="shared" si="2"/>
        <v>42</v>
      </c>
      <c r="N121" s="5">
        <f t="shared" si="3"/>
        <v>0</v>
      </c>
      <c r="O121" s="25"/>
    </row>
    <row r="122" spans="1:15" hidden="1" x14ac:dyDescent="0.3">
      <c r="A122" s="24"/>
      <c r="B122" s="26" t="s">
        <v>533</v>
      </c>
      <c r="C122" s="29" t="s">
        <v>1170</v>
      </c>
      <c r="D122" s="30">
        <v>23.7</v>
      </c>
      <c r="E122" s="24"/>
      <c r="F122" s="24"/>
      <c r="G122" s="24" t="s">
        <v>1022</v>
      </c>
      <c r="H122" s="24"/>
      <c r="I122" s="24"/>
      <c r="J122" s="24"/>
      <c r="K122" s="24"/>
      <c r="L122" s="24"/>
      <c r="M122" s="5">
        <f t="shared" si="2"/>
        <v>23.7</v>
      </c>
      <c r="N122" s="5">
        <f t="shared" si="3"/>
        <v>0</v>
      </c>
      <c r="O122" s="25"/>
    </row>
    <row r="123" spans="1:15" hidden="1" x14ac:dyDescent="0.3">
      <c r="A123" s="24"/>
      <c r="B123" s="26" t="s">
        <v>533</v>
      </c>
      <c r="C123" s="29" t="s">
        <v>1171</v>
      </c>
      <c r="D123" s="30">
        <v>23.7</v>
      </c>
      <c r="E123" s="24"/>
      <c r="F123" s="24"/>
      <c r="G123" s="24" t="s">
        <v>1022</v>
      </c>
      <c r="H123" s="24"/>
      <c r="I123" s="24"/>
      <c r="J123" s="24"/>
      <c r="K123" s="24"/>
      <c r="L123" s="24"/>
      <c r="M123" s="5">
        <f t="shared" si="2"/>
        <v>23.7</v>
      </c>
      <c r="N123" s="5">
        <f t="shared" si="3"/>
        <v>0</v>
      </c>
      <c r="O123" s="25"/>
    </row>
    <row r="124" spans="1:15" hidden="1" x14ac:dyDescent="0.3">
      <c r="A124" s="24"/>
      <c r="B124" s="26" t="s">
        <v>533</v>
      </c>
      <c r="C124" s="29" t="s">
        <v>1172</v>
      </c>
      <c r="D124" s="30">
        <v>49.66</v>
      </c>
      <c r="E124" s="24"/>
      <c r="F124" s="24"/>
      <c r="G124" s="24" t="s">
        <v>1022</v>
      </c>
      <c r="H124" s="24"/>
      <c r="I124" s="24"/>
      <c r="J124" s="24"/>
      <c r="K124" s="24"/>
      <c r="L124" s="24"/>
      <c r="M124" s="5">
        <f t="shared" si="2"/>
        <v>49.66</v>
      </c>
      <c r="N124" s="5">
        <f t="shared" si="3"/>
        <v>0</v>
      </c>
      <c r="O124" s="25"/>
    </row>
    <row r="125" spans="1:15" hidden="1" x14ac:dyDescent="0.3">
      <c r="A125" s="24"/>
      <c r="B125" s="26" t="s">
        <v>533</v>
      </c>
      <c r="C125" s="29" t="s">
        <v>1173</v>
      </c>
      <c r="D125" s="30">
        <v>23.4</v>
      </c>
      <c r="E125" s="24"/>
      <c r="F125" s="24"/>
      <c r="G125" s="24" t="s">
        <v>1022</v>
      </c>
      <c r="H125" s="24"/>
      <c r="I125" s="24"/>
      <c r="J125" s="24"/>
      <c r="K125" s="24"/>
      <c r="L125" s="24"/>
      <c r="M125" s="5">
        <f t="shared" si="2"/>
        <v>23.4</v>
      </c>
      <c r="N125" s="5">
        <f t="shared" si="3"/>
        <v>0</v>
      </c>
      <c r="O125" s="25"/>
    </row>
    <row r="126" spans="1:15" hidden="1" x14ac:dyDescent="0.3">
      <c r="A126" s="24"/>
      <c r="B126" s="26" t="s">
        <v>533</v>
      </c>
      <c r="C126" s="29" t="s">
        <v>1174</v>
      </c>
      <c r="D126" s="30">
        <v>27.82</v>
      </c>
      <c r="E126" s="24"/>
      <c r="F126" s="24"/>
      <c r="G126" s="24" t="s">
        <v>1022</v>
      </c>
      <c r="H126" s="24"/>
      <c r="I126" s="24"/>
      <c r="J126" s="24"/>
      <c r="K126" s="24"/>
      <c r="L126" s="24"/>
      <c r="M126" s="5">
        <f t="shared" si="2"/>
        <v>27.82</v>
      </c>
      <c r="N126" s="5">
        <f t="shared" si="3"/>
        <v>0</v>
      </c>
      <c r="O126" s="25"/>
    </row>
    <row r="127" spans="1:15" hidden="1" x14ac:dyDescent="0.3">
      <c r="A127" s="24"/>
      <c r="B127" s="26" t="s">
        <v>533</v>
      </c>
      <c r="C127" s="29" t="s">
        <v>1175</v>
      </c>
      <c r="D127" s="30">
        <v>30.47</v>
      </c>
      <c r="E127" s="24"/>
      <c r="F127" s="24"/>
      <c r="G127" s="24" t="s">
        <v>1022</v>
      </c>
      <c r="H127" s="24"/>
      <c r="I127" s="24"/>
      <c r="J127" s="24"/>
      <c r="K127" s="24"/>
      <c r="L127" s="24"/>
      <c r="M127" s="5">
        <f t="shared" si="2"/>
        <v>30.47</v>
      </c>
      <c r="N127" s="5">
        <f t="shared" si="3"/>
        <v>0</v>
      </c>
      <c r="O127" s="25"/>
    </row>
    <row r="128" spans="1:15" hidden="1" x14ac:dyDescent="0.3">
      <c r="A128" s="24"/>
      <c r="B128" s="26" t="s">
        <v>533</v>
      </c>
      <c r="C128" s="29" t="s">
        <v>1176</v>
      </c>
      <c r="D128" s="30">
        <v>29.48</v>
      </c>
      <c r="E128" s="24"/>
      <c r="F128" s="24"/>
      <c r="G128" s="24" t="s">
        <v>1022</v>
      </c>
      <c r="H128" s="24"/>
      <c r="I128" s="24"/>
      <c r="J128" s="24"/>
      <c r="K128" s="24"/>
      <c r="L128" s="24"/>
      <c r="M128" s="5">
        <f t="shared" si="2"/>
        <v>29.48</v>
      </c>
      <c r="N128" s="5">
        <f t="shared" si="3"/>
        <v>0</v>
      </c>
      <c r="O128" s="25"/>
    </row>
    <row r="129" spans="1:15" hidden="1" x14ac:dyDescent="0.3">
      <c r="A129" s="24"/>
      <c r="B129" s="26" t="s">
        <v>533</v>
      </c>
      <c r="C129" s="29" t="s">
        <v>1177</v>
      </c>
      <c r="D129" s="30">
        <v>18.32</v>
      </c>
      <c r="E129" s="24"/>
      <c r="F129" s="24"/>
      <c r="G129" s="24" t="s">
        <v>1022</v>
      </c>
      <c r="H129" s="24"/>
      <c r="I129" s="24"/>
      <c r="J129" s="24"/>
      <c r="K129" s="24"/>
      <c r="L129" s="24"/>
      <c r="M129" s="5">
        <f t="shared" si="2"/>
        <v>18.32</v>
      </c>
      <c r="N129" s="5">
        <f t="shared" si="3"/>
        <v>0</v>
      </c>
      <c r="O129" s="25"/>
    </row>
    <row r="130" spans="1:15" hidden="1" x14ac:dyDescent="0.3">
      <c r="A130" s="24"/>
      <c r="B130" s="26" t="s">
        <v>533</v>
      </c>
      <c r="C130" s="29" t="s">
        <v>1178</v>
      </c>
      <c r="D130" s="30">
        <v>18.32</v>
      </c>
      <c r="E130" s="24"/>
      <c r="F130" s="24"/>
      <c r="G130" s="24" t="s">
        <v>1022</v>
      </c>
      <c r="H130" s="24"/>
      <c r="I130" s="24"/>
      <c r="J130" s="24"/>
      <c r="K130" s="24"/>
      <c r="L130" s="24"/>
      <c r="M130" s="5">
        <f t="shared" si="2"/>
        <v>18.32</v>
      </c>
      <c r="N130" s="5">
        <f t="shared" si="3"/>
        <v>0</v>
      </c>
      <c r="O130" s="25"/>
    </row>
    <row r="131" spans="1:15" hidden="1" x14ac:dyDescent="0.3">
      <c r="A131" s="24"/>
      <c r="B131" s="26" t="s">
        <v>533</v>
      </c>
      <c r="C131" s="29" t="s">
        <v>1179</v>
      </c>
      <c r="D131" s="30">
        <v>29.93</v>
      </c>
      <c r="E131" s="24"/>
      <c r="F131" s="24"/>
      <c r="G131" s="24" t="s">
        <v>1022</v>
      </c>
      <c r="H131" s="24"/>
      <c r="I131" s="24"/>
      <c r="J131" s="24"/>
      <c r="K131" s="24"/>
      <c r="L131" s="24"/>
      <c r="M131" s="5">
        <f t="shared" ref="M131:M194" si="4">IF(G131="已出租",D131,0)</f>
        <v>29.93</v>
      </c>
      <c r="N131" s="5">
        <f t="shared" ref="N131:N194" si="5">IF(G131="未出租",D131,0)</f>
        <v>0</v>
      </c>
      <c r="O131" s="25"/>
    </row>
    <row r="132" spans="1:15" hidden="1" x14ac:dyDescent="0.3">
      <c r="A132" s="24"/>
      <c r="B132" s="26" t="s">
        <v>533</v>
      </c>
      <c r="C132" s="29" t="s">
        <v>1180</v>
      </c>
      <c r="D132" s="30">
        <v>14.3</v>
      </c>
      <c r="E132" s="24"/>
      <c r="F132" s="24"/>
      <c r="G132" s="24" t="s">
        <v>1022</v>
      </c>
      <c r="H132" s="24"/>
      <c r="I132" s="24"/>
      <c r="J132" s="24"/>
      <c r="K132" s="24"/>
      <c r="L132" s="24"/>
      <c r="M132" s="5">
        <f t="shared" si="4"/>
        <v>14.3</v>
      </c>
      <c r="N132" s="5">
        <f t="shared" si="5"/>
        <v>0</v>
      </c>
      <c r="O132" s="25"/>
    </row>
    <row r="133" spans="1:15" hidden="1" x14ac:dyDescent="0.3">
      <c r="A133" s="24"/>
      <c r="B133" s="26" t="s">
        <v>533</v>
      </c>
      <c r="C133" s="29" t="s">
        <v>1181</v>
      </c>
      <c r="D133" s="30">
        <v>16.3</v>
      </c>
      <c r="E133" s="24"/>
      <c r="F133" s="24"/>
      <c r="G133" s="24" t="s">
        <v>1022</v>
      </c>
      <c r="H133" s="24"/>
      <c r="I133" s="24"/>
      <c r="J133" s="24"/>
      <c r="K133" s="24"/>
      <c r="L133" s="24"/>
      <c r="M133" s="5">
        <f t="shared" si="4"/>
        <v>16.3</v>
      </c>
      <c r="N133" s="5">
        <f t="shared" si="5"/>
        <v>0</v>
      </c>
      <c r="O133" s="25"/>
    </row>
    <row r="134" spans="1:15" hidden="1" x14ac:dyDescent="0.3">
      <c r="A134" s="24"/>
      <c r="B134" s="26" t="s">
        <v>533</v>
      </c>
      <c r="C134" s="29" t="s">
        <v>1182</v>
      </c>
      <c r="D134" s="30">
        <v>13.8</v>
      </c>
      <c r="E134" s="24"/>
      <c r="F134" s="24"/>
      <c r="G134" s="24" t="s">
        <v>1022</v>
      </c>
      <c r="H134" s="24"/>
      <c r="I134" s="24"/>
      <c r="J134" s="24"/>
      <c r="K134" s="24"/>
      <c r="L134" s="24"/>
      <c r="M134" s="5">
        <f t="shared" si="4"/>
        <v>13.8</v>
      </c>
      <c r="N134" s="5">
        <f t="shared" si="5"/>
        <v>0</v>
      </c>
      <c r="O134" s="25"/>
    </row>
    <row r="135" spans="1:15" hidden="1" x14ac:dyDescent="0.3">
      <c r="A135" s="24"/>
      <c r="B135" s="26" t="s">
        <v>533</v>
      </c>
      <c r="C135" s="29" t="s">
        <v>1183</v>
      </c>
      <c r="D135" s="30">
        <v>15.8</v>
      </c>
      <c r="E135" s="24"/>
      <c r="F135" s="24"/>
      <c r="G135" s="24" t="s">
        <v>1022</v>
      </c>
      <c r="H135" s="24"/>
      <c r="I135" s="24"/>
      <c r="J135" s="24"/>
      <c r="K135" s="24"/>
      <c r="L135" s="24"/>
      <c r="M135" s="5">
        <f t="shared" si="4"/>
        <v>15.8</v>
      </c>
      <c r="N135" s="5">
        <f t="shared" si="5"/>
        <v>0</v>
      </c>
      <c r="O135" s="25"/>
    </row>
    <row r="136" spans="1:15" hidden="1" x14ac:dyDescent="0.3">
      <c r="A136" s="24"/>
      <c r="B136" s="26" t="s">
        <v>533</v>
      </c>
      <c r="C136" s="29" t="s">
        <v>1184</v>
      </c>
      <c r="D136" s="30">
        <v>22.5</v>
      </c>
      <c r="E136" s="24"/>
      <c r="F136" s="24"/>
      <c r="G136" s="24" t="s">
        <v>1022</v>
      </c>
      <c r="H136" s="24"/>
      <c r="I136" s="24"/>
      <c r="J136" s="24"/>
      <c r="K136" s="24"/>
      <c r="L136" s="24"/>
      <c r="M136" s="5">
        <f t="shared" si="4"/>
        <v>22.5</v>
      </c>
      <c r="N136" s="5">
        <f t="shared" si="5"/>
        <v>0</v>
      </c>
      <c r="O136" s="25"/>
    </row>
    <row r="137" spans="1:15" hidden="1" x14ac:dyDescent="0.3">
      <c r="A137" s="24"/>
      <c r="B137" s="26" t="s">
        <v>533</v>
      </c>
      <c r="C137" s="29" t="s">
        <v>1185</v>
      </c>
      <c r="D137" s="30">
        <v>20.7</v>
      </c>
      <c r="E137" s="24"/>
      <c r="F137" s="24"/>
      <c r="G137" s="24" t="s">
        <v>1022</v>
      </c>
      <c r="H137" s="24"/>
      <c r="I137" s="24"/>
      <c r="J137" s="24"/>
      <c r="K137" s="24"/>
      <c r="L137" s="24"/>
      <c r="M137" s="5">
        <f t="shared" si="4"/>
        <v>20.7</v>
      </c>
      <c r="N137" s="5">
        <f t="shared" si="5"/>
        <v>0</v>
      </c>
      <c r="O137" s="25"/>
    </row>
    <row r="138" spans="1:15" hidden="1" x14ac:dyDescent="0.3">
      <c r="A138" s="24"/>
      <c r="B138" s="26" t="s">
        <v>533</v>
      </c>
      <c r="C138" s="29" t="s">
        <v>1186</v>
      </c>
      <c r="D138" s="30">
        <v>50.4</v>
      </c>
      <c r="E138" s="24"/>
      <c r="F138" s="24"/>
      <c r="G138" s="24" t="s">
        <v>1022</v>
      </c>
      <c r="H138" s="24"/>
      <c r="I138" s="24"/>
      <c r="J138" s="24"/>
      <c r="K138" s="24"/>
      <c r="L138" s="24"/>
      <c r="M138" s="5">
        <f t="shared" si="4"/>
        <v>50.4</v>
      </c>
      <c r="N138" s="5">
        <f t="shared" si="5"/>
        <v>0</v>
      </c>
      <c r="O138" s="25"/>
    </row>
    <row r="139" spans="1:15" hidden="1" x14ac:dyDescent="0.3">
      <c r="A139" s="24"/>
      <c r="B139" s="26" t="s">
        <v>533</v>
      </c>
      <c r="C139" s="29" t="s">
        <v>1187</v>
      </c>
      <c r="D139" s="30">
        <v>34.520000000000003</v>
      </c>
      <c r="E139" s="24"/>
      <c r="F139" s="24"/>
      <c r="G139" s="24" t="s">
        <v>1022</v>
      </c>
      <c r="H139" s="24"/>
      <c r="I139" s="24"/>
      <c r="J139" s="24"/>
      <c r="K139" s="24"/>
      <c r="L139" s="24"/>
      <c r="M139" s="5">
        <f t="shared" si="4"/>
        <v>34.520000000000003</v>
      </c>
      <c r="N139" s="5">
        <f t="shared" si="5"/>
        <v>0</v>
      </c>
      <c r="O139" s="25"/>
    </row>
    <row r="140" spans="1:15" hidden="1" x14ac:dyDescent="0.3">
      <c r="A140" s="24"/>
      <c r="B140" s="26" t="s">
        <v>533</v>
      </c>
      <c r="C140" s="29" t="s">
        <v>1188</v>
      </c>
      <c r="D140" s="30">
        <v>33.159999999999997</v>
      </c>
      <c r="E140" s="24"/>
      <c r="F140" s="24"/>
      <c r="G140" s="24" t="s">
        <v>1022</v>
      </c>
      <c r="H140" s="24"/>
      <c r="I140" s="24"/>
      <c r="J140" s="24"/>
      <c r="K140" s="24"/>
      <c r="L140" s="24"/>
      <c r="M140" s="5">
        <f t="shared" si="4"/>
        <v>33.159999999999997</v>
      </c>
      <c r="N140" s="5">
        <f t="shared" si="5"/>
        <v>0</v>
      </c>
      <c r="O140" s="25"/>
    </row>
    <row r="141" spans="1:15" hidden="1" x14ac:dyDescent="0.3">
      <c r="A141" s="24"/>
      <c r="B141" s="26" t="s">
        <v>533</v>
      </c>
      <c r="C141" s="29" t="s">
        <v>1189</v>
      </c>
      <c r="D141" s="30">
        <v>35</v>
      </c>
      <c r="E141" s="24"/>
      <c r="F141" s="24"/>
      <c r="G141" s="24" t="s">
        <v>1022</v>
      </c>
      <c r="H141" s="24"/>
      <c r="I141" s="24"/>
      <c r="J141" s="24"/>
      <c r="K141" s="24"/>
      <c r="L141" s="24"/>
      <c r="M141" s="5">
        <f t="shared" si="4"/>
        <v>35</v>
      </c>
      <c r="N141" s="5">
        <f t="shared" si="5"/>
        <v>0</v>
      </c>
      <c r="O141" s="25"/>
    </row>
    <row r="142" spans="1:15" hidden="1" x14ac:dyDescent="0.3">
      <c r="A142" s="24"/>
      <c r="B142" s="26" t="s">
        <v>533</v>
      </c>
      <c r="C142" s="29" t="s">
        <v>1190</v>
      </c>
      <c r="D142" s="30">
        <v>21.6</v>
      </c>
      <c r="E142" s="24"/>
      <c r="F142" s="24"/>
      <c r="G142" s="24" t="s">
        <v>1022</v>
      </c>
      <c r="H142" s="24"/>
      <c r="I142" s="24"/>
      <c r="J142" s="24"/>
      <c r="K142" s="24"/>
      <c r="L142" s="24"/>
      <c r="M142" s="5">
        <f t="shared" si="4"/>
        <v>21.6</v>
      </c>
      <c r="N142" s="5">
        <f t="shared" si="5"/>
        <v>0</v>
      </c>
      <c r="O142" s="25"/>
    </row>
    <row r="143" spans="1:15" hidden="1" x14ac:dyDescent="0.3">
      <c r="A143" s="24"/>
      <c r="B143" s="26" t="s">
        <v>533</v>
      </c>
      <c r="C143" s="29" t="s">
        <v>1191</v>
      </c>
      <c r="D143" s="30">
        <v>23.5</v>
      </c>
      <c r="E143" s="24"/>
      <c r="F143" s="24"/>
      <c r="G143" s="24" t="s">
        <v>1022</v>
      </c>
      <c r="H143" s="24"/>
      <c r="I143" s="24"/>
      <c r="J143" s="24"/>
      <c r="K143" s="24"/>
      <c r="L143" s="24"/>
      <c r="M143" s="5">
        <f t="shared" si="4"/>
        <v>23.5</v>
      </c>
      <c r="N143" s="5">
        <f t="shared" si="5"/>
        <v>0</v>
      </c>
      <c r="O143" s="25"/>
    </row>
    <row r="144" spans="1:15" hidden="1" x14ac:dyDescent="0.3">
      <c r="A144" s="24"/>
      <c r="B144" s="26" t="s">
        <v>533</v>
      </c>
      <c r="C144" s="29" t="s">
        <v>1192</v>
      </c>
      <c r="D144" s="30">
        <v>16.5</v>
      </c>
      <c r="E144" s="24"/>
      <c r="F144" s="24"/>
      <c r="G144" s="24" t="s">
        <v>1022</v>
      </c>
      <c r="H144" s="24"/>
      <c r="I144" s="24"/>
      <c r="J144" s="24"/>
      <c r="K144" s="24"/>
      <c r="L144" s="24"/>
      <c r="M144" s="5">
        <f t="shared" si="4"/>
        <v>16.5</v>
      </c>
      <c r="N144" s="5">
        <f t="shared" si="5"/>
        <v>0</v>
      </c>
      <c r="O144" s="25"/>
    </row>
    <row r="145" spans="1:15" hidden="1" x14ac:dyDescent="0.3">
      <c r="A145" s="24"/>
      <c r="B145" s="26" t="s">
        <v>533</v>
      </c>
      <c r="C145" s="29" t="s">
        <v>1193</v>
      </c>
      <c r="D145" s="30">
        <v>16.5</v>
      </c>
      <c r="E145" s="24"/>
      <c r="F145" s="24"/>
      <c r="G145" s="24" t="s">
        <v>1022</v>
      </c>
      <c r="H145" s="24"/>
      <c r="I145" s="24"/>
      <c r="J145" s="24"/>
      <c r="K145" s="24"/>
      <c r="L145" s="24"/>
      <c r="M145" s="5">
        <f t="shared" si="4"/>
        <v>16.5</v>
      </c>
      <c r="N145" s="5">
        <f t="shared" si="5"/>
        <v>0</v>
      </c>
      <c r="O145" s="25"/>
    </row>
    <row r="146" spans="1:15" hidden="1" x14ac:dyDescent="0.3">
      <c r="A146" s="24"/>
      <c r="B146" s="26" t="s">
        <v>533</v>
      </c>
      <c r="C146" s="29" t="s">
        <v>1194</v>
      </c>
      <c r="D146" s="30">
        <v>17</v>
      </c>
      <c r="E146" s="24"/>
      <c r="F146" s="24"/>
      <c r="G146" s="24" t="s">
        <v>1022</v>
      </c>
      <c r="H146" s="24"/>
      <c r="I146" s="24"/>
      <c r="J146" s="24"/>
      <c r="K146" s="24"/>
      <c r="L146" s="24"/>
      <c r="M146" s="5">
        <f t="shared" si="4"/>
        <v>17</v>
      </c>
      <c r="N146" s="5">
        <f t="shared" si="5"/>
        <v>0</v>
      </c>
      <c r="O146" s="25"/>
    </row>
    <row r="147" spans="1:15" hidden="1" x14ac:dyDescent="0.3">
      <c r="A147" s="24"/>
      <c r="B147" s="26" t="s">
        <v>533</v>
      </c>
      <c r="C147" s="29" t="s">
        <v>1195</v>
      </c>
      <c r="D147" s="30">
        <v>17</v>
      </c>
      <c r="E147" s="24"/>
      <c r="F147" s="24"/>
      <c r="G147" s="24" t="s">
        <v>1022</v>
      </c>
      <c r="H147" s="24"/>
      <c r="I147" s="24"/>
      <c r="J147" s="24"/>
      <c r="K147" s="24"/>
      <c r="L147" s="24"/>
      <c r="M147" s="5">
        <f t="shared" si="4"/>
        <v>17</v>
      </c>
      <c r="N147" s="5">
        <f t="shared" si="5"/>
        <v>0</v>
      </c>
      <c r="O147" s="25"/>
    </row>
    <row r="148" spans="1:15" hidden="1" x14ac:dyDescent="0.3">
      <c r="A148" s="24"/>
      <c r="B148" s="26" t="s">
        <v>533</v>
      </c>
      <c r="C148" s="29" t="s">
        <v>1196</v>
      </c>
      <c r="D148" s="30">
        <v>20.56</v>
      </c>
      <c r="E148" s="24"/>
      <c r="F148" s="24"/>
      <c r="G148" s="24" t="s">
        <v>1022</v>
      </c>
      <c r="H148" s="24"/>
      <c r="I148" s="24"/>
      <c r="J148" s="24"/>
      <c r="K148" s="24"/>
      <c r="L148" s="24"/>
      <c r="M148" s="5">
        <f t="shared" si="4"/>
        <v>20.56</v>
      </c>
      <c r="N148" s="5">
        <f t="shared" si="5"/>
        <v>0</v>
      </c>
      <c r="O148" s="25"/>
    </row>
    <row r="149" spans="1:15" hidden="1" x14ac:dyDescent="0.3">
      <c r="A149" s="24"/>
      <c r="B149" s="26" t="s">
        <v>533</v>
      </c>
      <c r="C149" s="29" t="s">
        <v>1197</v>
      </c>
      <c r="D149" s="30">
        <v>20.350000000000001</v>
      </c>
      <c r="E149" s="24"/>
      <c r="F149" s="24"/>
      <c r="G149" s="24" t="s">
        <v>1022</v>
      </c>
      <c r="H149" s="24"/>
      <c r="I149" s="24"/>
      <c r="J149" s="24"/>
      <c r="K149" s="24"/>
      <c r="L149" s="24"/>
      <c r="M149" s="5">
        <f t="shared" si="4"/>
        <v>20.350000000000001</v>
      </c>
      <c r="N149" s="5">
        <f t="shared" si="5"/>
        <v>0</v>
      </c>
      <c r="O149" s="25"/>
    </row>
    <row r="150" spans="1:15" hidden="1" x14ac:dyDescent="0.3">
      <c r="A150" s="24"/>
      <c r="B150" s="26" t="s">
        <v>533</v>
      </c>
      <c r="C150" s="29" t="s">
        <v>1198</v>
      </c>
      <c r="D150" s="30">
        <v>19.940000000000001</v>
      </c>
      <c r="E150" s="24"/>
      <c r="F150" s="24"/>
      <c r="G150" s="24" t="s">
        <v>1022</v>
      </c>
      <c r="H150" s="24"/>
      <c r="I150" s="24"/>
      <c r="J150" s="24"/>
      <c r="K150" s="24"/>
      <c r="L150" s="24"/>
      <c r="M150" s="5">
        <f t="shared" si="4"/>
        <v>19.940000000000001</v>
      </c>
      <c r="N150" s="5">
        <f t="shared" si="5"/>
        <v>0</v>
      </c>
      <c r="O150" s="25"/>
    </row>
    <row r="151" spans="1:15" hidden="1" x14ac:dyDescent="0.3">
      <c r="A151" s="24"/>
      <c r="B151" s="26" t="s">
        <v>533</v>
      </c>
      <c r="C151" s="29" t="s">
        <v>1199</v>
      </c>
      <c r="D151" s="30">
        <v>19.940000000000001</v>
      </c>
      <c r="E151" s="24"/>
      <c r="F151" s="24"/>
      <c r="G151" s="24" t="s">
        <v>1022</v>
      </c>
      <c r="H151" s="24"/>
      <c r="I151" s="24"/>
      <c r="J151" s="24"/>
      <c r="K151" s="24"/>
      <c r="L151" s="24"/>
      <c r="M151" s="5">
        <f t="shared" si="4"/>
        <v>19.940000000000001</v>
      </c>
      <c r="N151" s="5">
        <f t="shared" si="5"/>
        <v>0</v>
      </c>
      <c r="O151" s="25"/>
    </row>
    <row r="152" spans="1:15" hidden="1" x14ac:dyDescent="0.3">
      <c r="A152" s="24"/>
      <c r="B152" s="26" t="s">
        <v>533</v>
      </c>
      <c r="C152" s="29" t="s">
        <v>1200</v>
      </c>
      <c r="D152" s="30">
        <v>20.28</v>
      </c>
      <c r="E152" s="24"/>
      <c r="F152" s="24"/>
      <c r="G152" s="24" t="s">
        <v>1022</v>
      </c>
      <c r="H152" s="24"/>
      <c r="I152" s="24"/>
      <c r="J152" s="24"/>
      <c r="K152" s="24"/>
      <c r="L152" s="24"/>
      <c r="M152" s="5">
        <f t="shared" si="4"/>
        <v>20.28</v>
      </c>
      <c r="N152" s="5">
        <f t="shared" si="5"/>
        <v>0</v>
      </c>
      <c r="O152" s="25"/>
    </row>
    <row r="153" spans="1:15" hidden="1" x14ac:dyDescent="0.3">
      <c r="A153" s="24"/>
      <c r="B153" s="26" t="s">
        <v>533</v>
      </c>
      <c r="C153" s="29" t="s">
        <v>1201</v>
      </c>
      <c r="D153" s="30">
        <v>19.920000000000002</v>
      </c>
      <c r="E153" s="24"/>
      <c r="F153" s="24"/>
      <c r="G153" s="24" t="s">
        <v>1022</v>
      </c>
      <c r="H153" s="24"/>
      <c r="I153" s="24"/>
      <c r="J153" s="24"/>
      <c r="K153" s="24"/>
      <c r="L153" s="24"/>
      <c r="M153" s="5">
        <f t="shared" si="4"/>
        <v>19.920000000000002</v>
      </c>
      <c r="N153" s="5">
        <f t="shared" si="5"/>
        <v>0</v>
      </c>
      <c r="O153" s="25"/>
    </row>
    <row r="154" spans="1:15" hidden="1" x14ac:dyDescent="0.3">
      <c r="A154" s="24"/>
      <c r="B154" s="26" t="s">
        <v>533</v>
      </c>
      <c r="C154" s="29" t="s">
        <v>1202</v>
      </c>
      <c r="D154" s="30">
        <v>19.920000000000002</v>
      </c>
      <c r="E154" s="24"/>
      <c r="F154" s="24"/>
      <c r="G154" s="24" t="s">
        <v>1022</v>
      </c>
      <c r="H154" s="24"/>
      <c r="I154" s="24"/>
      <c r="J154" s="24"/>
      <c r="K154" s="24"/>
      <c r="L154" s="24"/>
      <c r="M154" s="5">
        <f t="shared" si="4"/>
        <v>19.920000000000002</v>
      </c>
      <c r="N154" s="5">
        <f t="shared" si="5"/>
        <v>0</v>
      </c>
      <c r="O154" s="25"/>
    </row>
    <row r="155" spans="1:15" hidden="1" x14ac:dyDescent="0.3">
      <c r="A155" s="24"/>
      <c r="B155" s="26" t="s">
        <v>533</v>
      </c>
      <c r="C155" s="29" t="s">
        <v>1203</v>
      </c>
      <c r="D155" s="30">
        <v>22.12</v>
      </c>
      <c r="E155" s="24"/>
      <c r="F155" s="24"/>
      <c r="G155" s="24" t="s">
        <v>1022</v>
      </c>
      <c r="H155" s="24"/>
      <c r="I155" s="24"/>
      <c r="J155" s="24"/>
      <c r="K155" s="24"/>
      <c r="L155" s="24"/>
      <c r="M155" s="5">
        <f t="shared" si="4"/>
        <v>22.12</v>
      </c>
      <c r="N155" s="5">
        <f t="shared" si="5"/>
        <v>0</v>
      </c>
      <c r="O155" s="25"/>
    </row>
    <row r="156" spans="1:15" hidden="1" x14ac:dyDescent="0.3">
      <c r="A156" s="24"/>
      <c r="B156" s="26" t="s">
        <v>533</v>
      </c>
      <c r="C156" s="29" t="s">
        <v>1204</v>
      </c>
      <c r="D156" s="30">
        <v>20.5</v>
      </c>
      <c r="E156" s="24"/>
      <c r="F156" s="24"/>
      <c r="G156" s="24" t="s">
        <v>1022</v>
      </c>
      <c r="H156" s="24"/>
      <c r="I156" s="24"/>
      <c r="J156" s="24"/>
      <c r="K156" s="24"/>
      <c r="L156" s="24"/>
      <c r="M156" s="5">
        <f t="shared" si="4"/>
        <v>20.5</v>
      </c>
      <c r="N156" s="5">
        <f t="shared" si="5"/>
        <v>0</v>
      </c>
      <c r="O156" s="25"/>
    </row>
    <row r="157" spans="1:15" hidden="1" x14ac:dyDescent="0.3">
      <c r="A157" s="24"/>
      <c r="B157" s="26" t="s">
        <v>533</v>
      </c>
      <c r="C157" s="29" t="s">
        <v>1205</v>
      </c>
      <c r="D157" s="30">
        <v>30.03</v>
      </c>
      <c r="E157" s="24"/>
      <c r="F157" s="24"/>
      <c r="G157" s="24" t="s">
        <v>1022</v>
      </c>
      <c r="H157" s="24"/>
      <c r="I157" s="24"/>
      <c r="J157" s="24"/>
      <c r="K157" s="24"/>
      <c r="L157" s="24"/>
      <c r="M157" s="5">
        <f t="shared" si="4"/>
        <v>30.03</v>
      </c>
      <c r="N157" s="5">
        <f t="shared" si="5"/>
        <v>0</v>
      </c>
      <c r="O157" s="25"/>
    </row>
    <row r="158" spans="1:15" hidden="1" x14ac:dyDescent="0.3">
      <c r="A158" s="24"/>
      <c r="B158" s="26" t="s">
        <v>533</v>
      </c>
      <c r="C158" s="29" t="s">
        <v>1206</v>
      </c>
      <c r="D158" s="30">
        <v>22.32</v>
      </c>
      <c r="E158" s="24"/>
      <c r="F158" s="24"/>
      <c r="G158" s="24" t="s">
        <v>1022</v>
      </c>
      <c r="H158" s="24"/>
      <c r="I158" s="24"/>
      <c r="J158" s="24"/>
      <c r="K158" s="24"/>
      <c r="L158" s="24"/>
      <c r="M158" s="5">
        <f t="shared" si="4"/>
        <v>22.32</v>
      </c>
      <c r="N158" s="5">
        <f t="shared" si="5"/>
        <v>0</v>
      </c>
      <c r="O158" s="25"/>
    </row>
    <row r="159" spans="1:15" hidden="1" x14ac:dyDescent="0.3">
      <c r="A159" s="24"/>
      <c r="B159" s="26" t="s">
        <v>533</v>
      </c>
      <c r="C159" s="29" t="s">
        <v>1207</v>
      </c>
      <c r="D159" s="30">
        <v>22.32</v>
      </c>
      <c r="E159" s="24"/>
      <c r="F159" s="24"/>
      <c r="G159" s="24" t="s">
        <v>1022</v>
      </c>
      <c r="H159" s="24"/>
      <c r="I159" s="24"/>
      <c r="J159" s="24"/>
      <c r="K159" s="24"/>
      <c r="L159" s="24"/>
      <c r="M159" s="5">
        <f t="shared" si="4"/>
        <v>22.32</v>
      </c>
      <c r="N159" s="5">
        <f t="shared" si="5"/>
        <v>0</v>
      </c>
      <c r="O159" s="25"/>
    </row>
    <row r="160" spans="1:15" hidden="1" x14ac:dyDescent="0.3">
      <c r="A160" s="24"/>
      <c r="B160" s="26" t="s">
        <v>533</v>
      </c>
      <c r="C160" s="29" t="s">
        <v>1208</v>
      </c>
      <c r="D160" s="30">
        <v>39.35</v>
      </c>
      <c r="E160" s="24"/>
      <c r="F160" s="24"/>
      <c r="G160" s="24" t="s">
        <v>1022</v>
      </c>
      <c r="H160" s="24"/>
      <c r="I160" s="24"/>
      <c r="J160" s="24"/>
      <c r="K160" s="24"/>
      <c r="L160" s="24"/>
      <c r="M160" s="5">
        <f t="shared" si="4"/>
        <v>39.35</v>
      </c>
      <c r="N160" s="5">
        <f t="shared" si="5"/>
        <v>0</v>
      </c>
      <c r="O160" s="25"/>
    </row>
    <row r="161" spans="1:15" hidden="1" x14ac:dyDescent="0.3">
      <c r="A161" s="24"/>
      <c r="B161" s="26" t="s">
        <v>533</v>
      </c>
      <c r="C161" s="29" t="s">
        <v>1209</v>
      </c>
      <c r="D161" s="30">
        <v>24.98</v>
      </c>
      <c r="E161" s="24"/>
      <c r="F161" s="24"/>
      <c r="G161" s="24" t="s">
        <v>1022</v>
      </c>
      <c r="H161" s="24"/>
      <c r="I161" s="24"/>
      <c r="J161" s="24"/>
      <c r="K161" s="24"/>
      <c r="L161" s="24"/>
      <c r="M161" s="5">
        <f t="shared" si="4"/>
        <v>24.98</v>
      </c>
      <c r="N161" s="5">
        <f t="shared" si="5"/>
        <v>0</v>
      </c>
      <c r="O161" s="25"/>
    </row>
    <row r="162" spans="1:15" hidden="1" x14ac:dyDescent="0.3">
      <c r="A162" s="24"/>
      <c r="B162" s="26" t="s">
        <v>533</v>
      </c>
      <c r="C162" s="29" t="s">
        <v>1210</v>
      </c>
      <c r="D162" s="30">
        <v>24.98</v>
      </c>
      <c r="E162" s="24"/>
      <c r="F162" s="24"/>
      <c r="G162" s="24" t="s">
        <v>1022</v>
      </c>
      <c r="H162" s="24"/>
      <c r="I162" s="24"/>
      <c r="J162" s="24"/>
      <c r="K162" s="24"/>
      <c r="L162" s="24"/>
      <c r="M162" s="5">
        <f t="shared" si="4"/>
        <v>24.98</v>
      </c>
      <c r="N162" s="5">
        <f t="shared" si="5"/>
        <v>0</v>
      </c>
      <c r="O162" s="25"/>
    </row>
    <row r="163" spans="1:15" hidden="1" x14ac:dyDescent="0.3">
      <c r="A163" s="24"/>
      <c r="B163" s="26" t="s">
        <v>533</v>
      </c>
      <c r="C163" s="29" t="s">
        <v>1211</v>
      </c>
      <c r="D163" s="30">
        <v>40.58</v>
      </c>
      <c r="E163" s="24"/>
      <c r="F163" s="24"/>
      <c r="G163" s="24" t="s">
        <v>1022</v>
      </c>
      <c r="H163" s="24"/>
      <c r="I163" s="24"/>
      <c r="J163" s="24"/>
      <c r="K163" s="24"/>
      <c r="L163" s="24"/>
      <c r="M163" s="5">
        <f t="shared" si="4"/>
        <v>40.58</v>
      </c>
      <c r="N163" s="5">
        <f t="shared" si="5"/>
        <v>0</v>
      </c>
      <c r="O163" s="25"/>
    </row>
    <row r="164" spans="1:15" hidden="1" x14ac:dyDescent="0.3">
      <c r="A164" s="24"/>
      <c r="B164" s="26" t="s">
        <v>533</v>
      </c>
      <c r="C164" s="29" t="s">
        <v>1212</v>
      </c>
      <c r="D164" s="30">
        <v>22.78</v>
      </c>
      <c r="E164" s="24"/>
      <c r="F164" s="24"/>
      <c r="G164" s="24" t="s">
        <v>1022</v>
      </c>
      <c r="H164" s="24"/>
      <c r="I164" s="24"/>
      <c r="J164" s="24"/>
      <c r="K164" s="24"/>
      <c r="L164" s="24"/>
      <c r="M164" s="5">
        <f t="shared" si="4"/>
        <v>22.78</v>
      </c>
      <c r="N164" s="5">
        <f t="shared" si="5"/>
        <v>0</v>
      </c>
      <c r="O164" s="25"/>
    </row>
    <row r="165" spans="1:15" hidden="1" x14ac:dyDescent="0.3">
      <c r="A165" s="24"/>
      <c r="B165" s="26" t="s">
        <v>533</v>
      </c>
      <c r="C165" s="29" t="s">
        <v>1213</v>
      </c>
      <c r="D165" s="30">
        <v>22.78</v>
      </c>
      <c r="E165" s="24"/>
      <c r="F165" s="24"/>
      <c r="G165" s="24" t="s">
        <v>1022</v>
      </c>
      <c r="H165" s="24"/>
      <c r="I165" s="24"/>
      <c r="J165" s="24"/>
      <c r="K165" s="24"/>
      <c r="L165" s="24"/>
      <c r="M165" s="5">
        <f t="shared" si="4"/>
        <v>22.78</v>
      </c>
      <c r="N165" s="5">
        <f t="shared" si="5"/>
        <v>0</v>
      </c>
      <c r="O165" s="25"/>
    </row>
    <row r="166" spans="1:15" hidden="1" x14ac:dyDescent="0.3">
      <c r="A166" s="24"/>
      <c r="B166" s="26" t="s">
        <v>533</v>
      </c>
      <c r="C166" s="29" t="s">
        <v>1214</v>
      </c>
      <c r="D166" s="30">
        <v>22.78</v>
      </c>
      <c r="E166" s="24"/>
      <c r="F166" s="24"/>
      <c r="G166" s="24" t="s">
        <v>1022</v>
      </c>
      <c r="H166" s="24"/>
      <c r="I166" s="24"/>
      <c r="J166" s="24"/>
      <c r="K166" s="24"/>
      <c r="L166" s="24"/>
      <c r="M166" s="5">
        <f t="shared" si="4"/>
        <v>22.78</v>
      </c>
      <c r="N166" s="5">
        <f t="shared" si="5"/>
        <v>0</v>
      </c>
      <c r="O166" s="25"/>
    </row>
    <row r="167" spans="1:15" hidden="1" x14ac:dyDescent="0.3">
      <c r="A167" s="24"/>
      <c r="B167" s="26" t="s">
        <v>533</v>
      </c>
      <c r="C167" s="29" t="s">
        <v>1215</v>
      </c>
      <c r="D167" s="30">
        <v>22.78</v>
      </c>
      <c r="E167" s="24"/>
      <c r="F167" s="24"/>
      <c r="G167" s="24" t="s">
        <v>1022</v>
      </c>
      <c r="H167" s="24"/>
      <c r="I167" s="24"/>
      <c r="J167" s="24"/>
      <c r="K167" s="24"/>
      <c r="L167" s="24"/>
      <c r="M167" s="5">
        <f t="shared" si="4"/>
        <v>22.78</v>
      </c>
      <c r="N167" s="5">
        <f t="shared" si="5"/>
        <v>0</v>
      </c>
      <c r="O167" s="25"/>
    </row>
    <row r="168" spans="1:15" hidden="1" x14ac:dyDescent="0.3">
      <c r="A168" s="24"/>
      <c r="B168" s="26" t="s">
        <v>533</v>
      </c>
      <c r="C168" s="29" t="s">
        <v>1216</v>
      </c>
      <c r="D168" s="30">
        <v>41.41</v>
      </c>
      <c r="E168" s="24"/>
      <c r="F168" s="24"/>
      <c r="G168" s="24" t="s">
        <v>1022</v>
      </c>
      <c r="H168" s="24"/>
      <c r="I168" s="24"/>
      <c r="J168" s="24"/>
      <c r="K168" s="24"/>
      <c r="L168" s="24"/>
      <c r="M168" s="5">
        <f t="shared" si="4"/>
        <v>41.41</v>
      </c>
      <c r="N168" s="5">
        <f t="shared" si="5"/>
        <v>0</v>
      </c>
      <c r="O168" s="25"/>
    </row>
    <row r="169" spans="1:15" hidden="1" x14ac:dyDescent="0.3">
      <c r="A169" s="24"/>
      <c r="B169" s="26" t="s">
        <v>533</v>
      </c>
      <c r="C169" s="29" t="s">
        <v>1217</v>
      </c>
      <c r="D169" s="30">
        <v>21.73</v>
      </c>
      <c r="E169" s="24"/>
      <c r="F169" s="24"/>
      <c r="G169" s="24" t="s">
        <v>1022</v>
      </c>
      <c r="H169" s="24"/>
      <c r="I169" s="24"/>
      <c r="J169" s="24"/>
      <c r="K169" s="24"/>
      <c r="L169" s="24"/>
      <c r="M169" s="5">
        <f t="shared" si="4"/>
        <v>21.73</v>
      </c>
      <c r="N169" s="5">
        <f t="shared" si="5"/>
        <v>0</v>
      </c>
      <c r="O169" s="25"/>
    </row>
    <row r="170" spans="1:15" hidden="1" x14ac:dyDescent="0.3">
      <c r="A170" s="24"/>
      <c r="B170" s="26" t="s">
        <v>533</v>
      </c>
      <c r="C170" s="29" t="s">
        <v>1218</v>
      </c>
      <c r="D170" s="30">
        <v>23.44</v>
      </c>
      <c r="E170" s="24"/>
      <c r="F170" s="24"/>
      <c r="G170" s="24" t="s">
        <v>1022</v>
      </c>
      <c r="H170" s="24"/>
      <c r="I170" s="24"/>
      <c r="J170" s="24"/>
      <c r="K170" s="24"/>
      <c r="L170" s="24"/>
      <c r="M170" s="5">
        <f t="shared" si="4"/>
        <v>23.44</v>
      </c>
      <c r="N170" s="5">
        <f t="shared" si="5"/>
        <v>0</v>
      </c>
      <c r="O170" s="25"/>
    </row>
    <row r="171" spans="1:15" hidden="1" x14ac:dyDescent="0.3">
      <c r="A171" s="24"/>
      <c r="B171" s="26" t="s">
        <v>533</v>
      </c>
      <c r="C171" s="29" t="s">
        <v>1219</v>
      </c>
      <c r="D171" s="30">
        <v>32.65</v>
      </c>
      <c r="E171" s="24"/>
      <c r="F171" s="24"/>
      <c r="G171" s="24" t="s">
        <v>1022</v>
      </c>
      <c r="H171" s="24"/>
      <c r="I171" s="24"/>
      <c r="J171" s="24"/>
      <c r="K171" s="24"/>
      <c r="L171" s="24"/>
      <c r="M171" s="5">
        <f t="shared" si="4"/>
        <v>32.65</v>
      </c>
      <c r="N171" s="5">
        <f t="shared" si="5"/>
        <v>0</v>
      </c>
      <c r="O171" s="25"/>
    </row>
    <row r="172" spans="1:15" hidden="1" x14ac:dyDescent="0.3">
      <c r="A172" s="24"/>
      <c r="B172" s="26" t="s">
        <v>533</v>
      </c>
      <c r="C172" s="29" t="s">
        <v>1220</v>
      </c>
      <c r="D172" s="30">
        <v>30.53</v>
      </c>
      <c r="E172" s="24"/>
      <c r="F172" s="24"/>
      <c r="G172" s="24" t="s">
        <v>1022</v>
      </c>
      <c r="H172" s="24"/>
      <c r="I172" s="24"/>
      <c r="J172" s="24"/>
      <c r="K172" s="24"/>
      <c r="L172" s="24"/>
      <c r="M172" s="5">
        <f t="shared" si="4"/>
        <v>30.53</v>
      </c>
      <c r="N172" s="5">
        <f t="shared" si="5"/>
        <v>0</v>
      </c>
      <c r="O172" s="25"/>
    </row>
    <row r="173" spans="1:15" hidden="1" x14ac:dyDescent="0.3">
      <c r="A173" s="24"/>
      <c r="B173" s="26" t="s">
        <v>533</v>
      </c>
      <c r="C173" s="29" t="s">
        <v>1221</v>
      </c>
      <c r="D173" s="30">
        <v>30.98</v>
      </c>
      <c r="E173" s="24"/>
      <c r="F173" s="24"/>
      <c r="G173" s="24" t="s">
        <v>1022</v>
      </c>
      <c r="H173" s="24"/>
      <c r="I173" s="24"/>
      <c r="J173" s="24"/>
      <c r="K173" s="24"/>
      <c r="L173" s="24"/>
      <c r="M173" s="5">
        <f t="shared" si="4"/>
        <v>30.98</v>
      </c>
      <c r="N173" s="5">
        <f t="shared" si="5"/>
        <v>0</v>
      </c>
      <c r="O173" s="25"/>
    </row>
    <row r="174" spans="1:15" hidden="1" x14ac:dyDescent="0.3">
      <c r="A174" s="24"/>
      <c r="B174" s="26" t="s">
        <v>533</v>
      </c>
      <c r="C174" s="29" t="s">
        <v>1222</v>
      </c>
      <c r="D174" s="30">
        <v>30.98</v>
      </c>
      <c r="E174" s="24"/>
      <c r="F174" s="24"/>
      <c r="G174" s="24" t="s">
        <v>1022</v>
      </c>
      <c r="H174" s="24"/>
      <c r="I174" s="24"/>
      <c r="J174" s="24"/>
      <c r="K174" s="24"/>
      <c r="L174" s="24"/>
      <c r="M174" s="5">
        <f t="shared" si="4"/>
        <v>30.98</v>
      </c>
      <c r="N174" s="5">
        <f t="shared" si="5"/>
        <v>0</v>
      </c>
      <c r="O174" s="25"/>
    </row>
    <row r="175" spans="1:15" hidden="1" x14ac:dyDescent="0.3">
      <c r="A175" s="24"/>
      <c r="B175" s="26" t="s">
        <v>533</v>
      </c>
      <c r="C175" s="29" t="s">
        <v>1223</v>
      </c>
      <c r="D175" s="30">
        <v>29.22</v>
      </c>
      <c r="E175" s="24"/>
      <c r="F175" s="24"/>
      <c r="G175" s="24" t="s">
        <v>1022</v>
      </c>
      <c r="H175" s="24"/>
      <c r="I175" s="24"/>
      <c r="J175" s="24"/>
      <c r="K175" s="24"/>
      <c r="L175" s="24"/>
      <c r="M175" s="5">
        <f t="shared" si="4"/>
        <v>29.22</v>
      </c>
      <c r="N175" s="5">
        <f t="shared" si="5"/>
        <v>0</v>
      </c>
      <c r="O175" s="25"/>
    </row>
    <row r="176" spans="1:15" hidden="1" x14ac:dyDescent="0.3">
      <c r="A176" s="24"/>
      <c r="B176" s="26" t="s">
        <v>533</v>
      </c>
      <c r="C176" s="29" t="s">
        <v>1224</v>
      </c>
      <c r="D176" s="30">
        <v>29.22</v>
      </c>
      <c r="E176" s="24"/>
      <c r="F176" s="24"/>
      <c r="G176" s="24" t="s">
        <v>1022</v>
      </c>
      <c r="H176" s="24"/>
      <c r="I176" s="24"/>
      <c r="J176" s="24"/>
      <c r="K176" s="24"/>
      <c r="L176" s="24"/>
      <c r="M176" s="5">
        <f t="shared" si="4"/>
        <v>29.22</v>
      </c>
      <c r="N176" s="5">
        <f t="shared" si="5"/>
        <v>0</v>
      </c>
      <c r="O176" s="25"/>
    </row>
    <row r="177" spans="1:15" hidden="1" x14ac:dyDescent="0.3">
      <c r="A177" s="24"/>
      <c r="B177" s="26" t="s">
        <v>533</v>
      </c>
      <c r="C177" s="29" t="s">
        <v>1225</v>
      </c>
      <c r="D177" s="30">
        <v>28.1</v>
      </c>
      <c r="E177" s="24"/>
      <c r="F177" s="24"/>
      <c r="G177" s="24" t="s">
        <v>1022</v>
      </c>
      <c r="H177" s="24"/>
      <c r="I177" s="24"/>
      <c r="J177" s="24"/>
      <c r="K177" s="24"/>
      <c r="L177" s="24"/>
      <c r="M177" s="5">
        <f t="shared" si="4"/>
        <v>28.1</v>
      </c>
      <c r="N177" s="5">
        <f t="shared" si="5"/>
        <v>0</v>
      </c>
      <c r="O177" s="25"/>
    </row>
    <row r="178" spans="1:15" hidden="1" x14ac:dyDescent="0.3">
      <c r="A178" s="24"/>
      <c r="B178" s="26" t="s">
        <v>533</v>
      </c>
      <c r="C178" s="29" t="s">
        <v>1226</v>
      </c>
      <c r="D178" s="30">
        <v>28.22</v>
      </c>
      <c r="E178" s="24"/>
      <c r="F178" s="24"/>
      <c r="G178" s="24" t="s">
        <v>1022</v>
      </c>
      <c r="H178" s="24"/>
      <c r="I178" s="24"/>
      <c r="J178" s="24"/>
      <c r="K178" s="24"/>
      <c r="L178" s="24"/>
      <c r="M178" s="5">
        <f t="shared" si="4"/>
        <v>28.22</v>
      </c>
      <c r="N178" s="5">
        <f t="shared" si="5"/>
        <v>0</v>
      </c>
      <c r="O178" s="25"/>
    </row>
    <row r="179" spans="1:15" hidden="1" x14ac:dyDescent="0.3">
      <c r="A179" s="24"/>
      <c r="B179" s="26" t="s">
        <v>533</v>
      </c>
      <c r="C179" s="29" t="s">
        <v>1227</v>
      </c>
      <c r="D179" s="30">
        <v>28.39</v>
      </c>
      <c r="E179" s="24"/>
      <c r="F179" s="24"/>
      <c r="G179" s="24" t="s">
        <v>1022</v>
      </c>
      <c r="H179" s="24"/>
      <c r="I179" s="24"/>
      <c r="J179" s="24"/>
      <c r="K179" s="24"/>
      <c r="L179" s="24"/>
      <c r="M179" s="5">
        <f t="shared" si="4"/>
        <v>28.39</v>
      </c>
      <c r="N179" s="5">
        <f t="shared" si="5"/>
        <v>0</v>
      </c>
      <c r="O179" s="25"/>
    </row>
    <row r="180" spans="1:15" hidden="1" x14ac:dyDescent="0.3">
      <c r="A180" s="24"/>
      <c r="B180" s="26" t="s">
        <v>533</v>
      </c>
      <c r="C180" s="29" t="s">
        <v>1228</v>
      </c>
      <c r="D180" s="30">
        <v>28.39</v>
      </c>
      <c r="E180" s="24"/>
      <c r="F180" s="24"/>
      <c r="G180" s="24" t="s">
        <v>1022</v>
      </c>
      <c r="H180" s="24"/>
      <c r="I180" s="24"/>
      <c r="J180" s="24"/>
      <c r="K180" s="24"/>
      <c r="L180" s="24"/>
      <c r="M180" s="5">
        <f t="shared" si="4"/>
        <v>28.39</v>
      </c>
      <c r="N180" s="5">
        <f t="shared" si="5"/>
        <v>0</v>
      </c>
      <c r="O180" s="25"/>
    </row>
    <row r="181" spans="1:15" hidden="1" x14ac:dyDescent="0.3">
      <c r="A181" s="24"/>
      <c r="B181" s="26" t="s">
        <v>533</v>
      </c>
      <c r="C181" s="29" t="s">
        <v>1229</v>
      </c>
      <c r="D181" s="30">
        <v>31.07</v>
      </c>
      <c r="E181" s="24"/>
      <c r="F181" s="24"/>
      <c r="G181" s="24" t="s">
        <v>1022</v>
      </c>
      <c r="H181" s="24"/>
      <c r="I181" s="24"/>
      <c r="J181" s="24"/>
      <c r="K181" s="24"/>
      <c r="L181" s="24"/>
      <c r="M181" s="5">
        <f t="shared" si="4"/>
        <v>31.07</v>
      </c>
      <c r="N181" s="5">
        <f t="shared" si="5"/>
        <v>0</v>
      </c>
      <c r="O181" s="25"/>
    </row>
    <row r="182" spans="1:15" hidden="1" x14ac:dyDescent="0.3">
      <c r="A182" s="24"/>
      <c r="B182" s="26" t="s">
        <v>533</v>
      </c>
      <c r="C182" s="29" t="s">
        <v>1230</v>
      </c>
      <c r="D182" s="30">
        <v>49.17</v>
      </c>
      <c r="E182" s="24"/>
      <c r="F182" s="24"/>
      <c r="G182" s="24" t="s">
        <v>1022</v>
      </c>
      <c r="H182" s="24"/>
      <c r="I182" s="24"/>
      <c r="J182" s="24"/>
      <c r="K182" s="24"/>
      <c r="L182" s="24"/>
      <c r="M182" s="5">
        <f t="shared" si="4"/>
        <v>49.17</v>
      </c>
      <c r="N182" s="5">
        <f t="shared" si="5"/>
        <v>0</v>
      </c>
      <c r="O182" s="25"/>
    </row>
    <row r="183" spans="1:15" hidden="1" x14ac:dyDescent="0.3">
      <c r="A183" s="24"/>
      <c r="B183" s="26" t="s">
        <v>533</v>
      </c>
      <c r="C183" s="29" t="s">
        <v>1231</v>
      </c>
      <c r="D183" s="30">
        <v>28.52</v>
      </c>
      <c r="E183" s="24"/>
      <c r="F183" s="24"/>
      <c r="G183" s="24" t="s">
        <v>1022</v>
      </c>
      <c r="H183" s="24"/>
      <c r="I183" s="24"/>
      <c r="J183" s="24"/>
      <c r="K183" s="24"/>
      <c r="L183" s="24"/>
      <c r="M183" s="5">
        <f t="shared" si="4"/>
        <v>28.52</v>
      </c>
      <c r="N183" s="5">
        <f t="shared" si="5"/>
        <v>0</v>
      </c>
      <c r="O183" s="25"/>
    </row>
    <row r="184" spans="1:15" hidden="1" x14ac:dyDescent="0.3">
      <c r="A184" s="24"/>
      <c r="B184" s="26" t="s">
        <v>533</v>
      </c>
      <c r="C184" s="29" t="s">
        <v>1232</v>
      </c>
      <c r="D184" s="30">
        <v>28.52</v>
      </c>
      <c r="E184" s="24"/>
      <c r="F184" s="24"/>
      <c r="G184" s="24" t="s">
        <v>1022</v>
      </c>
      <c r="H184" s="24"/>
      <c r="I184" s="24"/>
      <c r="J184" s="24"/>
      <c r="K184" s="24"/>
      <c r="L184" s="24"/>
      <c r="M184" s="5">
        <f t="shared" si="4"/>
        <v>28.52</v>
      </c>
      <c r="N184" s="5">
        <f t="shared" si="5"/>
        <v>0</v>
      </c>
      <c r="O184" s="25"/>
    </row>
    <row r="185" spans="1:15" hidden="1" x14ac:dyDescent="0.3">
      <c r="A185" s="24"/>
      <c r="B185" s="26" t="s">
        <v>533</v>
      </c>
      <c r="C185" s="29" t="s">
        <v>1233</v>
      </c>
      <c r="D185" s="30">
        <v>30</v>
      </c>
      <c r="E185" s="24"/>
      <c r="F185" s="24"/>
      <c r="G185" s="24" t="s">
        <v>1022</v>
      </c>
      <c r="H185" s="24"/>
      <c r="I185" s="24"/>
      <c r="J185" s="24"/>
      <c r="K185" s="24"/>
      <c r="L185" s="24"/>
      <c r="M185" s="5">
        <f t="shared" si="4"/>
        <v>30</v>
      </c>
      <c r="N185" s="5">
        <f t="shared" si="5"/>
        <v>0</v>
      </c>
      <c r="O185" s="25"/>
    </row>
    <row r="186" spans="1:15" hidden="1" x14ac:dyDescent="0.3">
      <c r="A186" s="24"/>
      <c r="B186" s="26" t="s">
        <v>533</v>
      </c>
      <c r="C186" s="29" t="s">
        <v>1234</v>
      </c>
      <c r="D186" s="30">
        <v>16.97</v>
      </c>
      <c r="E186" s="24"/>
      <c r="F186" s="24"/>
      <c r="G186" s="24" t="s">
        <v>1022</v>
      </c>
      <c r="H186" s="24"/>
      <c r="I186" s="24"/>
      <c r="J186" s="24"/>
      <c r="K186" s="24"/>
      <c r="L186" s="24"/>
      <c r="M186" s="5">
        <f t="shared" si="4"/>
        <v>16.97</v>
      </c>
      <c r="N186" s="5">
        <f t="shared" si="5"/>
        <v>0</v>
      </c>
      <c r="O186" s="25"/>
    </row>
    <row r="187" spans="1:15" hidden="1" x14ac:dyDescent="0.3">
      <c r="A187" s="24"/>
      <c r="B187" s="26" t="s">
        <v>533</v>
      </c>
      <c r="C187" s="29" t="s">
        <v>1235</v>
      </c>
      <c r="D187" s="30">
        <v>18.97</v>
      </c>
      <c r="E187" s="24"/>
      <c r="F187" s="24"/>
      <c r="G187" s="24" t="s">
        <v>1022</v>
      </c>
      <c r="H187" s="24"/>
      <c r="I187" s="24"/>
      <c r="J187" s="24"/>
      <c r="K187" s="24"/>
      <c r="L187" s="24"/>
      <c r="M187" s="5">
        <f t="shared" si="4"/>
        <v>18.97</v>
      </c>
      <c r="N187" s="5">
        <f t="shared" si="5"/>
        <v>0</v>
      </c>
      <c r="O187" s="25"/>
    </row>
    <row r="188" spans="1:15" hidden="1" x14ac:dyDescent="0.3">
      <c r="A188" s="24"/>
      <c r="B188" s="26" t="s">
        <v>533</v>
      </c>
      <c r="C188" s="29" t="s">
        <v>1236</v>
      </c>
      <c r="D188" s="30">
        <v>19.690000000000001</v>
      </c>
      <c r="E188" s="24"/>
      <c r="F188" s="24"/>
      <c r="G188" s="24" t="s">
        <v>1022</v>
      </c>
      <c r="H188" s="24"/>
      <c r="I188" s="24"/>
      <c r="J188" s="24"/>
      <c r="K188" s="24"/>
      <c r="L188" s="24"/>
      <c r="M188" s="5">
        <f t="shared" si="4"/>
        <v>19.690000000000001</v>
      </c>
      <c r="N188" s="5">
        <f t="shared" si="5"/>
        <v>0</v>
      </c>
      <c r="O188" s="25"/>
    </row>
    <row r="189" spans="1:15" hidden="1" x14ac:dyDescent="0.3">
      <c r="A189" s="24"/>
      <c r="B189" s="26" t="s">
        <v>533</v>
      </c>
      <c r="C189" s="29" t="s">
        <v>1237</v>
      </c>
      <c r="D189" s="30">
        <v>19.55</v>
      </c>
      <c r="E189" s="24"/>
      <c r="F189" s="24"/>
      <c r="G189" s="24" t="s">
        <v>1022</v>
      </c>
      <c r="H189" s="24"/>
      <c r="I189" s="24"/>
      <c r="J189" s="24"/>
      <c r="K189" s="24"/>
      <c r="L189" s="24"/>
      <c r="M189" s="5">
        <f t="shared" si="4"/>
        <v>19.55</v>
      </c>
      <c r="N189" s="5">
        <f t="shared" si="5"/>
        <v>0</v>
      </c>
      <c r="O189" s="25"/>
    </row>
    <row r="190" spans="1:15" hidden="1" x14ac:dyDescent="0.3">
      <c r="A190" s="24"/>
      <c r="B190" s="26" t="s">
        <v>533</v>
      </c>
      <c r="C190" s="29" t="s">
        <v>1238</v>
      </c>
      <c r="D190" s="30">
        <v>19.52</v>
      </c>
      <c r="E190" s="24"/>
      <c r="F190" s="24"/>
      <c r="G190" s="24" t="s">
        <v>1022</v>
      </c>
      <c r="H190" s="24"/>
      <c r="I190" s="24"/>
      <c r="J190" s="24"/>
      <c r="K190" s="24"/>
      <c r="L190" s="24"/>
      <c r="M190" s="5">
        <f t="shared" si="4"/>
        <v>19.52</v>
      </c>
      <c r="N190" s="5">
        <f t="shared" si="5"/>
        <v>0</v>
      </c>
      <c r="O190" s="25"/>
    </row>
    <row r="191" spans="1:15" hidden="1" x14ac:dyDescent="0.3">
      <c r="A191" s="24"/>
      <c r="B191" s="26" t="s">
        <v>533</v>
      </c>
      <c r="C191" s="29" t="s">
        <v>1239</v>
      </c>
      <c r="D191" s="30">
        <v>19.52</v>
      </c>
      <c r="E191" s="24"/>
      <c r="F191" s="24"/>
      <c r="G191" s="24" t="s">
        <v>1022</v>
      </c>
      <c r="H191" s="24"/>
      <c r="I191" s="24"/>
      <c r="J191" s="24"/>
      <c r="K191" s="24"/>
      <c r="L191" s="24"/>
      <c r="M191" s="5">
        <f t="shared" si="4"/>
        <v>19.52</v>
      </c>
      <c r="N191" s="5">
        <f t="shared" si="5"/>
        <v>0</v>
      </c>
      <c r="O191" s="25"/>
    </row>
    <row r="192" spans="1:15" hidden="1" x14ac:dyDescent="0.3">
      <c r="A192" s="24"/>
      <c r="B192" s="26" t="s">
        <v>533</v>
      </c>
      <c r="C192" s="29" t="s">
        <v>1240</v>
      </c>
      <c r="D192" s="30">
        <v>22.23</v>
      </c>
      <c r="E192" s="24"/>
      <c r="F192" s="24"/>
      <c r="G192" s="24" t="s">
        <v>1022</v>
      </c>
      <c r="H192" s="24"/>
      <c r="I192" s="24"/>
      <c r="J192" s="24"/>
      <c r="K192" s="24"/>
      <c r="L192" s="24"/>
      <c r="M192" s="5">
        <f t="shared" si="4"/>
        <v>22.23</v>
      </c>
      <c r="N192" s="5">
        <f t="shared" si="5"/>
        <v>0</v>
      </c>
      <c r="O192" s="25"/>
    </row>
    <row r="193" spans="1:15" hidden="1" x14ac:dyDescent="0.3">
      <c r="A193" s="24"/>
      <c r="B193" s="26" t="s">
        <v>533</v>
      </c>
      <c r="C193" s="29" t="s">
        <v>1241</v>
      </c>
      <c r="D193" s="30">
        <v>18.989999999999998</v>
      </c>
      <c r="E193" s="24"/>
      <c r="F193" s="24"/>
      <c r="G193" s="24" t="s">
        <v>1022</v>
      </c>
      <c r="H193" s="24"/>
      <c r="I193" s="24"/>
      <c r="J193" s="24"/>
      <c r="K193" s="24"/>
      <c r="L193" s="24"/>
      <c r="M193" s="5">
        <f t="shared" si="4"/>
        <v>18.989999999999998</v>
      </c>
      <c r="N193" s="5">
        <f t="shared" si="5"/>
        <v>0</v>
      </c>
      <c r="O193" s="25"/>
    </row>
    <row r="194" spans="1:15" hidden="1" x14ac:dyDescent="0.3">
      <c r="A194" s="24"/>
      <c r="B194" s="26" t="s">
        <v>533</v>
      </c>
      <c r="C194" s="29" t="s">
        <v>1242</v>
      </c>
      <c r="D194" s="30">
        <v>20</v>
      </c>
      <c r="E194" s="24"/>
      <c r="F194" s="24"/>
      <c r="G194" s="24" t="s">
        <v>1022</v>
      </c>
      <c r="H194" s="24"/>
      <c r="I194" s="24"/>
      <c r="J194" s="24"/>
      <c r="K194" s="24"/>
      <c r="L194" s="24"/>
      <c r="M194" s="5">
        <f t="shared" si="4"/>
        <v>20</v>
      </c>
      <c r="N194" s="5">
        <f t="shared" si="5"/>
        <v>0</v>
      </c>
      <c r="O194" s="25"/>
    </row>
    <row r="195" spans="1:15" hidden="1" x14ac:dyDescent="0.3">
      <c r="A195" s="24"/>
      <c r="B195" s="26" t="s">
        <v>533</v>
      </c>
      <c r="C195" s="29" t="s">
        <v>1243</v>
      </c>
      <c r="D195" s="30">
        <v>20.350000000000001</v>
      </c>
      <c r="E195" s="24"/>
      <c r="F195" s="24"/>
      <c r="G195" s="24" t="s">
        <v>1022</v>
      </c>
      <c r="H195" s="24"/>
      <c r="I195" s="24"/>
      <c r="J195" s="24"/>
      <c r="K195" s="24"/>
      <c r="L195" s="24"/>
      <c r="M195" s="5">
        <f t="shared" ref="M195:M258" si="6">IF(G195="已出租",D195,0)</f>
        <v>20.350000000000001</v>
      </c>
      <c r="N195" s="5">
        <f t="shared" ref="N195:N258" si="7">IF(G195="未出租",D195,0)</f>
        <v>0</v>
      </c>
      <c r="O195" s="25"/>
    </row>
    <row r="196" spans="1:15" hidden="1" x14ac:dyDescent="0.3">
      <c r="A196" s="24"/>
      <c r="B196" s="26" t="s">
        <v>533</v>
      </c>
      <c r="C196" s="29" t="s">
        <v>1244</v>
      </c>
      <c r="D196" s="30">
        <v>17.54</v>
      </c>
      <c r="E196" s="24"/>
      <c r="F196" s="24"/>
      <c r="G196" s="24" t="s">
        <v>1022</v>
      </c>
      <c r="H196" s="24"/>
      <c r="I196" s="24"/>
      <c r="J196" s="24"/>
      <c r="K196" s="24"/>
      <c r="L196" s="24"/>
      <c r="M196" s="5">
        <f t="shared" si="6"/>
        <v>17.54</v>
      </c>
      <c r="N196" s="5">
        <f t="shared" si="7"/>
        <v>0</v>
      </c>
      <c r="O196" s="25"/>
    </row>
    <row r="197" spans="1:15" hidden="1" x14ac:dyDescent="0.3">
      <c r="A197" s="24"/>
      <c r="B197" s="26" t="s">
        <v>533</v>
      </c>
      <c r="C197" s="29" t="s">
        <v>1245</v>
      </c>
      <c r="D197" s="30">
        <v>20</v>
      </c>
      <c r="E197" s="24"/>
      <c r="F197" s="24"/>
      <c r="G197" s="24" t="s">
        <v>1022</v>
      </c>
      <c r="H197" s="24"/>
      <c r="I197" s="24"/>
      <c r="J197" s="24"/>
      <c r="K197" s="24"/>
      <c r="L197" s="24"/>
      <c r="M197" s="5">
        <f t="shared" si="6"/>
        <v>20</v>
      </c>
      <c r="N197" s="5">
        <f t="shared" si="7"/>
        <v>0</v>
      </c>
      <c r="O197" s="25"/>
    </row>
    <row r="198" spans="1:15" hidden="1" x14ac:dyDescent="0.3">
      <c r="A198" s="24"/>
      <c r="B198" s="26" t="s">
        <v>533</v>
      </c>
      <c r="C198" s="29" t="s">
        <v>1246</v>
      </c>
      <c r="D198" s="30">
        <v>20.8</v>
      </c>
      <c r="E198" s="24"/>
      <c r="F198" s="24"/>
      <c r="G198" s="24" t="s">
        <v>1022</v>
      </c>
      <c r="H198" s="24"/>
      <c r="I198" s="24"/>
      <c r="J198" s="24"/>
      <c r="K198" s="24"/>
      <c r="L198" s="24"/>
      <c r="M198" s="5">
        <f t="shared" si="6"/>
        <v>20.8</v>
      </c>
      <c r="N198" s="5">
        <f t="shared" si="7"/>
        <v>0</v>
      </c>
      <c r="O198" s="25"/>
    </row>
    <row r="199" spans="1:15" hidden="1" x14ac:dyDescent="0.3">
      <c r="A199" s="24"/>
      <c r="B199" s="26" t="s">
        <v>533</v>
      </c>
      <c r="C199" s="29" t="s">
        <v>1247</v>
      </c>
      <c r="D199" s="30">
        <v>21.45</v>
      </c>
      <c r="E199" s="24"/>
      <c r="F199" s="24"/>
      <c r="G199" s="24" t="s">
        <v>1022</v>
      </c>
      <c r="H199" s="24"/>
      <c r="I199" s="24"/>
      <c r="J199" s="24"/>
      <c r="K199" s="24"/>
      <c r="L199" s="24"/>
      <c r="M199" s="5">
        <f t="shared" si="6"/>
        <v>21.45</v>
      </c>
      <c r="N199" s="5">
        <f t="shared" si="7"/>
        <v>0</v>
      </c>
      <c r="O199" s="25"/>
    </row>
    <row r="200" spans="1:15" hidden="1" x14ac:dyDescent="0.3">
      <c r="A200" s="24"/>
      <c r="B200" s="26" t="s">
        <v>533</v>
      </c>
      <c r="C200" s="29" t="s">
        <v>1248</v>
      </c>
      <c r="D200" s="30">
        <v>20.8</v>
      </c>
      <c r="E200" s="24"/>
      <c r="F200" s="24"/>
      <c r="G200" s="24" t="s">
        <v>1022</v>
      </c>
      <c r="H200" s="24"/>
      <c r="I200" s="24"/>
      <c r="J200" s="24"/>
      <c r="K200" s="24"/>
      <c r="L200" s="24"/>
      <c r="M200" s="5">
        <f t="shared" si="6"/>
        <v>20.8</v>
      </c>
      <c r="N200" s="5">
        <f t="shared" si="7"/>
        <v>0</v>
      </c>
      <c r="O200" s="25"/>
    </row>
    <row r="201" spans="1:15" hidden="1" x14ac:dyDescent="0.3">
      <c r="A201" s="24"/>
      <c r="B201" s="26" t="s">
        <v>533</v>
      </c>
      <c r="C201" s="29" t="s">
        <v>1249</v>
      </c>
      <c r="D201" s="30">
        <v>21.45</v>
      </c>
      <c r="E201" s="24"/>
      <c r="F201" s="24"/>
      <c r="G201" s="24" t="s">
        <v>1022</v>
      </c>
      <c r="H201" s="24"/>
      <c r="I201" s="24"/>
      <c r="J201" s="24"/>
      <c r="K201" s="24"/>
      <c r="L201" s="24"/>
      <c r="M201" s="5">
        <f t="shared" si="6"/>
        <v>21.45</v>
      </c>
      <c r="N201" s="5">
        <f t="shared" si="7"/>
        <v>0</v>
      </c>
      <c r="O201" s="25"/>
    </row>
    <row r="202" spans="1:15" hidden="1" x14ac:dyDescent="0.3">
      <c r="A202" s="24"/>
      <c r="B202" s="26" t="s">
        <v>533</v>
      </c>
      <c r="C202" s="29" t="s">
        <v>1250</v>
      </c>
      <c r="D202" s="30">
        <v>20.2</v>
      </c>
      <c r="E202" s="24"/>
      <c r="F202" s="24"/>
      <c r="G202" s="24" t="s">
        <v>1022</v>
      </c>
      <c r="H202" s="24"/>
      <c r="I202" s="24"/>
      <c r="J202" s="24"/>
      <c r="K202" s="24"/>
      <c r="L202" s="24"/>
      <c r="M202" s="5">
        <f t="shared" si="6"/>
        <v>20.2</v>
      </c>
      <c r="N202" s="5">
        <f t="shared" si="7"/>
        <v>0</v>
      </c>
      <c r="O202" s="25"/>
    </row>
    <row r="203" spans="1:15" hidden="1" x14ac:dyDescent="0.3">
      <c r="A203" s="24"/>
      <c r="B203" s="26" t="s">
        <v>533</v>
      </c>
      <c r="C203" s="29" t="s">
        <v>1251</v>
      </c>
      <c r="D203" s="30">
        <v>20.5</v>
      </c>
      <c r="E203" s="24"/>
      <c r="F203" s="24"/>
      <c r="G203" s="24" t="s">
        <v>1022</v>
      </c>
      <c r="H203" s="24"/>
      <c r="I203" s="24"/>
      <c r="J203" s="24"/>
      <c r="K203" s="24"/>
      <c r="L203" s="24"/>
      <c r="M203" s="5">
        <f t="shared" si="6"/>
        <v>20.5</v>
      </c>
      <c r="N203" s="5">
        <f t="shared" si="7"/>
        <v>0</v>
      </c>
      <c r="O203" s="25"/>
    </row>
    <row r="204" spans="1:15" hidden="1" x14ac:dyDescent="0.3">
      <c r="A204" s="24"/>
      <c r="B204" s="26" t="s">
        <v>533</v>
      </c>
      <c r="C204" s="29" t="s">
        <v>1252</v>
      </c>
      <c r="D204" s="30">
        <v>20.5</v>
      </c>
      <c r="E204" s="24"/>
      <c r="F204" s="24"/>
      <c r="G204" s="24" t="s">
        <v>1022</v>
      </c>
      <c r="H204" s="24"/>
      <c r="I204" s="24"/>
      <c r="J204" s="24"/>
      <c r="K204" s="24"/>
      <c r="L204" s="24"/>
      <c r="M204" s="5">
        <f t="shared" si="6"/>
        <v>20.5</v>
      </c>
      <c r="N204" s="5">
        <f t="shared" si="7"/>
        <v>0</v>
      </c>
      <c r="O204" s="25"/>
    </row>
    <row r="205" spans="1:15" hidden="1" x14ac:dyDescent="0.3">
      <c r="A205" s="24"/>
      <c r="B205" s="26" t="s">
        <v>533</v>
      </c>
      <c r="C205" s="29" t="s">
        <v>1253</v>
      </c>
      <c r="D205" s="30">
        <v>19.559999999999999</v>
      </c>
      <c r="E205" s="24"/>
      <c r="F205" s="24"/>
      <c r="G205" s="24" t="s">
        <v>1022</v>
      </c>
      <c r="H205" s="24"/>
      <c r="I205" s="24"/>
      <c r="J205" s="24"/>
      <c r="K205" s="24"/>
      <c r="L205" s="24"/>
      <c r="M205" s="5">
        <f t="shared" si="6"/>
        <v>19.559999999999999</v>
      </c>
      <c r="N205" s="5">
        <f t="shared" si="7"/>
        <v>0</v>
      </c>
      <c r="O205" s="25"/>
    </row>
    <row r="206" spans="1:15" hidden="1" x14ac:dyDescent="0.3">
      <c r="A206" s="24"/>
      <c r="B206" s="26" t="s">
        <v>533</v>
      </c>
      <c r="C206" s="29" t="s">
        <v>1254</v>
      </c>
      <c r="D206" s="30">
        <v>19.760000000000002</v>
      </c>
      <c r="E206" s="24"/>
      <c r="F206" s="24"/>
      <c r="G206" s="24" t="s">
        <v>1022</v>
      </c>
      <c r="H206" s="24"/>
      <c r="I206" s="24"/>
      <c r="J206" s="24"/>
      <c r="K206" s="24"/>
      <c r="L206" s="24"/>
      <c r="M206" s="5">
        <f t="shared" si="6"/>
        <v>19.760000000000002</v>
      </c>
      <c r="N206" s="5">
        <f t="shared" si="7"/>
        <v>0</v>
      </c>
      <c r="O206" s="25"/>
    </row>
    <row r="207" spans="1:15" hidden="1" x14ac:dyDescent="0.3">
      <c r="A207" s="24"/>
      <c r="B207" s="26" t="s">
        <v>533</v>
      </c>
      <c r="C207" s="29" t="s">
        <v>1255</v>
      </c>
      <c r="D207" s="30">
        <v>22</v>
      </c>
      <c r="E207" s="24"/>
      <c r="F207" s="24"/>
      <c r="G207" s="24" t="s">
        <v>1022</v>
      </c>
      <c r="H207" s="24"/>
      <c r="I207" s="24"/>
      <c r="J207" s="24"/>
      <c r="K207" s="24"/>
      <c r="L207" s="24"/>
      <c r="M207" s="5">
        <f t="shared" si="6"/>
        <v>22</v>
      </c>
      <c r="N207" s="5">
        <f t="shared" si="7"/>
        <v>0</v>
      </c>
      <c r="O207" s="25"/>
    </row>
    <row r="208" spans="1:15" hidden="1" x14ac:dyDescent="0.3">
      <c r="A208" s="24"/>
      <c r="B208" s="26" t="s">
        <v>533</v>
      </c>
      <c r="C208" s="29" t="s">
        <v>1256</v>
      </c>
      <c r="D208" s="30">
        <v>19.440000000000001</v>
      </c>
      <c r="E208" s="24"/>
      <c r="F208" s="24"/>
      <c r="G208" s="24" t="s">
        <v>1022</v>
      </c>
      <c r="H208" s="24"/>
      <c r="I208" s="24"/>
      <c r="J208" s="24"/>
      <c r="K208" s="24"/>
      <c r="L208" s="24"/>
      <c r="M208" s="5">
        <f t="shared" si="6"/>
        <v>19.440000000000001</v>
      </c>
      <c r="N208" s="5">
        <f t="shared" si="7"/>
        <v>0</v>
      </c>
      <c r="O208" s="25"/>
    </row>
    <row r="209" spans="1:15" hidden="1" x14ac:dyDescent="0.3">
      <c r="A209" s="24"/>
      <c r="B209" s="26" t="s">
        <v>533</v>
      </c>
      <c r="C209" s="29" t="s">
        <v>1257</v>
      </c>
      <c r="D209" s="30">
        <v>19.440000000000001</v>
      </c>
      <c r="E209" s="24"/>
      <c r="F209" s="24"/>
      <c r="G209" s="24" t="s">
        <v>1022</v>
      </c>
      <c r="H209" s="24"/>
      <c r="I209" s="24"/>
      <c r="J209" s="24"/>
      <c r="K209" s="24"/>
      <c r="L209" s="24"/>
      <c r="M209" s="5">
        <f t="shared" si="6"/>
        <v>19.440000000000001</v>
      </c>
      <c r="N209" s="5">
        <f t="shared" si="7"/>
        <v>0</v>
      </c>
      <c r="O209" s="25"/>
    </row>
    <row r="210" spans="1:15" hidden="1" x14ac:dyDescent="0.3">
      <c r="A210" s="24"/>
      <c r="B210" s="26" t="s">
        <v>533</v>
      </c>
      <c r="C210" s="29" t="s">
        <v>1258</v>
      </c>
      <c r="D210" s="30">
        <v>19.440000000000001</v>
      </c>
      <c r="E210" s="24"/>
      <c r="F210" s="24"/>
      <c r="G210" s="24" t="s">
        <v>1022</v>
      </c>
      <c r="H210" s="24"/>
      <c r="I210" s="24"/>
      <c r="J210" s="24"/>
      <c r="K210" s="24"/>
      <c r="L210" s="24"/>
      <c r="M210" s="5">
        <f t="shared" si="6"/>
        <v>19.440000000000001</v>
      </c>
      <c r="N210" s="5">
        <f t="shared" si="7"/>
        <v>0</v>
      </c>
      <c r="O210" s="25"/>
    </row>
    <row r="211" spans="1:15" hidden="1" x14ac:dyDescent="0.3">
      <c r="A211" s="24"/>
      <c r="B211" s="26" t="s">
        <v>533</v>
      </c>
      <c r="C211" s="29" t="s">
        <v>1259</v>
      </c>
      <c r="D211" s="30">
        <v>19.440000000000001</v>
      </c>
      <c r="E211" s="24"/>
      <c r="F211" s="24"/>
      <c r="G211" s="24" t="s">
        <v>1022</v>
      </c>
      <c r="H211" s="24"/>
      <c r="I211" s="24"/>
      <c r="J211" s="24"/>
      <c r="K211" s="24"/>
      <c r="L211" s="24"/>
      <c r="M211" s="5">
        <f t="shared" si="6"/>
        <v>19.440000000000001</v>
      </c>
      <c r="N211" s="5">
        <f t="shared" si="7"/>
        <v>0</v>
      </c>
      <c r="O211" s="25"/>
    </row>
    <row r="212" spans="1:15" hidden="1" x14ac:dyDescent="0.3">
      <c r="A212" s="24"/>
      <c r="B212" s="26" t="s">
        <v>533</v>
      </c>
      <c r="C212" s="29" t="s">
        <v>1260</v>
      </c>
      <c r="D212" s="30">
        <v>18.73</v>
      </c>
      <c r="E212" s="24"/>
      <c r="F212" s="24"/>
      <c r="G212" s="24" t="s">
        <v>1022</v>
      </c>
      <c r="H212" s="24"/>
      <c r="I212" s="24"/>
      <c r="J212" s="24"/>
      <c r="K212" s="24"/>
      <c r="L212" s="24"/>
      <c r="M212" s="5">
        <f t="shared" si="6"/>
        <v>18.73</v>
      </c>
      <c r="N212" s="5">
        <f t="shared" si="7"/>
        <v>0</v>
      </c>
      <c r="O212" s="25"/>
    </row>
    <row r="213" spans="1:15" hidden="1" x14ac:dyDescent="0.3">
      <c r="A213" s="24"/>
      <c r="B213" s="26" t="s">
        <v>533</v>
      </c>
      <c r="C213" s="29" t="s">
        <v>1261</v>
      </c>
      <c r="D213" s="30">
        <v>18.79</v>
      </c>
      <c r="E213" s="24"/>
      <c r="F213" s="24"/>
      <c r="G213" s="24" t="s">
        <v>1022</v>
      </c>
      <c r="H213" s="24"/>
      <c r="I213" s="24"/>
      <c r="J213" s="24"/>
      <c r="K213" s="24"/>
      <c r="L213" s="24"/>
      <c r="M213" s="5">
        <f t="shared" si="6"/>
        <v>18.79</v>
      </c>
      <c r="N213" s="5">
        <f t="shared" si="7"/>
        <v>0</v>
      </c>
      <c r="O213" s="25"/>
    </row>
    <row r="214" spans="1:15" hidden="1" x14ac:dyDescent="0.3">
      <c r="A214" s="24"/>
      <c r="B214" s="26" t="s">
        <v>533</v>
      </c>
      <c r="C214" s="29" t="s">
        <v>1262</v>
      </c>
      <c r="D214" s="30">
        <v>28</v>
      </c>
      <c r="E214" s="24"/>
      <c r="F214" s="24"/>
      <c r="G214" s="24" t="s">
        <v>1022</v>
      </c>
      <c r="H214" s="24"/>
      <c r="I214" s="24"/>
      <c r="J214" s="24"/>
      <c r="K214" s="24"/>
      <c r="L214" s="24"/>
      <c r="M214" s="5">
        <f t="shared" si="6"/>
        <v>28</v>
      </c>
      <c r="N214" s="5">
        <f t="shared" si="7"/>
        <v>0</v>
      </c>
      <c r="O214" s="25"/>
    </row>
    <row r="215" spans="1:15" hidden="1" x14ac:dyDescent="0.3">
      <c r="A215" s="24"/>
      <c r="B215" s="26" t="s">
        <v>533</v>
      </c>
      <c r="C215" s="29" t="s">
        <v>1263</v>
      </c>
      <c r="D215" s="30">
        <v>28.46</v>
      </c>
      <c r="E215" s="24"/>
      <c r="F215" s="24"/>
      <c r="G215" s="24" t="s">
        <v>1022</v>
      </c>
      <c r="H215" s="24"/>
      <c r="I215" s="24"/>
      <c r="J215" s="24"/>
      <c r="K215" s="24"/>
      <c r="L215" s="24"/>
      <c r="M215" s="5">
        <f t="shared" si="6"/>
        <v>28.46</v>
      </c>
      <c r="N215" s="5">
        <f t="shared" si="7"/>
        <v>0</v>
      </c>
      <c r="O215" s="25"/>
    </row>
    <row r="216" spans="1:15" hidden="1" x14ac:dyDescent="0.3">
      <c r="A216" s="24"/>
      <c r="B216" s="26" t="s">
        <v>533</v>
      </c>
      <c r="C216" s="29" t="s">
        <v>1264</v>
      </c>
      <c r="D216" s="30">
        <v>25.46</v>
      </c>
      <c r="E216" s="24"/>
      <c r="F216" s="24"/>
      <c r="G216" s="24" t="s">
        <v>1022</v>
      </c>
      <c r="H216" s="24"/>
      <c r="I216" s="24"/>
      <c r="J216" s="24"/>
      <c r="K216" s="24"/>
      <c r="L216" s="24"/>
      <c r="M216" s="5">
        <f t="shared" si="6"/>
        <v>25.46</v>
      </c>
      <c r="N216" s="5">
        <f t="shared" si="7"/>
        <v>0</v>
      </c>
      <c r="O216" s="25"/>
    </row>
    <row r="217" spans="1:15" hidden="1" x14ac:dyDescent="0.3">
      <c r="A217" s="24"/>
      <c r="B217" s="26" t="s">
        <v>533</v>
      </c>
      <c r="C217" s="29" t="s">
        <v>1265</v>
      </c>
      <c r="D217" s="30">
        <v>31.26</v>
      </c>
      <c r="E217" s="24"/>
      <c r="F217" s="24"/>
      <c r="G217" s="24" t="s">
        <v>1022</v>
      </c>
      <c r="H217" s="24"/>
      <c r="I217" s="24"/>
      <c r="J217" s="24"/>
      <c r="K217" s="24"/>
      <c r="L217" s="24"/>
      <c r="M217" s="5">
        <f t="shared" si="6"/>
        <v>31.26</v>
      </c>
      <c r="N217" s="5">
        <f t="shared" si="7"/>
        <v>0</v>
      </c>
      <c r="O217" s="25"/>
    </row>
    <row r="218" spans="1:15" hidden="1" x14ac:dyDescent="0.3">
      <c r="A218" s="24"/>
      <c r="B218" s="26" t="s">
        <v>533</v>
      </c>
      <c r="C218" s="29" t="s">
        <v>1266</v>
      </c>
      <c r="D218" s="30">
        <v>31.26</v>
      </c>
      <c r="E218" s="24"/>
      <c r="F218" s="24"/>
      <c r="G218" s="24" t="s">
        <v>1022</v>
      </c>
      <c r="H218" s="24"/>
      <c r="I218" s="24"/>
      <c r="J218" s="24"/>
      <c r="K218" s="24"/>
      <c r="L218" s="24"/>
      <c r="M218" s="5">
        <f t="shared" si="6"/>
        <v>31.26</v>
      </c>
      <c r="N218" s="5">
        <f t="shared" si="7"/>
        <v>0</v>
      </c>
      <c r="O218" s="25"/>
    </row>
    <row r="219" spans="1:15" hidden="1" x14ac:dyDescent="0.3">
      <c r="A219" s="24"/>
      <c r="B219" s="26" t="s">
        <v>533</v>
      </c>
      <c r="C219" s="29" t="s">
        <v>1267</v>
      </c>
      <c r="D219" s="30">
        <v>29</v>
      </c>
      <c r="E219" s="24"/>
      <c r="F219" s="24"/>
      <c r="G219" s="24" t="s">
        <v>1022</v>
      </c>
      <c r="H219" s="24"/>
      <c r="I219" s="24"/>
      <c r="J219" s="24"/>
      <c r="K219" s="24"/>
      <c r="L219" s="24"/>
      <c r="M219" s="5">
        <f t="shared" si="6"/>
        <v>29</v>
      </c>
      <c r="N219" s="5">
        <f t="shared" si="7"/>
        <v>0</v>
      </c>
      <c r="O219" s="25"/>
    </row>
    <row r="220" spans="1:15" hidden="1" x14ac:dyDescent="0.3">
      <c r="A220" s="24"/>
      <c r="B220" s="26" t="s">
        <v>533</v>
      </c>
      <c r="C220" s="29" t="s">
        <v>1268</v>
      </c>
      <c r="D220" s="30">
        <v>38.28</v>
      </c>
      <c r="E220" s="24"/>
      <c r="F220" s="24"/>
      <c r="G220" s="24" t="s">
        <v>1022</v>
      </c>
      <c r="H220" s="24"/>
      <c r="I220" s="24"/>
      <c r="J220" s="24"/>
      <c r="K220" s="24"/>
      <c r="L220" s="24"/>
      <c r="M220" s="5">
        <f t="shared" si="6"/>
        <v>38.28</v>
      </c>
      <c r="N220" s="5">
        <f t="shared" si="7"/>
        <v>0</v>
      </c>
      <c r="O220" s="25"/>
    </row>
    <row r="221" spans="1:15" hidden="1" x14ac:dyDescent="0.3">
      <c r="A221" s="24"/>
      <c r="B221" s="26" t="s">
        <v>533</v>
      </c>
      <c r="C221" s="29" t="s">
        <v>1269</v>
      </c>
      <c r="D221" s="30">
        <v>37.6</v>
      </c>
      <c r="E221" s="24"/>
      <c r="F221" s="24"/>
      <c r="G221" s="24" t="s">
        <v>1022</v>
      </c>
      <c r="H221" s="24"/>
      <c r="I221" s="24"/>
      <c r="J221" s="24"/>
      <c r="K221" s="24"/>
      <c r="L221" s="24"/>
      <c r="M221" s="5">
        <f t="shared" si="6"/>
        <v>37.6</v>
      </c>
      <c r="N221" s="5">
        <f t="shared" si="7"/>
        <v>0</v>
      </c>
      <c r="O221" s="25"/>
    </row>
    <row r="222" spans="1:15" hidden="1" x14ac:dyDescent="0.3">
      <c r="A222" s="24"/>
      <c r="B222" s="26" t="s">
        <v>533</v>
      </c>
      <c r="C222" s="29" t="s">
        <v>1270</v>
      </c>
      <c r="D222" s="30">
        <v>144</v>
      </c>
      <c r="E222" s="24"/>
      <c r="F222" s="24"/>
      <c r="G222" s="24" t="s">
        <v>1022</v>
      </c>
      <c r="H222" s="24"/>
      <c r="I222" s="24"/>
      <c r="J222" s="24"/>
      <c r="K222" s="24"/>
      <c r="L222" s="24"/>
      <c r="M222" s="5">
        <f t="shared" si="6"/>
        <v>144</v>
      </c>
      <c r="N222" s="5">
        <f t="shared" si="7"/>
        <v>0</v>
      </c>
      <c r="O222" s="25"/>
    </row>
    <row r="223" spans="1:15" hidden="1" x14ac:dyDescent="0.3">
      <c r="A223" s="24"/>
      <c r="B223" s="26" t="s">
        <v>533</v>
      </c>
      <c r="C223" s="29" t="s">
        <v>1271</v>
      </c>
      <c r="D223" s="30">
        <v>28.7</v>
      </c>
      <c r="E223" s="24"/>
      <c r="F223" s="24"/>
      <c r="G223" s="24" t="s">
        <v>1022</v>
      </c>
      <c r="H223" s="24"/>
      <c r="I223" s="24"/>
      <c r="J223" s="24"/>
      <c r="K223" s="24"/>
      <c r="L223" s="24"/>
      <c r="M223" s="5">
        <f t="shared" si="6"/>
        <v>28.7</v>
      </c>
      <c r="N223" s="5">
        <f t="shared" si="7"/>
        <v>0</v>
      </c>
      <c r="O223" s="25"/>
    </row>
    <row r="224" spans="1:15" hidden="1" x14ac:dyDescent="0.3">
      <c r="A224" s="24"/>
      <c r="B224" s="26" t="s">
        <v>533</v>
      </c>
      <c r="C224" s="29" t="s">
        <v>1272</v>
      </c>
      <c r="D224" s="30">
        <v>28.8</v>
      </c>
      <c r="E224" s="24"/>
      <c r="F224" s="24"/>
      <c r="G224" s="24" t="s">
        <v>1022</v>
      </c>
      <c r="H224" s="24"/>
      <c r="I224" s="24"/>
      <c r="J224" s="24"/>
      <c r="K224" s="24"/>
      <c r="L224" s="24"/>
      <c r="M224" s="5">
        <f t="shared" si="6"/>
        <v>28.8</v>
      </c>
      <c r="N224" s="5">
        <f t="shared" si="7"/>
        <v>0</v>
      </c>
      <c r="O224" s="25"/>
    </row>
    <row r="225" spans="1:15" hidden="1" x14ac:dyDescent="0.3">
      <c r="A225" s="24"/>
      <c r="B225" s="26" t="s">
        <v>533</v>
      </c>
      <c r="C225" s="29" t="s">
        <v>1273</v>
      </c>
      <c r="D225" s="30">
        <v>26.94</v>
      </c>
      <c r="E225" s="24"/>
      <c r="F225" s="24"/>
      <c r="G225" s="24" t="s">
        <v>1022</v>
      </c>
      <c r="H225" s="24"/>
      <c r="I225" s="24"/>
      <c r="J225" s="24"/>
      <c r="K225" s="24"/>
      <c r="L225" s="24"/>
      <c r="M225" s="5">
        <f t="shared" si="6"/>
        <v>26.94</v>
      </c>
      <c r="N225" s="5">
        <f t="shared" si="7"/>
        <v>0</v>
      </c>
      <c r="O225" s="25"/>
    </row>
    <row r="226" spans="1:15" hidden="1" x14ac:dyDescent="0.3">
      <c r="A226" s="24"/>
      <c r="B226" s="26" t="s">
        <v>533</v>
      </c>
      <c r="C226" s="29" t="s">
        <v>1274</v>
      </c>
      <c r="D226" s="30">
        <v>27.12</v>
      </c>
      <c r="E226" s="24"/>
      <c r="F226" s="24"/>
      <c r="G226" s="24" t="s">
        <v>1022</v>
      </c>
      <c r="H226" s="24"/>
      <c r="I226" s="24"/>
      <c r="J226" s="24"/>
      <c r="K226" s="24"/>
      <c r="L226" s="24"/>
      <c r="M226" s="5">
        <f t="shared" si="6"/>
        <v>27.12</v>
      </c>
      <c r="N226" s="5">
        <f t="shared" si="7"/>
        <v>0</v>
      </c>
      <c r="O226" s="25"/>
    </row>
    <row r="227" spans="1:15" hidden="1" x14ac:dyDescent="0.3">
      <c r="A227" s="24"/>
      <c r="B227" s="26" t="s">
        <v>533</v>
      </c>
      <c r="C227" s="29" t="s">
        <v>1275</v>
      </c>
      <c r="D227" s="30">
        <v>28.51</v>
      </c>
      <c r="E227" s="24"/>
      <c r="F227" s="24"/>
      <c r="G227" s="24" t="s">
        <v>1022</v>
      </c>
      <c r="H227" s="24"/>
      <c r="I227" s="24"/>
      <c r="J227" s="24"/>
      <c r="K227" s="24"/>
      <c r="L227" s="24"/>
      <c r="M227" s="5">
        <f t="shared" si="6"/>
        <v>28.51</v>
      </c>
      <c r="N227" s="5">
        <f t="shared" si="7"/>
        <v>0</v>
      </c>
      <c r="O227" s="25"/>
    </row>
    <row r="228" spans="1:15" hidden="1" x14ac:dyDescent="0.3">
      <c r="A228" s="24"/>
      <c r="B228" s="26" t="s">
        <v>533</v>
      </c>
      <c r="C228" s="29" t="s">
        <v>1276</v>
      </c>
      <c r="D228" s="30">
        <v>28.51</v>
      </c>
      <c r="E228" s="24"/>
      <c r="F228" s="24"/>
      <c r="G228" s="24" t="s">
        <v>1022</v>
      </c>
      <c r="H228" s="24"/>
      <c r="I228" s="24"/>
      <c r="J228" s="24"/>
      <c r="K228" s="24"/>
      <c r="L228" s="24"/>
      <c r="M228" s="5">
        <f t="shared" si="6"/>
        <v>28.51</v>
      </c>
      <c r="N228" s="5">
        <f t="shared" si="7"/>
        <v>0</v>
      </c>
      <c r="O228" s="25"/>
    </row>
    <row r="229" spans="1:15" hidden="1" x14ac:dyDescent="0.3">
      <c r="A229" s="24"/>
      <c r="B229" s="26" t="s">
        <v>533</v>
      </c>
      <c r="C229" s="29" t="s">
        <v>1277</v>
      </c>
      <c r="D229" s="30">
        <v>82.31</v>
      </c>
      <c r="E229" s="24"/>
      <c r="F229" s="24"/>
      <c r="G229" s="24" t="s">
        <v>1022</v>
      </c>
      <c r="H229" s="24"/>
      <c r="I229" s="24"/>
      <c r="J229" s="24"/>
      <c r="K229" s="24"/>
      <c r="L229" s="24"/>
      <c r="M229" s="5">
        <f t="shared" si="6"/>
        <v>82.31</v>
      </c>
      <c r="N229" s="5">
        <f t="shared" si="7"/>
        <v>0</v>
      </c>
      <c r="O229" s="25"/>
    </row>
    <row r="230" spans="1:15" hidden="1" x14ac:dyDescent="0.3">
      <c r="A230" s="24"/>
      <c r="B230" s="26" t="s">
        <v>533</v>
      </c>
      <c r="C230" s="29" t="s">
        <v>1278</v>
      </c>
      <c r="D230" s="30">
        <v>10.67</v>
      </c>
      <c r="E230" s="24"/>
      <c r="F230" s="24"/>
      <c r="G230" s="24" t="s">
        <v>1022</v>
      </c>
      <c r="H230" s="24"/>
      <c r="I230" s="24"/>
      <c r="J230" s="24"/>
      <c r="K230" s="24"/>
      <c r="L230" s="24"/>
      <c r="M230" s="5">
        <f t="shared" si="6"/>
        <v>10.67</v>
      </c>
      <c r="N230" s="5">
        <f t="shared" si="7"/>
        <v>0</v>
      </c>
      <c r="O230" s="25"/>
    </row>
    <row r="231" spans="1:15" hidden="1" x14ac:dyDescent="0.3">
      <c r="A231" s="24"/>
      <c r="B231" s="26" t="s">
        <v>533</v>
      </c>
      <c r="C231" s="29" t="s">
        <v>1279</v>
      </c>
      <c r="D231" s="30">
        <v>10.6</v>
      </c>
      <c r="E231" s="24"/>
      <c r="F231" s="24"/>
      <c r="G231" s="24" t="s">
        <v>1022</v>
      </c>
      <c r="H231" s="24"/>
      <c r="I231" s="24"/>
      <c r="J231" s="24"/>
      <c r="K231" s="24"/>
      <c r="L231" s="24"/>
      <c r="M231" s="5">
        <f t="shared" si="6"/>
        <v>10.6</v>
      </c>
      <c r="N231" s="5">
        <f t="shared" si="7"/>
        <v>0</v>
      </c>
      <c r="O231" s="25"/>
    </row>
    <row r="232" spans="1:15" hidden="1" x14ac:dyDescent="0.3">
      <c r="A232" s="24"/>
      <c r="B232" s="26" t="s">
        <v>533</v>
      </c>
      <c r="C232" s="29" t="s">
        <v>1280</v>
      </c>
      <c r="D232" s="30">
        <v>11</v>
      </c>
      <c r="E232" s="24"/>
      <c r="F232" s="24"/>
      <c r="G232" s="24" t="s">
        <v>1022</v>
      </c>
      <c r="H232" s="24"/>
      <c r="I232" s="24"/>
      <c r="J232" s="24"/>
      <c r="K232" s="24"/>
      <c r="L232" s="24"/>
      <c r="M232" s="5">
        <f t="shared" si="6"/>
        <v>11</v>
      </c>
      <c r="N232" s="5">
        <f t="shared" si="7"/>
        <v>0</v>
      </c>
      <c r="O232" s="25"/>
    </row>
    <row r="233" spans="1:15" hidden="1" x14ac:dyDescent="0.3">
      <c r="A233" s="24"/>
      <c r="B233" s="26" t="s">
        <v>533</v>
      </c>
      <c r="C233" s="29" t="s">
        <v>1281</v>
      </c>
      <c r="D233" s="30">
        <v>27.36</v>
      </c>
      <c r="E233" s="24"/>
      <c r="F233" s="24"/>
      <c r="G233" s="24" t="s">
        <v>1022</v>
      </c>
      <c r="H233" s="24"/>
      <c r="I233" s="24"/>
      <c r="J233" s="24"/>
      <c r="K233" s="24"/>
      <c r="L233" s="24"/>
      <c r="M233" s="5">
        <f t="shared" si="6"/>
        <v>27.36</v>
      </c>
      <c r="N233" s="5">
        <f t="shared" si="7"/>
        <v>0</v>
      </c>
      <c r="O233" s="25"/>
    </row>
    <row r="234" spans="1:15" hidden="1" x14ac:dyDescent="0.3">
      <c r="A234" s="24"/>
      <c r="B234" s="26" t="s">
        <v>533</v>
      </c>
      <c r="C234" s="29" t="s">
        <v>1282</v>
      </c>
      <c r="D234" s="30">
        <v>48</v>
      </c>
      <c r="E234" s="24"/>
      <c r="F234" s="24"/>
      <c r="G234" s="24" t="s">
        <v>1022</v>
      </c>
      <c r="H234" s="24"/>
      <c r="I234" s="24"/>
      <c r="J234" s="24"/>
      <c r="K234" s="24"/>
      <c r="L234" s="24"/>
      <c r="M234" s="5">
        <f t="shared" si="6"/>
        <v>48</v>
      </c>
      <c r="N234" s="5">
        <f t="shared" si="7"/>
        <v>0</v>
      </c>
      <c r="O234" s="25"/>
    </row>
    <row r="235" spans="1:15" hidden="1" x14ac:dyDescent="0.3">
      <c r="A235" s="24"/>
      <c r="B235" s="26" t="s">
        <v>533</v>
      </c>
      <c r="C235" s="29" t="s">
        <v>1283</v>
      </c>
      <c r="D235" s="30">
        <v>33.9</v>
      </c>
      <c r="E235" s="24"/>
      <c r="F235" s="24"/>
      <c r="G235" s="24" t="s">
        <v>1022</v>
      </c>
      <c r="H235" s="24"/>
      <c r="I235" s="24"/>
      <c r="J235" s="24"/>
      <c r="K235" s="24"/>
      <c r="L235" s="24"/>
      <c r="M235" s="5">
        <f t="shared" si="6"/>
        <v>33.9</v>
      </c>
      <c r="N235" s="5">
        <f t="shared" si="7"/>
        <v>0</v>
      </c>
      <c r="O235" s="25"/>
    </row>
    <row r="236" spans="1:15" hidden="1" x14ac:dyDescent="0.3">
      <c r="A236" s="24"/>
      <c r="B236" s="26" t="s">
        <v>533</v>
      </c>
      <c r="C236" s="29" t="s">
        <v>1284</v>
      </c>
      <c r="D236" s="27">
        <v>85.37</v>
      </c>
      <c r="E236" s="24"/>
      <c r="F236" s="24"/>
      <c r="G236" s="24" t="s">
        <v>1022</v>
      </c>
      <c r="H236" s="24"/>
      <c r="I236" s="24"/>
      <c r="J236" s="24"/>
      <c r="K236" s="24"/>
      <c r="L236" s="24"/>
      <c r="M236" s="5">
        <f t="shared" si="6"/>
        <v>85.37</v>
      </c>
      <c r="N236" s="5">
        <f t="shared" si="7"/>
        <v>0</v>
      </c>
      <c r="O236" s="25"/>
    </row>
    <row r="237" spans="1:15" hidden="1" x14ac:dyDescent="0.3">
      <c r="A237" s="24"/>
      <c r="B237" s="26" t="s">
        <v>533</v>
      </c>
      <c r="C237" s="29" t="s">
        <v>1285</v>
      </c>
      <c r="D237" s="27"/>
      <c r="E237" s="24"/>
      <c r="F237" s="24"/>
      <c r="G237" s="24" t="s">
        <v>1022</v>
      </c>
      <c r="H237" s="24"/>
      <c r="I237" s="24"/>
      <c r="J237" s="24"/>
      <c r="K237" s="24"/>
      <c r="L237" s="24"/>
      <c r="M237" s="5">
        <f t="shared" si="6"/>
        <v>0</v>
      </c>
      <c r="N237" s="5">
        <f t="shared" si="7"/>
        <v>0</v>
      </c>
      <c r="O237" s="25"/>
    </row>
    <row r="238" spans="1:15" hidden="1" x14ac:dyDescent="0.3">
      <c r="A238" s="24"/>
      <c r="B238" s="26" t="s">
        <v>533</v>
      </c>
      <c r="C238" s="29" t="s">
        <v>1286</v>
      </c>
      <c r="D238" s="27"/>
      <c r="E238" s="24"/>
      <c r="F238" s="24"/>
      <c r="G238" s="24" t="s">
        <v>1022</v>
      </c>
      <c r="H238" s="24"/>
      <c r="I238" s="24"/>
      <c r="J238" s="24"/>
      <c r="K238" s="24"/>
      <c r="L238" s="24"/>
      <c r="M238" s="5">
        <f t="shared" si="6"/>
        <v>0</v>
      </c>
      <c r="N238" s="5">
        <f t="shared" si="7"/>
        <v>0</v>
      </c>
      <c r="O238" s="25"/>
    </row>
    <row r="239" spans="1:15" hidden="1" x14ac:dyDescent="0.3">
      <c r="A239" s="24"/>
      <c r="B239" s="26" t="s">
        <v>533</v>
      </c>
      <c r="C239" s="29" t="s">
        <v>1287</v>
      </c>
      <c r="D239" s="27">
        <v>11.93</v>
      </c>
      <c r="E239" s="24"/>
      <c r="F239" s="24"/>
      <c r="G239" s="24" t="s">
        <v>1022</v>
      </c>
      <c r="H239" s="24"/>
      <c r="I239" s="24"/>
      <c r="J239" s="24"/>
      <c r="K239" s="24"/>
      <c r="L239" s="24"/>
      <c r="M239" s="5">
        <f t="shared" si="6"/>
        <v>11.93</v>
      </c>
      <c r="N239" s="5">
        <f t="shared" si="7"/>
        <v>0</v>
      </c>
      <c r="O239" s="25"/>
    </row>
    <row r="240" spans="1:15" hidden="1" x14ac:dyDescent="0.3">
      <c r="A240" s="24"/>
      <c r="B240" s="26" t="s">
        <v>533</v>
      </c>
      <c r="C240" s="29" t="s">
        <v>1288</v>
      </c>
      <c r="D240" s="27">
        <v>19.59</v>
      </c>
      <c r="E240" s="24"/>
      <c r="F240" s="24"/>
      <c r="G240" s="24" t="s">
        <v>1022</v>
      </c>
      <c r="H240" s="24"/>
      <c r="I240" s="24"/>
      <c r="J240" s="24"/>
      <c r="K240" s="24"/>
      <c r="L240" s="24"/>
      <c r="M240" s="5">
        <f t="shared" si="6"/>
        <v>19.59</v>
      </c>
      <c r="N240" s="5">
        <f t="shared" si="7"/>
        <v>0</v>
      </c>
      <c r="O240" s="25"/>
    </row>
    <row r="241" spans="1:15" hidden="1" x14ac:dyDescent="0.3">
      <c r="A241" s="24"/>
      <c r="B241" s="26" t="s">
        <v>533</v>
      </c>
      <c r="C241" s="29" t="s">
        <v>1289</v>
      </c>
      <c r="D241" s="27">
        <v>35.75</v>
      </c>
      <c r="E241" s="24"/>
      <c r="F241" s="24"/>
      <c r="G241" s="24" t="s">
        <v>1022</v>
      </c>
      <c r="H241" s="24"/>
      <c r="I241" s="24"/>
      <c r="J241" s="24"/>
      <c r="K241" s="24"/>
      <c r="L241" s="24"/>
      <c r="M241" s="5">
        <f t="shared" si="6"/>
        <v>35.75</v>
      </c>
      <c r="N241" s="5">
        <f t="shared" si="7"/>
        <v>0</v>
      </c>
      <c r="O241" s="25"/>
    </row>
    <row r="242" spans="1:15" hidden="1" x14ac:dyDescent="0.3">
      <c r="A242" s="24"/>
      <c r="B242" s="26" t="s">
        <v>533</v>
      </c>
      <c r="C242" s="29" t="s">
        <v>1290</v>
      </c>
      <c r="D242" s="27">
        <v>34.25</v>
      </c>
      <c r="E242" s="24"/>
      <c r="F242" s="24"/>
      <c r="G242" s="24" t="s">
        <v>1022</v>
      </c>
      <c r="H242" s="24"/>
      <c r="I242" s="24"/>
      <c r="J242" s="24"/>
      <c r="K242" s="24"/>
      <c r="L242" s="24"/>
      <c r="M242" s="5">
        <f t="shared" si="6"/>
        <v>34.25</v>
      </c>
      <c r="N242" s="5">
        <f t="shared" si="7"/>
        <v>0</v>
      </c>
      <c r="O242" s="25"/>
    </row>
    <row r="243" spans="1:15" hidden="1" x14ac:dyDescent="0.3">
      <c r="A243" s="24"/>
      <c r="B243" s="26" t="s">
        <v>533</v>
      </c>
      <c r="C243" s="29" t="s">
        <v>1291</v>
      </c>
      <c r="D243" s="27">
        <v>22.3</v>
      </c>
      <c r="E243" s="24"/>
      <c r="F243" s="24"/>
      <c r="G243" s="24" t="s">
        <v>1022</v>
      </c>
      <c r="H243" s="24"/>
      <c r="I243" s="24"/>
      <c r="J243" s="24"/>
      <c r="K243" s="24"/>
      <c r="L243" s="24"/>
      <c r="M243" s="5">
        <f t="shared" si="6"/>
        <v>22.3</v>
      </c>
      <c r="N243" s="5">
        <f t="shared" si="7"/>
        <v>0</v>
      </c>
      <c r="O243" s="25"/>
    </row>
    <row r="244" spans="1:15" hidden="1" x14ac:dyDescent="0.3">
      <c r="A244" s="24"/>
      <c r="B244" s="26" t="s">
        <v>533</v>
      </c>
      <c r="C244" s="29" t="s">
        <v>1292</v>
      </c>
      <c r="D244" s="27">
        <v>14.9</v>
      </c>
      <c r="E244" s="24"/>
      <c r="F244" s="24"/>
      <c r="G244" s="24" t="s">
        <v>1022</v>
      </c>
      <c r="H244" s="24"/>
      <c r="I244" s="24"/>
      <c r="J244" s="24"/>
      <c r="K244" s="24"/>
      <c r="L244" s="24"/>
      <c r="M244" s="5">
        <f t="shared" si="6"/>
        <v>14.9</v>
      </c>
      <c r="N244" s="5">
        <f t="shared" si="7"/>
        <v>0</v>
      </c>
      <c r="O244" s="25"/>
    </row>
    <row r="245" spans="1:15" hidden="1" x14ac:dyDescent="0.3">
      <c r="A245" s="24"/>
      <c r="B245" s="26" t="s">
        <v>533</v>
      </c>
      <c r="C245" s="29" t="s">
        <v>1293</v>
      </c>
      <c r="D245" s="27">
        <v>9.3000000000000007</v>
      </c>
      <c r="E245" s="24"/>
      <c r="F245" s="24"/>
      <c r="G245" s="24" t="s">
        <v>1022</v>
      </c>
      <c r="H245" s="24"/>
      <c r="I245" s="24"/>
      <c r="J245" s="24"/>
      <c r="K245" s="24"/>
      <c r="L245" s="24"/>
      <c r="M245" s="5">
        <f t="shared" si="6"/>
        <v>9.3000000000000007</v>
      </c>
      <c r="N245" s="5">
        <f t="shared" si="7"/>
        <v>0</v>
      </c>
      <c r="O245" s="25"/>
    </row>
    <row r="246" spans="1:15" hidden="1" x14ac:dyDescent="0.3">
      <c r="A246" s="24"/>
      <c r="B246" s="26" t="s">
        <v>533</v>
      </c>
      <c r="C246" s="29" t="s">
        <v>1294</v>
      </c>
      <c r="D246" s="27">
        <v>21.89</v>
      </c>
      <c r="E246" s="24"/>
      <c r="F246" s="24"/>
      <c r="G246" s="24" t="s">
        <v>1022</v>
      </c>
      <c r="H246" s="24"/>
      <c r="I246" s="24"/>
      <c r="J246" s="24"/>
      <c r="K246" s="24"/>
      <c r="L246" s="24"/>
      <c r="M246" s="5">
        <f t="shared" si="6"/>
        <v>21.89</v>
      </c>
      <c r="N246" s="5">
        <f t="shared" si="7"/>
        <v>0</v>
      </c>
      <c r="O246" s="25"/>
    </row>
    <row r="247" spans="1:15" hidden="1" x14ac:dyDescent="0.3">
      <c r="A247" s="24"/>
      <c r="B247" s="26" t="s">
        <v>533</v>
      </c>
      <c r="C247" s="29" t="s">
        <v>1295</v>
      </c>
      <c r="D247" s="27">
        <v>31.37</v>
      </c>
      <c r="E247" s="24"/>
      <c r="F247" s="24"/>
      <c r="G247" s="24" t="s">
        <v>1022</v>
      </c>
      <c r="H247" s="24"/>
      <c r="I247" s="24"/>
      <c r="J247" s="24"/>
      <c r="K247" s="24"/>
      <c r="L247" s="24"/>
      <c r="M247" s="5">
        <f t="shared" si="6"/>
        <v>31.37</v>
      </c>
      <c r="N247" s="5">
        <f t="shared" si="7"/>
        <v>0</v>
      </c>
      <c r="O247" s="25"/>
    </row>
    <row r="248" spans="1:15" hidden="1" x14ac:dyDescent="0.3">
      <c r="A248" s="24"/>
      <c r="B248" s="26" t="s">
        <v>533</v>
      </c>
      <c r="C248" s="29" t="s">
        <v>1296</v>
      </c>
      <c r="D248" s="27">
        <v>37.25</v>
      </c>
      <c r="E248" s="24"/>
      <c r="F248" s="24"/>
      <c r="G248" s="24" t="s">
        <v>1022</v>
      </c>
      <c r="H248" s="24"/>
      <c r="I248" s="24"/>
      <c r="J248" s="24"/>
      <c r="K248" s="24"/>
      <c r="L248" s="24"/>
      <c r="M248" s="5">
        <f t="shared" si="6"/>
        <v>37.25</v>
      </c>
      <c r="N248" s="5">
        <f t="shared" si="7"/>
        <v>0</v>
      </c>
      <c r="O248" s="25"/>
    </row>
    <row r="249" spans="1:15" hidden="1" x14ac:dyDescent="0.3">
      <c r="A249" s="24"/>
      <c r="B249" s="26" t="s">
        <v>533</v>
      </c>
      <c r="C249" s="29" t="s">
        <v>1297</v>
      </c>
      <c r="D249" s="27">
        <v>23.49</v>
      </c>
      <c r="E249" s="24"/>
      <c r="F249" s="24"/>
      <c r="G249" s="24" t="s">
        <v>1022</v>
      </c>
      <c r="H249" s="24"/>
      <c r="I249" s="24"/>
      <c r="J249" s="24"/>
      <c r="K249" s="24"/>
      <c r="L249" s="24"/>
      <c r="M249" s="5">
        <f t="shared" si="6"/>
        <v>23.49</v>
      </c>
      <c r="N249" s="5">
        <f t="shared" si="7"/>
        <v>0</v>
      </c>
      <c r="O249" s="25"/>
    </row>
    <row r="250" spans="1:15" hidden="1" x14ac:dyDescent="0.3">
      <c r="A250" s="24"/>
      <c r="B250" s="26" t="s">
        <v>533</v>
      </c>
      <c r="C250" s="29" t="s">
        <v>1298</v>
      </c>
      <c r="D250" s="27">
        <v>31.03</v>
      </c>
      <c r="E250" s="24"/>
      <c r="F250" s="24"/>
      <c r="G250" s="24" t="s">
        <v>1022</v>
      </c>
      <c r="H250" s="24"/>
      <c r="I250" s="24"/>
      <c r="J250" s="24"/>
      <c r="K250" s="24"/>
      <c r="L250" s="24"/>
      <c r="M250" s="5">
        <f t="shared" si="6"/>
        <v>31.03</v>
      </c>
      <c r="N250" s="5">
        <f t="shared" si="7"/>
        <v>0</v>
      </c>
      <c r="O250" s="25"/>
    </row>
    <row r="251" spans="1:15" hidden="1" x14ac:dyDescent="0.3">
      <c r="A251" s="24"/>
      <c r="B251" s="26" t="s">
        <v>533</v>
      </c>
      <c r="C251" s="29" t="s">
        <v>1299</v>
      </c>
      <c r="D251" s="27">
        <v>23</v>
      </c>
      <c r="E251" s="24"/>
      <c r="F251" s="24"/>
      <c r="G251" s="24" t="s">
        <v>1022</v>
      </c>
      <c r="H251" s="24"/>
      <c r="I251" s="24"/>
      <c r="J251" s="24"/>
      <c r="K251" s="24"/>
      <c r="L251" s="24"/>
      <c r="M251" s="5">
        <f t="shared" si="6"/>
        <v>23</v>
      </c>
      <c r="N251" s="5">
        <f t="shared" si="7"/>
        <v>0</v>
      </c>
      <c r="O251" s="25"/>
    </row>
    <row r="252" spans="1:15" hidden="1" x14ac:dyDescent="0.3">
      <c r="A252" s="24"/>
      <c r="B252" s="26" t="s">
        <v>533</v>
      </c>
      <c r="C252" s="29" t="s">
        <v>1300</v>
      </c>
      <c r="D252" s="27">
        <v>39.6</v>
      </c>
      <c r="E252" s="24"/>
      <c r="F252" s="24"/>
      <c r="G252" s="24" t="s">
        <v>1022</v>
      </c>
      <c r="H252" s="24"/>
      <c r="I252" s="24"/>
      <c r="J252" s="24"/>
      <c r="K252" s="24"/>
      <c r="L252" s="24"/>
      <c r="M252" s="5">
        <f t="shared" si="6"/>
        <v>39.6</v>
      </c>
      <c r="N252" s="5">
        <f t="shared" si="7"/>
        <v>0</v>
      </c>
      <c r="O252" s="25"/>
    </row>
    <row r="253" spans="1:15" hidden="1" x14ac:dyDescent="0.3">
      <c r="A253" s="24"/>
      <c r="B253" s="26" t="s">
        <v>533</v>
      </c>
      <c r="C253" s="29" t="s">
        <v>1301</v>
      </c>
      <c r="D253" s="27">
        <v>44.8</v>
      </c>
      <c r="E253" s="24"/>
      <c r="F253" s="24"/>
      <c r="G253" s="24" t="s">
        <v>1022</v>
      </c>
      <c r="H253" s="24"/>
      <c r="I253" s="24"/>
      <c r="J253" s="24"/>
      <c r="K253" s="24"/>
      <c r="L253" s="24"/>
      <c r="M253" s="5">
        <f t="shared" si="6"/>
        <v>44.8</v>
      </c>
      <c r="N253" s="5">
        <f t="shared" si="7"/>
        <v>0</v>
      </c>
      <c r="O253" s="25"/>
    </row>
    <row r="254" spans="1:15" hidden="1" x14ac:dyDescent="0.3">
      <c r="A254" s="24"/>
      <c r="B254" s="26" t="s">
        <v>533</v>
      </c>
      <c r="C254" s="29" t="s">
        <v>1302</v>
      </c>
      <c r="D254" s="27">
        <v>47</v>
      </c>
      <c r="E254" s="24"/>
      <c r="F254" s="24"/>
      <c r="G254" s="24" t="s">
        <v>1022</v>
      </c>
      <c r="H254" s="24"/>
      <c r="I254" s="24"/>
      <c r="J254" s="24"/>
      <c r="K254" s="24"/>
      <c r="L254" s="24"/>
      <c r="M254" s="5">
        <f t="shared" si="6"/>
        <v>47</v>
      </c>
      <c r="N254" s="5">
        <f t="shared" si="7"/>
        <v>0</v>
      </c>
      <c r="O254" s="25"/>
    </row>
    <row r="255" spans="1:15" hidden="1" x14ac:dyDescent="0.3">
      <c r="A255" s="24"/>
      <c r="B255" s="26" t="s">
        <v>533</v>
      </c>
      <c r="C255" s="29" t="s">
        <v>1303</v>
      </c>
      <c r="D255" s="27">
        <v>42</v>
      </c>
      <c r="E255" s="24"/>
      <c r="F255" s="24"/>
      <c r="G255" s="24" t="s">
        <v>1022</v>
      </c>
      <c r="H255" s="24"/>
      <c r="I255" s="24"/>
      <c r="J255" s="24"/>
      <c r="K255" s="24"/>
      <c r="L255" s="24"/>
      <c r="M255" s="5">
        <f t="shared" si="6"/>
        <v>42</v>
      </c>
      <c r="N255" s="5">
        <f t="shared" si="7"/>
        <v>0</v>
      </c>
      <c r="O255" s="25"/>
    </row>
    <row r="256" spans="1:15" hidden="1" x14ac:dyDescent="0.3">
      <c r="A256" s="24"/>
      <c r="B256" s="26" t="s">
        <v>533</v>
      </c>
      <c r="C256" s="29" t="s">
        <v>1304</v>
      </c>
      <c r="D256" s="27">
        <v>38.450000000000003</v>
      </c>
      <c r="E256" s="24"/>
      <c r="F256" s="24"/>
      <c r="G256" s="24" t="s">
        <v>1022</v>
      </c>
      <c r="H256" s="24"/>
      <c r="I256" s="24"/>
      <c r="J256" s="24"/>
      <c r="K256" s="24"/>
      <c r="L256" s="24"/>
      <c r="M256" s="5">
        <f t="shared" si="6"/>
        <v>38.450000000000003</v>
      </c>
      <c r="N256" s="5">
        <f t="shared" si="7"/>
        <v>0</v>
      </c>
      <c r="O256" s="25"/>
    </row>
    <row r="257" spans="1:15" hidden="1" x14ac:dyDescent="0.3">
      <c r="A257" s="24"/>
      <c r="B257" s="26" t="s">
        <v>533</v>
      </c>
      <c r="C257" s="29" t="s">
        <v>1305</v>
      </c>
      <c r="D257" s="27">
        <v>29.8</v>
      </c>
      <c r="E257" s="24"/>
      <c r="F257" s="24"/>
      <c r="G257" s="24" t="s">
        <v>1022</v>
      </c>
      <c r="H257" s="24"/>
      <c r="I257" s="24"/>
      <c r="J257" s="24"/>
      <c r="K257" s="24"/>
      <c r="L257" s="24"/>
      <c r="M257" s="5">
        <f t="shared" si="6"/>
        <v>29.8</v>
      </c>
      <c r="N257" s="5">
        <f t="shared" si="7"/>
        <v>0</v>
      </c>
      <c r="O257" s="25"/>
    </row>
    <row r="258" spans="1:15" hidden="1" x14ac:dyDescent="0.3">
      <c r="A258" s="24"/>
      <c r="B258" s="26" t="s">
        <v>533</v>
      </c>
      <c r="C258" s="29" t="s">
        <v>1306</v>
      </c>
      <c r="D258" s="27">
        <v>28.5</v>
      </c>
      <c r="E258" s="24"/>
      <c r="F258" s="24"/>
      <c r="G258" s="24" t="s">
        <v>1022</v>
      </c>
      <c r="H258" s="24"/>
      <c r="I258" s="24"/>
      <c r="J258" s="24"/>
      <c r="K258" s="24"/>
      <c r="L258" s="24"/>
      <c r="M258" s="5">
        <f t="shared" si="6"/>
        <v>28.5</v>
      </c>
      <c r="N258" s="5">
        <f t="shared" si="7"/>
        <v>0</v>
      </c>
      <c r="O258" s="25"/>
    </row>
    <row r="259" spans="1:15" hidden="1" x14ac:dyDescent="0.3">
      <c r="A259" s="24"/>
      <c r="B259" s="26" t="s">
        <v>533</v>
      </c>
      <c r="C259" s="29" t="s">
        <v>1307</v>
      </c>
      <c r="D259" s="27">
        <v>31.2</v>
      </c>
      <c r="E259" s="24"/>
      <c r="F259" s="24"/>
      <c r="G259" s="24" t="s">
        <v>1022</v>
      </c>
      <c r="H259" s="24"/>
      <c r="I259" s="24"/>
      <c r="J259" s="24"/>
      <c r="K259" s="24"/>
      <c r="L259" s="24"/>
      <c r="M259" s="5">
        <f t="shared" ref="M259:M322" si="8">IF(G259="已出租",D259,0)</f>
        <v>31.2</v>
      </c>
      <c r="N259" s="5">
        <f t="shared" ref="N259:N322" si="9">IF(G259="未出租",D259,0)</f>
        <v>0</v>
      </c>
      <c r="O259" s="25"/>
    </row>
    <row r="260" spans="1:15" hidden="1" x14ac:dyDescent="0.3">
      <c r="A260" s="24"/>
      <c r="B260" s="26" t="s">
        <v>533</v>
      </c>
      <c r="C260" s="29" t="s">
        <v>1308</v>
      </c>
      <c r="D260" s="27">
        <v>34.29</v>
      </c>
      <c r="E260" s="24"/>
      <c r="F260" s="24"/>
      <c r="G260" s="24" t="s">
        <v>1022</v>
      </c>
      <c r="H260" s="24"/>
      <c r="I260" s="24"/>
      <c r="J260" s="24"/>
      <c r="K260" s="24"/>
      <c r="L260" s="24"/>
      <c r="M260" s="5">
        <f t="shared" si="8"/>
        <v>34.29</v>
      </c>
      <c r="N260" s="5">
        <f t="shared" si="9"/>
        <v>0</v>
      </c>
      <c r="O260" s="25"/>
    </row>
    <row r="261" spans="1:15" hidden="1" x14ac:dyDescent="0.3">
      <c r="A261" s="24"/>
      <c r="B261" s="26" t="s">
        <v>533</v>
      </c>
      <c r="C261" s="29" t="s">
        <v>1309</v>
      </c>
      <c r="D261" s="27">
        <v>31.36</v>
      </c>
      <c r="E261" s="24"/>
      <c r="F261" s="24"/>
      <c r="G261" s="24" t="s">
        <v>1022</v>
      </c>
      <c r="H261" s="24"/>
      <c r="I261" s="24"/>
      <c r="J261" s="24"/>
      <c r="K261" s="24"/>
      <c r="L261" s="24"/>
      <c r="M261" s="5">
        <f t="shared" si="8"/>
        <v>31.36</v>
      </c>
      <c r="N261" s="5">
        <f t="shared" si="9"/>
        <v>0</v>
      </c>
      <c r="O261" s="25"/>
    </row>
    <row r="262" spans="1:15" hidden="1" x14ac:dyDescent="0.3">
      <c r="A262" s="24"/>
      <c r="B262" s="26" t="s">
        <v>533</v>
      </c>
      <c r="C262" s="29" t="s">
        <v>1310</v>
      </c>
      <c r="D262" s="27">
        <v>20.61</v>
      </c>
      <c r="E262" s="24"/>
      <c r="F262" s="24"/>
      <c r="G262" s="24" t="s">
        <v>1022</v>
      </c>
      <c r="H262" s="24"/>
      <c r="I262" s="24"/>
      <c r="J262" s="24"/>
      <c r="K262" s="24"/>
      <c r="L262" s="24"/>
      <c r="M262" s="5">
        <f t="shared" si="8"/>
        <v>20.61</v>
      </c>
      <c r="N262" s="5">
        <f t="shared" si="9"/>
        <v>0</v>
      </c>
      <c r="O262" s="25"/>
    </row>
    <row r="263" spans="1:15" hidden="1" x14ac:dyDescent="0.3">
      <c r="A263" s="24"/>
      <c r="B263" s="26" t="s">
        <v>533</v>
      </c>
      <c r="C263" s="29" t="s">
        <v>1311</v>
      </c>
      <c r="D263" s="27">
        <v>20.47</v>
      </c>
      <c r="E263" s="24"/>
      <c r="F263" s="24"/>
      <c r="G263" s="24" t="s">
        <v>1022</v>
      </c>
      <c r="H263" s="24"/>
      <c r="I263" s="24"/>
      <c r="J263" s="24"/>
      <c r="K263" s="24"/>
      <c r="L263" s="24"/>
      <c r="M263" s="5">
        <f t="shared" si="8"/>
        <v>20.47</v>
      </c>
      <c r="N263" s="5">
        <f t="shared" si="9"/>
        <v>0</v>
      </c>
      <c r="O263" s="25"/>
    </row>
    <row r="264" spans="1:15" hidden="1" x14ac:dyDescent="0.3">
      <c r="A264" s="24"/>
      <c r="B264" s="26" t="s">
        <v>533</v>
      </c>
      <c r="C264" s="29" t="s">
        <v>1312</v>
      </c>
      <c r="D264" s="27">
        <v>21.94</v>
      </c>
      <c r="E264" s="24"/>
      <c r="F264" s="24"/>
      <c r="G264" s="24" t="s">
        <v>1022</v>
      </c>
      <c r="H264" s="24"/>
      <c r="I264" s="24"/>
      <c r="J264" s="24"/>
      <c r="K264" s="24"/>
      <c r="L264" s="24"/>
      <c r="M264" s="5">
        <f t="shared" si="8"/>
        <v>21.94</v>
      </c>
      <c r="N264" s="5">
        <f t="shared" si="9"/>
        <v>0</v>
      </c>
      <c r="O264" s="25"/>
    </row>
    <row r="265" spans="1:15" hidden="1" x14ac:dyDescent="0.3">
      <c r="A265" s="24"/>
      <c r="B265" s="26" t="s">
        <v>533</v>
      </c>
      <c r="C265" s="29" t="s">
        <v>1313</v>
      </c>
      <c r="D265" s="27">
        <v>20.66</v>
      </c>
      <c r="E265" s="24"/>
      <c r="F265" s="24"/>
      <c r="G265" s="24" t="s">
        <v>1022</v>
      </c>
      <c r="H265" s="24"/>
      <c r="I265" s="24"/>
      <c r="J265" s="24"/>
      <c r="K265" s="24"/>
      <c r="L265" s="24"/>
      <c r="M265" s="5">
        <f t="shared" si="8"/>
        <v>20.66</v>
      </c>
      <c r="N265" s="5">
        <f t="shared" si="9"/>
        <v>0</v>
      </c>
      <c r="O265" s="25"/>
    </row>
    <row r="266" spans="1:15" hidden="1" x14ac:dyDescent="0.3">
      <c r="A266" s="24"/>
      <c r="B266" s="26" t="s">
        <v>533</v>
      </c>
      <c r="C266" s="29" t="s">
        <v>1314</v>
      </c>
      <c r="D266" s="27">
        <v>18.940000000000001</v>
      </c>
      <c r="E266" s="24"/>
      <c r="F266" s="24"/>
      <c r="G266" s="24" t="s">
        <v>1022</v>
      </c>
      <c r="H266" s="24"/>
      <c r="I266" s="24"/>
      <c r="J266" s="24"/>
      <c r="K266" s="24"/>
      <c r="L266" s="24"/>
      <c r="M266" s="5">
        <f t="shared" si="8"/>
        <v>18.940000000000001</v>
      </c>
      <c r="N266" s="5">
        <f t="shared" si="9"/>
        <v>0</v>
      </c>
      <c r="O266" s="25"/>
    </row>
    <row r="267" spans="1:15" hidden="1" x14ac:dyDescent="0.3">
      <c r="A267" s="24"/>
      <c r="B267" s="26" t="s">
        <v>533</v>
      </c>
      <c r="C267" s="29" t="s">
        <v>1315</v>
      </c>
      <c r="D267" s="27">
        <v>19.52</v>
      </c>
      <c r="E267" s="24"/>
      <c r="F267" s="24"/>
      <c r="G267" s="24" t="s">
        <v>1022</v>
      </c>
      <c r="H267" s="24"/>
      <c r="I267" s="24"/>
      <c r="J267" s="24"/>
      <c r="K267" s="24"/>
      <c r="L267" s="24"/>
      <c r="M267" s="5">
        <f t="shared" si="8"/>
        <v>19.52</v>
      </c>
      <c r="N267" s="5">
        <f t="shared" si="9"/>
        <v>0</v>
      </c>
      <c r="O267" s="25"/>
    </row>
    <row r="268" spans="1:15" hidden="1" x14ac:dyDescent="0.3">
      <c r="A268" s="24"/>
      <c r="B268" s="26" t="s">
        <v>533</v>
      </c>
      <c r="C268" s="29" t="s">
        <v>1316</v>
      </c>
      <c r="D268" s="27">
        <v>20.239999999999998</v>
      </c>
      <c r="E268" s="24"/>
      <c r="F268" s="24"/>
      <c r="G268" s="24" t="s">
        <v>1022</v>
      </c>
      <c r="H268" s="24"/>
      <c r="I268" s="24"/>
      <c r="J268" s="24"/>
      <c r="K268" s="24"/>
      <c r="L268" s="24"/>
      <c r="M268" s="5">
        <f t="shared" si="8"/>
        <v>20.239999999999998</v>
      </c>
      <c r="N268" s="5">
        <f t="shared" si="9"/>
        <v>0</v>
      </c>
      <c r="O268" s="25"/>
    </row>
    <row r="269" spans="1:15" hidden="1" x14ac:dyDescent="0.3">
      <c r="A269" s="24"/>
      <c r="B269" s="26" t="s">
        <v>533</v>
      </c>
      <c r="C269" s="29" t="s">
        <v>1317</v>
      </c>
      <c r="D269" s="27">
        <v>21.16</v>
      </c>
      <c r="E269" s="24"/>
      <c r="F269" s="24"/>
      <c r="G269" s="24" t="s">
        <v>1022</v>
      </c>
      <c r="H269" s="24"/>
      <c r="I269" s="24"/>
      <c r="J269" s="24"/>
      <c r="K269" s="24"/>
      <c r="L269" s="24"/>
      <c r="M269" s="5">
        <f t="shared" si="8"/>
        <v>21.16</v>
      </c>
      <c r="N269" s="5">
        <f t="shared" si="9"/>
        <v>0</v>
      </c>
      <c r="O269" s="25"/>
    </row>
    <row r="270" spans="1:15" hidden="1" x14ac:dyDescent="0.3">
      <c r="A270" s="24"/>
      <c r="B270" s="26" t="s">
        <v>533</v>
      </c>
      <c r="C270" s="29" t="s">
        <v>1318</v>
      </c>
      <c r="D270" s="27">
        <v>20.239999999999998</v>
      </c>
      <c r="E270" s="24"/>
      <c r="F270" s="24"/>
      <c r="G270" s="24" t="s">
        <v>1022</v>
      </c>
      <c r="H270" s="24"/>
      <c r="I270" s="24"/>
      <c r="J270" s="24"/>
      <c r="K270" s="24"/>
      <c r="L270" s="24"/>
      <c r="M270" s="5">
        <f t="shared" si="8"/>
        <v>20.239999999999998</v>
      </c>
      <c r="N270" s="5">
        <f t="shared" si="9"/>
        <v>0</v>
      </c>
      <c r="O270" s="25"/>
    </row>
    <row r="271" spans="1:15" hidden="1" x14ac:dyDescent="0.3">
      <c r="A271" s="24"/>
      <c r="B271" s="26" t="s">
        <v>533</v>
      </c>
      <c r="C271" s="29" t="s">
        <v>1319</v>
      </c>
      <c r="D271" s="27">
        <v>20.34</v>
      </c>
      <c r="E271" s="24"/>
      <c r="F271" s="24"/>
      <c r="G271" s="24" t="s">
        <v>1022</v>
      </c>
      <c r="H271" s="24"/>
      <c r="I271" s="24"/>
      <c r="J271" s="24"/>
      <c r="K271" s="24"/>
      <c r="L271" s="24"/>
      <c r="M271" s="5">
        <f t="shared" si="8"/>
        <v>20.34</v>
      </c>
      <c r="N271" s="5">
        <f t="shared" si="9"/>
        <v>0</v>
      </c>
      <c r="O271" s="25"/>
    </row>
    <row r="272" spans="1:15" hidden="1" x14ac:dyDescent="0.3">
      <c r="A272" s="24"/>
      <c r="B272" s="26" t="s">
        <v>533</v>
      </c>
      <c r="C272" s="29" t="s">
        <v>1320</v>
      </c>
      <c r="D272" s="27">
        <v>38.700000000000003</v>
      </c>
      <c r="E272" s="24"/>
      <c r="F272" s="24"/>
      <c r="G272" s="24" t="s">
        <v>1022</v>
      </c>
      <c r="H272" s="24"/>
      <c r="I272" s="24"/>
      <c r="J272" s="24"/>
      <c r="K272" s="24"/>
      <c r="L272" s="24"/>
      <c r="M272" s="5">
        <f t="shared" si="8"/>
        <v>38.700000000000003</v>
      </c>
      <c r="N272" s="5">
        <f t="shared" si="9"/>
        <v>0</v>
      </c>
      <c r="O272" s="25"/>
    </row>
    <row r="273" spans="1:15" hidden="1" x14ac:dyDescent="0.3">
      <c r="A273" s="24"/>
      <c r="B273" s="26" t="s">
        <v>533</v>
      </c>
      <c r="C273" s="29" t="s">
        <v>1321</v>
      </c>
      <c r="D273" s="27">
        <v>30.72</v>
      </c>
      <c r="E273" s="24"/>
      <c r="F273" s="24"/>
      <c r="G273" s="24" t="s">
        <v>1022</v>
      </c>
      <c r="H273" s="24"/>
      <c r="I273" s="24"/>
      <c r="J273" s="24"/>
      <c r="K273" s="24"/>
      <c r="L273" s="24"/>
      <c r="M273" s="5">
        <f t="shared" si="8"/>
        <v>30.72</v>
      </c>
      <c r="N273" s="5">
        <f t="shared" si="9"/>
        <v>0</v>
      </c>
      <c r="O273" s="25"/>
    </row>
    <row r="274" spans="1:15" hidden="1" x14ac:dyDescent="0.3">
      <c r="A274" s="24"/>
      <c r="B274" s="26" t="s">
        <v>533</v>
      </c>
      <c r="C274" s="29" t="s">
        <v>1322</v>
      </c>
      <c r="D274" s="27">
        <v>34.44</v>
      </c>
      <c r="E274" s="24"/>
      <c r="F274" s="24"/>
      <c r="G274" s="24" t="s">
        <v>1022</v>
      </c>
      <c r="H274" s="24"/>
      <c r="I274" s="24"/>
      <c r="J274" s="24"/>
      <c r="K274" s="24"/>
      <c r="L274" s="24"/>
      <c r="M274" s="5">
        <f t="shared" si="8"/>
        <v>34.44</v>
      </c>
      <c r="N274" s="5">
        <f t="shared" si="9"/>
        <v>0</v>
      </c>
      <c r="O274" s="25"/>
    </row>
    <row r="275" spans="1:15" hidden="1" x14ac:dyDescent="0.3">
      <c r="A275" s="24"/>
      <c r="B275" s="26" t="s">
        <v>533</v>
      </c>
      <c r="C275" s="29" t="s">
        <v>1323</v>
      </c>
      <c r="D275" s="27">
        <v>29.9</v>
      </c>
      <c r="E275" s="24"/>
      <c r="F275" s="24"/>
      <c r="G275" s="24" t="s">
        <v>1022</v>
      </c>
      <c r="H275" s="24"/>
      <c r="I275" s="24"/>
      <c r="J275" s="24"/>
      <c r="K275" s="24"/>
      <c r="L275" s="24"/>
      <c r="M275" s="5">
        <f t="shared" si="8"/>
        <v>29.9</v>
      </c>
      <c r="N275" s="5">
        <f t="shared" si="9"/>
        <v>0</v>
      </c>
      <c r="O275" s="25"/>
    </row>
    <row r="276" spans="1:15" hidden="1" x14ac:dyDescent="0.3">
      <c r="A276" s="24"/>
      <c r="B276" s="26" t="s">
        <v>533</v>
      </c>
      <c r="C276" s="29" t="s">
        <v>1324</v>
      </c>
      <c r="D276" s="27">
        <v>28.68</v>
      </c>
      <c r="E276" s="24"/>
      <c r="F276" s="24"/>
      <c r="G276" s="24" t="s">
        <v>1022</v>
      </c>
      <c r="H276" s="24"/>
      <c r="I276" s="24"/>
      <c r="J276" s="24"/>
      <c r="K276" s="24"/>
      <c r="L276" s="24"/>
      <c r="M276" s="5">
        <f t="shared" si="8"/>
        <v>28.68</v>
      </c>
      <c r="N276" s="5">
        <f t="shared" si="9"/>
        <v>0</v>
      </c>
      <c r="O276" s="25"/>
    </row>
    <row r="277" spans="1:15" hidden="1" x14ac:dyDescent="0.3">
      <c r="A277" s="24"/>
      <c r="B277" s="26" t="s">
        <v>533</v>
      </c>
      <c r="C277" s="29" t="s">
        <v>1325</v>
      </c>
      <c r="D277" s="27">
        <v>32.89</v>
      </c>
      <c r="E277" s="24"/>
      <c r="F277" s="24"/>
      <c r="G277" s="24" t="s">
        <v>1022</v>
      </c>
      <c r="H277" s="24"/>
      <c r="I277" s="24"/>
      <c r="J277" s="24"/>
      <c r="K277" s="24"/>
      <c r="L277" s="24"/>
      <c r="M277" s="5">
        <f t="shared" si="8"/>
        <v>32.89</v>
      </c>
      <c r="N277" s="5">
        <f t="shared" si="9"/>
        <v>0</v>
      </c>
      <c r="O277" s="25"/>
    </row>
    <row r="278" spans="1:15" hidden="1" x14ac:dyDescent="0.3">
      <c r="A278" s="24"/>
      <c r="B278" s="26" t="s">
        <v>533</v>
      </c>
      <c r="C278" s="29" t="s">
        <v>1326</v>
      </c>
      <c r="D278" s="27">
        <f>197.79-157.43</f>
        <v>40.36</v>
      </c>
      <c r="E278" s="24"/>
      <c r="F278" s="24"/>
      <c r="G278" s="24" t="s">
        <v>1022</v>
      </c>
      <c r="H278" s="24"/>
      <c r="I278" s="24"/>
      <c r="J278" s="24"/>
      <c r="K278" s="24"/>
      <c r="L278" s="24"/>
      <c r="M278" s="5">
        <f t="shared" si="8"/>
        <v>40.36</v>
      </c>
      <c r="N278" s="5">
        <f t="shared" si="9"/>
        <v>0</v>
      </c>
      <c r="O278" s="25"/>
    </row>
    <row r="279" spans="1:15" hidden="1" x14ac:dyDescent="0.3">
      <c r="A279" s="24"/>
      <c r="B279" s="26" t="s">
        <v>533</v>
      </c>
      <c r="C279" s="29" t="s">
        <v>1327</v>
      </c>
      <c r="D279" s="27">
        <v>21.6</v>
      </c>
      <c r="E279" s="24"/>
      <c r="F279" s="24"/>
      <c r="G279" s="24" t="s">
        <v>1022</v>
      </c>
      <c r="H279" s="24"/>
      <c r="I279" s="24"/>
      <c r="J279" s="24"/>
      <c r="K279" s="24"/>
      <c r="L279" s="24"/>
      <c r="M279" s="5">
        <f t="shared" si="8"/>
        <v>21.6</v>
      </c>
      <c r="N279" s="5">
        <f t="shared" si="9"/>
        <v>0</v>
      </c>
      <c r="O279" s="25"/>
    </row>
    <row r="280" spans="1:15" hidden="1" x14ac:dyDescent="0.3">
      <c r="A280" s="24"/>
      <c r="B280" s="26" t="s">
        <v>533</v>
      </c>
      <c r="C280" s="29" t="s">
        <v>1328</v>
      </c>
      <c r="D280" s="27">
        <v>22.59</v>
      </c>
      <c r="E280" s="24"/>
      <c r="F280" s="24"/>
      <c r="G280" s="24" t="s">
        <v>1022</v>
      </c>
      <c r="H280" s="24"/>
      <c r="I280" s="24"/>
      <c r="J280" s="24"/>
      <c r="K280" s="24"/>
      <c r="L280" s="24"/>
      <c r="M280" s="5">
        <f t="shared" si="8"/>
        <v>22.59</v>
      </c>
      <c r="N280" s="5">
        <f t="shared" si="9"/>
        <v>0</v>
      </c>
      <c r="O280" s="25"/>
    </row>
    <row r="281" spans="1:15" hidden="1" x14ac:dyDescent="0.3">
      <c r="A281" s="24"/>
      <c r="B281" s="26" t="s">
        <v>533</v>
      </c>
      <c r="C281" s="29" t="s">
        <v>1329</v>
      </c>
      <c r="D281" s="27">
        <v>22.3</v>
      </c>
      <c r="E281" s="24"/>
      <c r="F281" s="24"/>
      <c r="G281" s="24" t="s">
        <v>1022</v>
      </c>
      <c r="H281" s="24"/>
      <c r="I281" s="24"/>
      <c r="J281" s="24"/>
      <c r="K281" s="24"/>
      <c r="L281" s="24"/>
      <c r="M281" s="5">
        <f t="shared" si="8"/>
        <v>22.3</v>
      </c>
      <c r="N281" s="5">
        <f t="shared" si="9"/>
        <v>0</v>
      </c>
      <c r="O281" s="25"/>
    </row>
    <row r="282" spans="1:15" hidden="1" x14ac:dyDescent="0.3">
      <c r="A282" s="24"/>
      <c r="B282" s="26" t="s">
        <v>533</v>
      </c>
      <c r="C282" s="29" t="s">
        <v>1330</v>
      </c>
      <c r="D282" s="27">
        <v>24.52</v>
      </c>
      <c r="E282" s="24"/>
      <c r="F282" s="24"/>
      <c r="G282" s="24" t="s">
        <v>1022</v>
      </c>
      <c r="H282" s="24"/>
      <c r="I282" s="24"/>
      <c r="J282" s="24"/>
      <c r="K282" s="24"/>
      <c r="L282" s="24"/>
      <c r="M282" s="5">
        <f t="shared" si="8"/>
        <v>24.52</v>
      </c>
      <c r="N282" s="5">
        <f t="shared" si="9"/>
        <v>0</v>
      </c>
      <c r="O282" s="25"/>
    </row>
    <row r="283" spans="1:15" hidden="1" x14ac:dyDescent="0.3">
      <c r="A283" s="24"/>
      <c r="B283" s="26" t="s">
        <v>533</v>
      </c>
      <c r="C283" s="29" t="s">
        <v>1331</v>
      </c>
      <c r="D283" s="27">
        <v>34.700000000000003</v>
      </c>
      <c r="E283" s="24"/>
      <c r="F283" s="24"/>
      <c r="G283" s="24" t="s">
        <v>1022</v>
      </c>
      <c r="H283" s="24"/>
      <c r="I283" s="24"/>
      <c r="J283" s="24"/>
      <c r="K283" s="24"/>
      <c r="L283" s="24"/>
      <c r="M283" s="5">
        <f t="shared" si="8"/>
        <v>34.700000000000003</v>
      </c>
      <c r="N283" s="5">
        <f t="shared" si="9"/>
        <v>0</v>
      </c>
      <c r="O283" s="25"/>
    </row>
    <row r="284" spans="1:15" hidden="1" x14ac:dyDescent="0.3">
      <c r="A284" s="24"/>
      <c r="B284" s="26" t="s">
        <v>533</v>
      </c>
      <c r="C284" s="29" t="s">
        <v>1332</v>
      </c>
      <c r="D284" s="27"/>
      <c r="E284" s="24"/>
      <c r="F284" s="24"/>
      <c r="G284" s="24" t="s">
        <v>1022</v>
      </c>
      <c r="H284" s="24"/>
      <c r="I284" s="24"/>
      <c r="J284" s="24"/>
      <c r="K284" s="24"/>
      <c r="L284" s="24"/>
      <c r="M284" s="5">
        <f t="shared" si="8"/>
        <v>0</v>
      </c>
      <c r="N284" s="5">
        <f t="shared" si="9"/>
        <v>0</v>
      </c>
      <c r="O284" s="25"/>
    </row>
    <row r="285" spans="1:15" hidden="1" x14ac:dyDescent="0.3">
      <c r="A285" s="24"/>
      <c r="B285" s="26" t="s">
        <v>533</v>
      </c>
      <c r="C285" s="29" t="s">
        <v>1333</v>
      </c>
      <c r="D285" s="27">
        <v>39.97</v>
      </c>
      <c r="E285" s="24"/>
      <c r="F285" s="24"/>
      <c r="G285" s="24" t="s">
        <v>1022</v>
      </c>
      <c r="H285" s="24"/>
      <c r="I285" s="24"/>
      <c r="J285" s="24"/>
      <c r="K285" s="24"/>
      <c r="L285" s="24"/>
      <c r="M285" s="5">
        <f t="shared" si="8"/>
        <v>39.97</v>
      </c>
      <c r="N285" s="5">
        <f t="shared" si="9"/>
        <v>0</v>
      </c>
      <c r="O285" s="25"/>
    </row>
    <row r="286" spans="1:15" hidden="1" x14ac:dyDescent="0.3">
      <c r="A286" s="24"/>
      <c r="B286" s="26" t="s">
        <v>533</v>
      </c>
      <c r="C286" s="24" t="s">
        <v>1334</v>
      </c>
      <c r="D286" s="33">
        <v>28.66</v>
      </c>
      <c r="E286" s="24"/>
      <c r="F286" s="24"/>
      <c r="G286" s="24" t="s">
        <v>1022</v>
      </c>
      <c r="H286" s="24"/>
      <c r="I286" s="24"/>
      <c r="J286" s="24"/>
      <c r="K286" s="24"/>
      <c r="L286" s="24"/>
      <c r="M286" s="5">
        <f t="shared" si="8"/>
        <v>28.66</v>
      </c>
      <c r="N286" s="5">
        <f t="shared" si="9"/>
        <v>0</v>
      </c>
      <c r="O286" s="25"/>
    </row>
    <row r="287" spans="1:15" hidden="1" x14ac:dyDescent="0.3">
      <c r="A287" s="24"/>
      <c r="B287" s="26" t="s">
        <v>533</v>
      </c>
      <c r="C287" s="24" t="s">
        <v>1335</v>
      </c>
      <c r="D287" s="33">
        <v>13.16</v>
      </c>
      <c r="E287" s="24"/>
      <c r="F287" s="24"/>
      <c r="G287" s="24" t="s">
        <v>1022</v>
      </c>
      <c r="H287" s="24"/>
      <c r="I287" s="24"/>
      <c r="J287" s="24"/>
      <c r="K287" s="24"/>
      <c r="L287" s="24"/>
      <c r="M287" s="5">
        <f t="shared" si="8"/>
        <v>13.16</v>
      </c>
      <c r="N287" s="5">
        <f t="shared" si="9"/>
        <v>0</v>
      </c>
      <c r="O287" s="25"/>
    </row>
    <row r="288" spans="1:15" hidden="1" x14ac:dyDescent="0.3">
      <c r="A288" s="24"/>
      <c r="B288" s="26" t="s">
        <v>533</v>
      </c>
      <c r="C288" s="24" t="s">
        <v>1336</v>
      </c>
      <c r="D288" s="33">
        <v>19.239999999999998</v>
      </c>
      <c r="E288" s="24"/>
      <c r="F288" s="24"/>
      <c r="G288" s="24" t="s">
        <v>1022</v>
      </c>
      <c r="H288" s="24"/>
      <c r="I288" s="24"/>
      <c r="J288" s="24"/>
      <c r="K288" s="24"/>
      <c r="L288" s="24"/>
      <c r="M288" s="5">
        <f t="shared" si="8"/>
        <v>19.239999999999998</v>
      </c>
      <c r="N288" s="5">
        <f t="shared" si="9"/>
        <v>0</v>
      </c>
      <c r="O288" s="25"/>
    </row>
    <row r="289" spans="1:15" hidden="1" x14ac:dyDescent="0.3">
      <c r="A289" s="24"/>
      <c r="B289" s="26" t="s">
        <v>533</v>
      </c>
      <c r="C289" s="24" t="s">
        <v>1337</v>
      </c>
      <c r="D289" s="33">
        <v>18.64</v>
      </c>
      <c r="E289" s="24"/>
      <c r="F289" s="24"/>
      <c r="G289" s="24" t="s">
        <v>1022</v>
      </c>
      <c r="H289" s="24"/>
      <c r="I289" s="24"/>
      <c r="J289" s="24"/>
      <c r="K289" s="24"/>
      <c r="L289" s="24"/>
      <c r="M289" s="5">
        <f t="shared" si="8"/>
        <v>18.64</v>
      </c>
      <c r="N289" s="5">
        <f t="shared" si="9"/>
        <v>0</v>
      </c>
      <c r="O289" s="25"/>
    </row>
    <row r="290" spans="1:15" hidden="1" x14ac:dyDescent="0.3">
      <c r="A290" s="24"/>
      <c r="B290" s="26" t="s">
        <v>533</v>
      </c>
      <c r="C290" s="24" t="s">
        <v>1338</v>
      </c>
      <c r="D290" s="33">
        <v>18.260000000000002</v>
      </c>
      <c r="E290" s="24"/>
      <c r="F290" s="24"/>
      <c r="G290" s="24" t="s">
        <v>1022</v>
      </c>
      <c r="H290" s="24"/>
      <c r="I290" s="24"/>
      <c r="J290" s="24"/>
      <c r="K290" s="24"/>
      <c r="L290" s="24"/>
      <c r="M290" s="5">
        <f t="shared" si="8"/>
        <v>18.260000000000002</v>
      </c>
      <c r="N290" s="5">
        <f t="shared" si="9"/>
        <v>0</v>
      </c>
      <c r="O290" s="25"/>
    </row>
    <row r="291" spans="1:15" hidden="1" x14ac:dyDescent="0.3">
      <c r="A291" s="24"/>
      <c r="B291" s="26" t="s">
        <v>533</v>
      </c>
      <c r="C291" s="24" t="s">
        <v>1339</v>
      </c>
      <c r="D291" s="33">
        <v>18.239999999999998</v>
      </c>
      <c r="E291" s="24"/>
      <c r="F291" s="24"/>
      <c r="G291" s="24" t="s">
        <v>1022</v>
      </c>
      <c r="H291" s="24"/>
      <c r="I291" s="24"/>
      <c r="J291" s="24"/>
      <c r="K291" s="24"/>
      <c r="L291" s="24"/>
      <c r="M291" s="5">
        <f t="shared" si="8"/>
        <v>18.239999999999998</v>
      </c>
      <c r="N291" s="5">
        <f t="shared" si="9"/>
        <v>0</v>
      </c>
      <c r="O291" s="25"/>
    </row>
    <row r="292" spans="1:15" hidden="1" x14ac:dyDescent="0.3">
      <c r="A292" s="24"/>
      <c r="B292" s="26" t="s">
        <v>533</v>
      </c>
      <c r="C292" s="24" t="s">
        <v>1340</v>
      </c>
      <c r="D292" s="33">
        <v>21.1</v>
      </c>
      <c r="E292" s="24"/>
      <c r="F292" s="24"/>
      <c r="G292" s="24" t="s">
        <v>1022</v>
      </c>
      <c r="H292" s="24"/>
      <c r="I292" s="24"/>
      <c r="J292" s="24"/>
      <c r="K292" s="24"/>
      <c r="L292" s="24"/>
      <c r="M292" s="5">
        <f t="shared" si="8"/>
        <v>21.1</v>
      </c>
      <c r="N292" s="5">
        <f t="shared" si="9"/>
        <v>0</v>
      </c>
      <c r="O292" s="25"/>
    </row>
    <row r="293" spans="1:15" hidden="1" x14ac:dyDescent="0.3">
      <c r="A293" s="24"/>
      <c r="B293" s="26" t="s">
        <v>533</v>
      </c>
      <c r="C293" s="24" t="s">
        <v>1341</v>
      </c>
      <c r="D293" s="33">
        <v>28.6</v>
      </c>
      <c r="E293" s="24"/>
      <c r="F293" s="24"/>
      <c r="G293" s="24" t="s">
        <v>1022</v>
      </c>
      <c r="H293" s="24"/>
      <c r="I293" s="24"/>
      <c r="J293" s="24"/>
      <c r="K293" s="24"/>
      <c r="L293" s="24"/>
      <c r="M293" s="5">
        <f t="shared" si="8"/>
        <v>28.6</v>
      </c>
      <c r="N293" s="5">
        <f t="shared" si="9"/>
        <v>0</v>
      </c>
      <c r="O293" s="25"/>
    </row>
    <row r="294" spans="1:15" x14ac:dyDescent="0.3">
      <c r="A294" s="24"/>
      <c r="B294" s="26" t="s">
        <v>533</v>
      </c>
      <c r="C294" s="24" t="s">
        <v>1342</v>
      </c>
      <c r="D294" s="33">
        <v>18.64</v>
      </c>
      <c r="E294" s="34"/>
      <c r="F294" s="34"/>
      <c r="G294" s="34" t="s">
        <v>74</v>
      </c>
      <c r="H294" s="24"/>
      <c r="I294" s="24"/>
      <c r="J294" s="24"/>
      <c r="K294" s="24"/>
      <c r="L294" s="24"/>
      <c r="M294" s="5">
        <f t="shared" si="8"/>
        <v>0</v>
      </c>
      <c r="N294" s="5">
        <f t="shared" si="9"/>
        <v>18.64</v>
      </c>
      <c r="O294" s="25"/>
    </row>
    <row r="295" spans="1:15" hidden="1" x14ac:dyDescent="0.3">
      <c r="A295" s="24"/>
      <c r="B295" s="26" t="s">
        <v>533</v>
      </c>
      <c r="C295" s="24" t="s">
        <v>1343</v>
      </c>
      <c r="D295" s="140">
        <v>44.3</v>
      </c>
      <c r="E295" s="24"/>
      <c r="F295" s="24"/>
      <c r="G295" s="24" t="s">
        <v>1022</v>
      </c>
      <c r="H295" s="24"/>
      <c r="I295" s="24"/>
      <c r="J295" s="24"/>
      <c r="K295" s="24"/>
      <c r="L295" s="24"/>
      <c r="M295" s="5">
        <f t="shared" si="8"/>
        <v>44.3</v>
      </c>
      <c r="N295" s="5">
        <f t="shared" si="9"/>
        <v>0</v>
      </c>
      <c r="O295" s="25"/>
    </row>
    <row r="296" spans="1:15" hidden="1" x14ac:dyDescent="0.3">
      <c r="A296" s="24"/>
      <c r="B296" s="26" t="s">
        <v>533</v>
      </c>
      <c r="C296" s="24" t="s">
        <v>1344</v>
      </c>
      <c r="D296" s="140"/>
      <c r="E296" s="24"/>
      <c r="F296" s="24"/>
      <c r="G296" s="24" t="s">
        <v>1022</v>
      </c>
      <c r="H296" s="24"/>
      <c r="I296" s="24"/>
      <c r="J296" s="24"/>
      <c r="K296" s="24"/>
      <c r="L296" s="24"/>
      <c r="M296" s="5">
        <f t="shared" si="8"/>
        <v>0</v>
      </c>
      <c r="N296" s="5">
        <f t="shared" si="9"/>
        <v>0</v>
      </c>
      <c r="O296" s="25"/>
    </row>
    <row r="297" spans="1:15" hidden="1" x14ac:dyDescent="0.3">
      <c r="A297" s="24"/>
      <c r="B297" s="26" t="s">
        <v>533</v>
      </c>
      <c r="C297" s="24" t="s">
        <v>1345</v>
      </c>
      <c r="D297" s="33">
        <v>40.700000000000003</v>
      </c>
      <c r="E297" s="24"/>
      <c r="F297" s="24"/>
      <c r="G297" s="24" t="s">
        <v>1022</v>
      </c>
      <c r="H297" s="24"/>
      <c r="I297" s="24"/>
      <c r="J297" s="24"/>
      <c r="K297" s="24"/>
      <c r="L297" s="24"/>
      <c r="M297" s="5">
        <f t="shared" si="8"/>
        <v>40.700000000000003</v>
      </c>
      <c r="N297" s="5">
        <f t="shared" si="9"/>
        <v>0</v>
      </c>
      <c r="O297" s="25"/>
    </row>
    <row r="298" spans="1:15" x14ac:dyDescent="0.3">
      <c r="A298" s="24"/>
      <c r="B298" s="26" t="s">
        <v>533</v>
      </c>
      <c r="C298" s="24" t="s">
        <v>1346</v>
      </c>
      <c r="D298" s="33">
        <v>44</v>
      </c>
      <c r="E298" s="34"/>
      <c r="F298" s="34"/>
      <c r="G298" s="34" t="s">
        <v>74</v>
      </c>
      <c r="H298" s="24"/>
      <c r="I298" s="24"/>
      <c r="J298" s="24"/>
      <c r="K298" s="24"/>
      <c r="L298" s="24"/>
      <c r="M298" s="5">
        <f t="shared" si="8"/>
        <v>0</v>
      </c>
      <c r="N298" s="5">
        <f t="shared" si="9"/>
        <v>44</v>
      </c>
      <c r="O298" s="25"/>
    </row>
    <row r="299" spans="1:15" x14ac:dyDescent="0.3">
      <c r="A299" s="24"/>
      <c r="B299" s="26" t="s">
        <v>533</v>
      </c>
      <c r="C299" s="24" t="s">
        <v>1347</v>
      </c>
      <c r="D299" s="33">
        <v>41.98</v>
      </c>
      <c r="E299" s="34"/>
      <c r="F299" s="34"/>
      <c r="G299" s="34" t="s">
        <v>74</v>
      </c>
      <c r="H299" s="24"/>
      <c r="I299" s="24"/>
      <c r="J299" s="24"/>
      <c r="K299" s="24"/>
      <c r="L299" s="24"/>
      <c r="M299" s="5">
        <f t="shared" si="8"/>
        <v>0</v>
      </c>
      <c r="N299" s="5">
        <f t="shared" si="9"/>
        <v>41.98</v>
      </c>
      <c r="O299" s="25"/>
    </row>
    <row r="300" spans="1:15" hidden="1" x14ac:dyDescent="0.3">
      <c r="A300" s="24"/>
      <c r="B300" s="26" t="s">
        <v>533</v>
      </c>
      <c r="C300" s="24" t="s">
        <v>1348</v>
      </c>
      <c r="D300" s="33">
        <v>42.24</v>
      </c>
      <c r="E300" s="24"/>
      <c r="F300" s="24"/>
      <c r="G300" s="24" t="s">
        <v>1022</v>
      </c>
      <c r="H300" s="24"/>
      <c r="I300" s="24"/>
      <c r="J300" s="24"/>
      <c r="K300" s="24"/>
      <c r="L300" s="24"/>
      <c r="M300" s="5">
        <f t="shared" si="8"/>
        <v>42.24</v>
      </c>
      <c r="N300" s="5">
        <f t="shared" si="9"/>
        <v>0</v>
      </c>
      <c r="O300" s="25"/>
    </row>
    <row r="301" spans="1:15" hidden="1" x14ac:dyDescent="0.3">
      <c r="A301" s="24"/>
      <c r="B301" s="26" t="s">
        <v>533</v>
      </c>
      <c r="C301" s="24" t="s">
        <v>1349</v>
      </c>
      <c r="D301" s="33">
        <v>42.36</v>
      </c>
      <c r="E301" s="24"/>
      <c r="F301" s="24"/>
      <c r="G301" s="24" t="s">
        <v>1022</v>
      </c>
      <c r="H301" s="24"/>
      <c r="I301" s="24"/>
      <c r="J301" s="24"/>
      <c r="K301" s="24"/>
      <c r="L301" s="24"/>
      <c r="M301" s="5">
        <f t="shared" si="8"/>
        <v>42.36</v>
      </c>
      <c r="N301" s="5">
        <f t="shared" si="9"/>
        <v>0</v>
      </c>
      <c r="O301" s="25"/>
    </row>
    <row r="302" spans="1:15" hidden="1" x14ac:dyDescent="0.3">
      <c r="A302" s="24"/>
      <c r="B302" s="26" t="s">
        <v>533</v>
      </c>
      <c r="C302" s="24" t="s">
        <v>1350</v>
      </c>
      <c r="D302" s="33">
        <v>20</v>
      </c>
      <c r="E302" s="24"/>
      <c r="F302" s="24"/>
      <c r="G302" s="24" t="s">
        <v>1022</v>
      </c>
      <c r="H302" s="24"/>
      <c r="I302" s="24"/>
      <c r="J302" s="24"/>
      <c r="K302" s="24"/>
      <c r="L302" s="24"/>
      <c r="M302" s="5">
        <f t="shared" si="8"/>
        <v>20</v>
      </c>
      <c r="N302" s="5">
        <f t="shared" si="9"/>
        <v>0</v>
      </c>
      <c r="O302" s="25"/>
    </row>
    <row r="303" spans="1:15" hidden="1" x14ac:dyDescent="0.3">
      <c r="A303" s="24"/>
      <c r="B303" s="26" t="s">
        <v>533</v>
      </c>
      <c r="C303" s="24" t="s">
        <v>1351</v>
      </c>
      <c r="D303" s="33">
        <v>23.64</v>
      </c>
      <c r="E303" s="24"/>
      <c r="F303" s="24"/>
      <c r="G303" s="24" t="s">
        <v>1022</v>
      </c>
      <c r="H303" s="24"/>
      <c r="I303" s="24"/>
      <c r="J303" s="24"/>
      <c r="K303" s="24"/>
      <c r="L303" s="24"/>
      <c r="M303" s="5">
        <f t="shared" si="8"/>
        <v>23.64</v>
      </c>
      <c r="N303" s="5">
        <f t="shared" si="9"/>
        <v>0</v>
      </c>
      <c r="O303" s="25"/>
    </row>
    <row r="304" spans="1:15" hidden="1" x14ac:dyDescent="0.3">
      <c r="A304" s="24"/>
      <c r="B304" s="26" t="s">
        <v>533</v>
      </c>
      <c r="C304" s="24" t="s">
        <v>1352</v>
      </c>
      <c r="D304" s="33">
        <v>23.4</v>
      </c>
      <c r="E304" s="24"/>
      <c r="F304" s="24"/>
      <c r="G304" s="24" t="s">
        <v>1022</v>
      </c>
      <c r="H304" s="24"/>
      <c r="I304" s="24"/>
      <c r="J304" s="24"/>
      <c r="K304" s="24"/>
      <c r="L304" s="24"/>
      <c r="M304" s="5">
        <f t="shared" si="8"/>
        <v>23.4</v>
      </c>
      <c r="N304" s="5">
        <f t="shared" si="9"/>
        <v>0</v>
      </c>
      <c r="O304" s="25"/>
    </row>
    <row r="305" spans="1:15" hidden="1" x14ac:dyDescent="0.3">
      <c r="A305" s="24"/>
      <c r="B305" s="26" t="s">
        <v>533</v>
      </c>
      <c r="C305" s="24" t="s">
        <v>1353</v>
      </c>
      <c r="D305" s="33">
        <v>23.2</v>
      </c>
      <c r="E305" s="24"/>
      <c r="F305" s="24"/>
      <c r="G305" s="24" t="s">
        <v>1022</v>
      </c>
      <c r="H305" s="24"/>
      <c r="I305" s="24"/>
      <c r="J305" s="24"/>
      <c r="K305" s="24"/>
      <c r="L305" s="24"/>
      <c r="M305" s="5">
        <f t="shared" si="8"/>
        <v>23.2</v>
      </c>
      <c r="N305" s="5">
        <f t="shared" si="9"/>
        <v>0</v>
      </c>
      <c r="O305" s="25"/>
    </row>
    <row r="306" spans="1:15" hidden="1" x14ac:dyDescent="0.3">
      <c r="A306" s="24"/>
      <c r="B306" s="26" t="s">
        <v>533</v>
      </c>
      <c r="C306" s="24" t="s">
        <v>1354</v>
      </c>
      <c r="D306" s="33">
        <v>23.2</v>
      </c>
      <c r="E306" s="24"/>
      <c r="F306" s="24"/>
      <c r="G306" s="24" t="s">
        <v>1022</v>
      </c>
      <c r="H306" s="24"/>
      <c r="I306" s="24"/>
      <c r="J306" s="24"/>
      <c r="K306" s="24"/>
      <c r="L306" s="24"/>
      <c r="M306" s="5">
        <f t="shared" si="8"/>
        <v>23.2</v>
      </c>
      <c r="N306" s="5">
        <f t="shared" si="9"/>
        <v>0</v>
      </c>
      <c r="O306" s="25"/>
    </row>
    <row r="307" spans="1:15" hidden="1" x14ac:dyDescent="0.3">
      <c r="A307" s="24"/>
      <c r="B307" s="26" t="s">
        <v>533</v>
      </c>
      <c r="C307" s="24" t="s">
        <v>1355</v>
      </c>
      <c r="D307" s="33">
        <v>21.5</v>
      </c>
      <c r="E307" s="24"/>
      <c r="F307" s="24"/>
      <c r="G307" s="24" t="s">
        <v>1022</v>
      </c>
      <c r="H307" s="24"/>
      <c r="I307" s="24"/>
      <c r="J307" s="24"/>
      <c r="K307" s="24"/>
      <c r="L307" s="24"/>
      <c r="M307" s="5">
        <f t="shared" si="8"/>
        <v>21.5</v>
      </c>
      <c r="N307" s="5">
        <f t="shared" si="9"/>
        <v>0</v>
      </c>
      <c r="O307" s="25"/>
    </row>
    <row r="308" spans="1:15" hidden="1" x14ac:dyDescent="0.3">
      <c r="A308" s="24"/>
      <c r="B308" s="26" t="s">
        <v>533</v>
      </c>
      <c r="C308" s="24" t="s">
        <v>1356</v>
      </c>
      <c r="D308" s="33">
        <v>21.5</v>
      </c>
      <c r="E308" s="24"/>
      <c r="F308" s="24"/>
      <c r="G308" s="24" t="s">
        <v>1022</v>
      </c>
      <c r="H308" s="24"/>
      <c r="I308" s="24"/>
      <c r="J308" s="24"/>
      <c r="K308" s="24"/>
      <c r="L308" s="24"/>
      <c r="M308" s="5">
        <f t="shared" si="8"/>
        <v>21.5</v>
      </c>
      <c r="N308" s="5">
        <f t="shared" si="9"/>
        <v>0</v>
      </c>
      <c r="O308" s="25"/>
    </row>
    <row r="309" spans="1:15" hidden="1" x14ac:dyDescent="0.3">
      <c r="A309" s="24"/>
      <c r="B309" s="26" t="s">
        <v>533</v>
      </c>
      <c r="C309" s="24" t="s">
        <v>1357</v>
      </c>
      <c r="D309" s="140">
        <v>36.619999999999997</v>
      </c>
      <c r="E309" s="24"/>
      <c r="F309" s="24"/>
      <c r="G309" s="24" t="s">
        <v>1022</v>
      </c>
      <c r="H309" s="24"/>
      <c r="I309" s="24"/>
      <c r="J309" s="24"/>
      <c r="K309" s="24"/>
      <c r="L309" s="24"/>
      <c r="M309" s="5">
        <f t="shared" si="8"/>
        <v>36.619999999999997</v>
      </c>
      <c r="N309" s="5">
        <f t="shared" si="9"/>
        <v>0</v>
      </c>
      <c r="O309" s="25"/>
    </row>
    <row r="310" spans="1:15" hidden="1" x14ac:dyDescent="0.3">
      <c r="A310" s="24"/>
      <c r="B310" s="26" t="s">
        <v>533</v>
      </c>
      <c r="C310" s="24" t="s">
        <v>1358</v>
      </c>
      <c r="D310" s="140"/>
      <c r="E310" s="24"/>
      <c r="F310" s="24"/>
      <c r="G310" s="24" t="s">
        <v>1022</v>
      </c>
      <c r="H310" s="24"/>
      <c r="I310" s="24"/>
      <c r="J310" s="24"/>
      <c r="K310" s="24"/>
      <c r="L310" s="24"/>
      <c r="M310" s="5">
        <f t="shared" si="8"/>
        <v>0</v>
      </c>
      <c r="N310" s="5">
        <f t="shared" si="9"/>
        <v>0</v>
      </c>
      <c r="O310" s="25"/>
    </row>
    <row r="311" spans="1:15" x14ac:dyDescent="0.3">
      <c r="A311" s="24"/>
      <c r="B311" s="26" t="s">
        <v>533</v>
      </c>
      <c r="C311" s="24" t="s">
        <v>1359</v>
      </c>
      <c r="D311" s="33">
        <v>39.619999999999997</v>
      </c>
      <c r="E311" s="34"/>
      <c r="F311" s="34"/>
      <c r="G311" s="34" t="s">
        <v>74</v>
      </c>
      <c r="H311" s="24"/>
      <c r="I311" s="24"/>
      <c r="J311" s="24"/>
      <c r="K311" s="24"/>
      <c r="L311" s="24"/>
      <c r="M311" s="5">
        <f t="shared" si="8"/>
        <v>0</v>
      </c>
      <c r="N311" s="5">
        <f t="shared" si="9"/>
        <v>39.619999999999997</v>
      </c>
      <c r="O311" s="25"/>
    </row>
    <row r="312" spans="1:15" x14ac:dyDescent="0.3">
      <c r="A312" s="24"/>
      <c r="B312" s="26" t="s">
        <v>533</v>
      </c>
      <c r="C312" s="24" t="s">
        <v>1360</v>
      </c>
      <c r="D312" s="33">
        <v>46</v>
      </c>
      <c r="E312" s="34"/>
      <c r="F312" s="34"/>
      <c r="G312" s="34" t="s">
        <v>74</v>
      </c>
      <c r="H312" s="24"/>
      <c r="I312" s="24"/>
      <c r="J312" s="24"/>
      <c r="K312" s="24"/>
      <c r="L312" s="24"/>
      <c r="M312" s="5">
        <f t="shared" si="8"/>
        <v>0</v>
      </c>
      <c r="N312" s="5">
        <f t="shared" si="9"/>
        <v>46</v>
      </c>
      <c r="O312" s="25"/>
    </row>
    <row r="313" spans="1:15" hidden="1" x14ac:dyDescent="0.3">
      <c r="A313" s="24"/>
      <c r="B313" s="26" t="s">
        <v>533</v>
      </c>
      <c r="C313" s="24" t="s">
        <v>1361</v>
      </c>
      <c r="D313" s="33">
        <v>33.04</v>
      </c>
      <c r="E313" s="24"/>
      <c r="F313" s="24"/>
      <c r="G313" s="24" t="s">
        <v>1022</v>
      </c>
      <c r="H313" s="24"/>
      <c r="I313" s="24"/>
      <c r="J313" s="24"/>
      <c r="K313" s="24"/>
      <c r="L313" s="24"/>
      <c r="M313" s="5">
        <f t="shared" si="8"/>
        <v>33.04</v>
      </c>
      <c r="N313" s="5">
        <f t="shared" si="9"/>
        <v>0</v>
      </c>
      <c r="O313" s="25"/>
    </row>
    <row r="314" spans="1:15" hidden="1" x14ac:dyDescent="0.3">
      <c r="A314" s="24"/>
      <c r="B314" s="26" t="s">
        <v>533</v>
      </c>
      <c r="C314" s="24" t="s">
        <v>1362</v>
      </c>
      <c r="D314" s="33">
        <v>22.23</v>
      </c>
      <c r="E314" s="24"/>
      <c r="F314" s="24"/>
      <c r="G314" s="24" t="s">
        <v>1022</v>
      </c>
      <c r="H314" s="24"/>
      <c r="I314" s="24"/>
      <c r="J314" s="24"/>
      <c r="K314" s="24"/>
      <c r="L314" s="24"/>
      <c r="M314" s="5">
        <f t="shared" si="8"/>
        <v>22.23</v>
      </c>
      <c r="N314" s="5">
        <f t="shared" si="9"/>
        <v>0</v>
      </c>
      <c r="O314" s="25"/>
    </row>
    <row r="315" spans="1:15" hidden="1" x14ac:dyDescent="0.3">
      <c r="A315" s="24"/>
      <c r="B315" s="26" t="s">
        <v>533</v>
      </c>
      <c r="C315" s="24" t="s">
        <v>1363</v>
      </c>
      <c r="D315" s="33">
        <v>21.48</v>
      </c>
      <c r="E315" s="24"/>
      <c r="F315" s="24"/>
      <c r="G315" s="24" t="s">
        <v>1022</v>
      </c>
      <c r="H315" s="24"/>
      <c r="I315" s="24"/>
      <c r="J315" s="24"/>
      <c r="K315" s="24"/>
      <c r="L315" s="24"/>
      <c r="M315" s="5">
        <f t="shared" si="8"/>
        <v>21.48</v>
      </c>
      <c r="N315" s="5">
        <f t="shared" si="9"/>
        <v>0</v>
      </c>
      <c r="O315" s="25"/>
    </row>
    <row r="316" spans="1:15" hidden="1" x14ac:dyDescent="0.3">
      <c r="A316" s="24"/>
      <c r="B316" s="26" t="s">
        <v>533</v>
      </c>
      <c r="C316" s="24" t="s">
        <v>1364</v>
      </c>
      <c r="D316" s="33">
        <v>11.79</v>
      </c>
      <c r="E316" s="24"/>
      <c r="F316" s="24"/>
      <c r="G316" s="24" t="s">
        <v>1022</v>
      </c>
      <c r="H316" s="24"/>
      <c r="I316" s="24"/>
      <c r="J316" s="24"/>
      <c r="K316" s="24"/>
      <c r="L316" s="24"/>
      <c r="M316" s="5">
        <f t="shared" si="8"/>
        <v>11.79</v>
      </c>
      <c r="N316" s="5">
        <f t="shared" si="9"/>
        <v>0</v>
      </c>
      <c r="O316" s="25"/>
    </row>
    <row r="317" spans="1:15" hidden="1" x14ac:dyDescent="0.3">
      <c r="A317" s="24"/>
      <c r="B317" s="26" t="s">
        <v>533</v>
      </c>
      <c r="C317" s="24" t="s">
        <v>1365</v>
      </c>
      <c r="D317" s="33">
        <v>57.48</v>
      </c>
      <c r="E317" s="24"/>
      <c r="F317" s="24"/>
      <c r="G317" s="24" t="s">
        <v>1022</v>
      </c>
      <c r="H317" s="24"/>
      <c r="I317" s="24"/>
      <c r="J317" s="24"/>
      <c r="K317" s="24"/>
      <c r="L317" s="24"/>
      <c r="M317" s="5">
        <f t="shared" si="8"/>
        <v>57.48</v>
      </c>
      <c r="N317" s="5">
        <f t="shared" si="9"/>
        <v>0</v>
      </c>
      <c r="O317" s="25"/>
    </row>
    <row r="318" spans="1:15" hidden="1" x14ac:dyDescent="0.3">
      <c r="A318" s="24"/>
      <c r="B318" s="26" t="s">
        <v>533</v>
      </c>
      <c r="C318" s="24" t="s">
        <v>1366</v>
      </c>
      <c r="D318" s="33">
        <v>32.68</v>
      </c>
      <c r="E318" s="24"/>
      <c r="F318" s="24"/>
      <c r="G318" s="24" t="s">
        <v>1022</v>
      </c>
      <c r="H318" s="24"/>
      <c r="I318" s="24"/>
      <c r="J318" s="24"/>
      <c r="K318" s="24"/>
      <c r="L318" s="24"/>
      <c r="M318" s="5">
        <f t="shared" si="8"/>
        <v>32.68</v>
      </c>
      <c r="N318" s="5">
        <f t="shared" si="9"/>
        <v>0</v>
      </c>
      <c r="O318" s="25"/>
    </row>
    <row r="319" spans="1:15" hidden="1" x14ac:dyDescent="0.3">
      <c r="A319" s="24"/>
      <c r="B319" s="26" t="s">
        <v>533</v>
      </c>
      <c r="C319" s="29" t="s">
        <v>1326</v>
      </c>
      <c r="D319" s="27">
        <v>6.38</v>
      </c>
      <c r="E319" s="24"/>
      <c r="F319" s="24"/>
      <c r="G319" s="24" t="s">
        <v>1022</v>
      </c>
      <c r="H319" s="24"/>
      <c r="I319" s="24"/>
      <c r="J319" s="24"/>
      <c r="K319" s="24"/>
      <c r="L319" s="24"/>
      <c r="M319" s="5">
        <f t="shared" si="8"/>
        <v>6.38</v>
      </c>
      <c r="N319" s="5">
        <f t="shared" si="9"/>
        <v>0</v>
      </c>
      <c r="O319" s="25"/>
    </row>
    <row r="320" spans="1:15" x14ac:dyDescent="0.3">
      <c r="A320" s="24"/>
      <c r="B320" s="26" t="s">
        <v>604</v>
      </c>
      <c r="C320" s="29" t="s">
        <v>1367</v>
      </c>
      <c r="D320" s="24">
        <v>100</v>
      </c>
      <c r="E320" s="34"/>
      <c r="F320" s="34"/>
      <c r="G320" s="34" t="s">
        <v>74</v>
      </c>
      <c r="H320" s="24"/>
      <c r="I320" s="24"/>
      <c r="J320" s="24"/>
      <c r="K320" s="24"/>
      <c r="L320" s="24"/>
      <c r="M320" s="5">
        <f t="shared" si="8"/>
        <v>0</v>
      </c>
      <c r="N320" s="5">
        <f t="shared" si="9"/>
        <v>100</v>
      </c>
      <c r="O320" s="25"/>
    </row>
    <row r="321" spans="1:15" x14ac:dyDescent="0.3">
      <c r="A321" s="24"/>
      <c r="B321" s="26" t="s">
        <v>604</v>
      </c>
      <c r="C321" s="29" t="s">
        <v>1368</v>
      </c>
      <c r="D321" s="24">
        <v>94</v>
      </c>
      <c r="E321" s="34"/>
      <c r="F321" s="34"/>
      <c r="G321" s="34" t="s">
        <v>74</v>
      </c>
      <c r="H321" s="24"/>
      <c r="I321" s="24"/>
      <c r="J321" s="24"/>
      <c r="K321" s="24"/>
      <c r="L321" s="24"/>
      <c r="M321" s="5">
        <f t="shared" si="8"/>
        <v>0</v>
      </c>
      <c r="N321" s="5">
        <f t="shared" si="9"/>
        <v>94</v>
      </c>
      <c r="O321" s="25"/>
    </row>
    <row r="322" spans="1:15" x14ac:dyDescent="0.3">
      <c r="A322" s="24"/>
      <c r="B322" s="26" t="s">
        <v>604</v>
      </c>
      <c r="C322" s="29" t="s">
        <v>1369</v>
      </c>
      <c r="D322" s="24">
        <v>73</v>
      </c>
      <c r="E322" s="34"/>
      <c r="F322" s="34"/>
      <c r="G322" s="34" t="s">
        <v>74</v>
      </c>
      <c r="H322" s="24"/>
      <c r="I322" s="24"/>
      <c r="J322" s="24"/>
      <c r="K322" s="24"/>
      <c r="L322" s="24"/>
      <c r="M322" s="5">
        <f t="shared" si="8"/>
        <v>0</v>
      </c>
      <c r="N322" s="5">
        <f t="shared" si="9"/>
        <v>73</v>
      </c>
      <c r="O322" s="25"/>
    </row>
    <row r="323" spans="1:15" x14ac:dyDescent="0.3">
      <c r="A323" s="24"/>
      <c r="B323" s="26" t="s">
        <v>604</v>
      </c>
      <c r="C323" s="29" t="s">
        <v>1370</v>
      </c>
      <c r="D323" s="24">
        <v>69</v>
      </c>
      <c r="E323" s="34"/>
      <c r="F323" s="34"/>
      <c r="G323" s="34" t="s">
        <v>74</v>
      </c>
      <c r="H323" s="24"/>
      <c r="I323" s="24"/>
      <c r="J323" s="24"/>
      <c r="K323" s="24"/>
      <c r="L323" s="24"/>
      <c r="M323" s="5">
        <f t="shared" ref="M323:M386" si="10">IF(G323="已出租",D323,0)</f>
        <v>0</v>
      </c>
      <c r="N323" s="5">
        <f t="shared" ref="N323:N386" si="11">IF(G323="未出租",D323,0)</f>
        <v>69</v>
      </c>
      <c r="O323" s="25"/>
    </row>
    <row r="324" spans="1:15" x14ac:dyDescent="0.3">
      <c r="A324" s="24"/>
      <c r="B324" s="26" t="s">
        <v>604</v>
      </c>
      <c r="C324" s="29" t="s">
        <v>1371</v>
      </c>
      <c r="D324" s="24">
        <v>65</v>
      </c>
      <c r="E324" s="34"/>
      <c r="F324" s="34"/>
      <c r="G324" s="34" t="s">
        <v>74</v>
      </c>
      <c r="H324" s="35" t="s">
        <v>82</v>
      </c>
      <c r="I324" s="24"/>
      <c r="J324" s="24"/>
      <c r="K324" s="24"/>
      <c r="L324" s="24"/>
      <c r="M324" s="5">
        <f t="shared" si="10"/>
        <v>0</v>
      </c>
      <c r="N324" s="5">
        <f t="shared" si="11"/>
        <v>65</v>
      </c>
      <c r="O324" s="25"/>
    </row>
    <row r="325" spans="1:15" hidden="1" x14ac:dyDescent="0.3">
      <c r="A325" s="24"/>
      <c r="B325" s="26" t="s">
        <v>604</v>
      </c>
      <c r="C325" s="29" t="s">
        <v>1372</v>
      </c>
      <c r="D325" s="24">
        <v>72</v>
      </c>
      <c r="E325" s="24"/>
      <c r="F325" s="24"/>
      <c r="G325" s="24" t="s">
        <v>1022</v>
      </c>
      <c r="H325" s="24"/>
      <c r="I325" s="24"/>
      <c r="J325" s="24"/>
      <c r="K325" s="24"/>
      <c r="L325" s="24"/>
      <c r="M325" s="5">
        <f t="shared" si="10"/>
        <v>72</v>
      </c>
      <c r="N325" s="5">
        <f t="shared" si="11"/>
        <v>0</v>
      </c>
      <c r="O325" s="25"/>
    </row>
    <row r="326" spans="1:15" x14ac:dyDescent="0.3">
      <c r="A326" s="24"/>
      <c r="B326" s="26" t="s">
        <v>604</v>
      </c>
      <c r="C326" s="29" t="s">
        <v>1373</v>
      </c>
      <c r="D326" s="24">
        <v>59</v>
      </c>
      <c r="E326" s="34"/>
      <c r="F326" s="34"/>
      <c r="G326" s="34" t="s">
        <v>74</v>
      </c>
      <c r="H326" s="24"/>
      <c r="I326" s="24"/>
      <c r="J326" s="24"/>
      <c r="K326" s="24"/>
      <c r="L326" s="24"/>
      <c r="M326" s="5">
        <f t="shared" si="10"/>
        <v>0</v>
      </c>
      <c r="N326" s="5">
        <f t="shared" si="11"/>
        <v>59</v>
      </c>
      <c r="O326" s="25"/>
    </row>
    <row r="327" spans="1:15" x14ac:dyDescent="0.3">
      <c r="A327" s="24"/>
      <c r="B327" s="26" t="s">
        <v>604</v>
      </c>
      <c r="C327" s="29" t="s">
        <v>1374</v>
      </c>
      <c r="D327" s="24">
        <v>54</v>
      </c>
      <c r="E327" s="34"/>
      <c r="F327" s="34"/>
      <c r="G327" s="34" t="s">
        <v>74</v>
      </c>
      <c r="H327" s="35" t="s">
        <v>82</v>
      </c>
      <c r="I327" s="24"/>
      <c r="J327" s="24"/>
      <c r="K327" s="24"/>
      <c r="L327" s="24"/>
      <c r="M327" s="5">
        <f t="shared" si="10"/>
        <v>0</v>
      </c>
      <c r="N327" s="5">
        <f t="shared" si="11"/>
        <v>54</v>
      </c>
      <c r="O327" s="25"/>
    </row>
    <row r="328" spans="1:15" hidden="1" x14ac:dyDescent="0.3">
      <c r="A328" s="24"/>
      <c r="B328" s="26" t="s">
        <v>604</v>
      </c>
      <c r="C328" s="29" t="s">
        <v>1375</v>
      </c>
      <c r="D328" s="24">
        <v>53</v>
      </c>
      <c r="E328" s="24"/>
      <c r="F328" s="24"/>
      <c r="G328" s="24" t="s">
        <v>1022</v>
      </c>
      <c r="H328" s="24"/>
      <c r="I328" s="24"/>
      <c r="J328" s="24"/>
      <c r="K328" s="24"/>
      <c r="L328" s="24"/>
      <c r="M328" s="5">
        <f t="shared" si="10"/>
        <v>53</v>
      </c>
      <c r="N328" s="5">
        <f t="shared" si="11"/>
        <v>0</v>
      </c>
      <c r="O328" s="25"/>
    </row>
    <row r="329" spans="1:15" hidden="1" x14ac:dyDescent="0.3">
      <c r="A329" s="24"/>
      <c r="B329" s="26" t="s">
        <v>604</v>
      </c>
      <c r="C329" s="29" t="s">
        <v>1376</v>
      </c>
      <c r="D329" s="24">
        <v>55</v>
      </c>
      <c r="E329" s="24"/>
      <c r="F329" s="24"/>
      <c r="G329" s="24" t="s">
        <v>1022</v>
      </c>
      <c r="H329" s="24"/>
      <c r="I329" s="24"/>
      <c r="J329" s="24"/>
      <c r="K329" s="24"/>
      <c r="L329" s="24"/>
      <c r="M329" s="5">
        <f t="shared" si="10"/>
        <v>55</v>
      </c>
      <c r="N329" s="5">
        <f t="shared" si="11"/>
        <v>0</v>
      </c>
      <c r="O329" s="25"/>
    </row>
    <row r="330" spans="1:15" hidden="1" x14ac:dyDescent="0.3">
      <c r="A330" s="24"/>
      <c r="B330" s="26" t="s">
        <v>604</v>
      </c>
      <c r="C330" s="29" t="s">
        <v>1377</v>
      </c>
      <c r="D330" s="24">
        <v>106</v>
      </c>
      <c r="E330" s="24"/>
      <c r="F330" s="24"/>
      <c r="G330" s="24" t="s">
        <v>1022</v>
      </c>
      <c r="H330" s="24"/>
      <c r="I330" s="24"/>
      <c r="J330" s="24"/>
      <c r="K330" s="24"/>
      <c r="L330" s="24"/>
      <c r="M330" s="5">
        <f t="shared" si="10"/>
        <v>106</v>
      </c>
      <c r="N330" s="5">
        <f t="shared" si="11"/>
        <v>0</v>
      </c>
      <c r="O330" s="25"/>
    </row>
    <row r="331" spans="1:15" x14ac:dyDescent="0.3">
      <c r="A331" s="24"/>
      <c r="B331" s="26" t="s">
        <v>604</v>
      </c>
      <c r="C331" s="29" t="s">
        <v>1378</v>
      </c>
      <c r="D331" s="24">
        <v>38</v>
      </c>
      <c r="E331" s="34"/>
      <c r="F331" s="34"/>
      <c r="G331" s="34" t="s">
        <v>74</v>
      </c>
      <c r="H331" s="24"/>
      <c r="I331" s="24"/>
      <c r="J331" s="24"/>
      <c r="K331" s="24"/>
      <c r="L331" s="24"/>
      <c r="M331" s="5">
        <f t="shared" si="10"/>
        <v>0</v>
      </c>
      <c r="N331" s="5">
        <f t="shared" si="11"/>
        <v>38</v>
      </c>
      <c r="O331" s="25"/>
    </row>
    <row r="332" spans="1:15" x14ac:dyDescent="0.3">
      <c r="A332" s="24"/>
      <c r="B332" s="26" t="s">
        <v>604</v>
      </c>
      <c r="C332" s="29" t="s">
        <v>1379</v>
      </c>
      <c r="D332" s="24">
        <v>31</v>
      </c>
      <c r="E332" s="34"/>
      <c r="F332" s="34"/>
      <c r="G332" s="34" t="s">
        <v>74</v>
      </c>
      <c r="H332" s="24"/>
      <c r="I332" s="24"/>
      <c r="J332" s="24"/>
      <c r="K332" s="24"/>
      <c r="L332" s="24"/>
      <c r="M332" s="5">
        <f t="shared" si="10"/>
        <v>0</v>
      </c>
      <c r="N332" s="5">
        <f t="shared" si="11"/>
        <v>31</v>
      </c>
      <c r="O332" s="25"/>
    </row>
    <row r="333" spans="1:15" x14ac:dyDescent="0.3">
      <c r="A333" s="24"/>
      <c r="B333" s="26" t="s">
        <v>604</v>
      </c>
      <c r="C333" s="29" t="s">
        <v>1380</v>
      </c>
      <c r="D333" s="24">
        <v>26</v>
      </c>
      <c r="E333" s="34"/>
      <c r="F333" s="34"/>
      <c r="G333" s="34" t="s">
        <v>74</v>
      </c>
      <c r="H333" s="24"/>
      <c r="I333" s="24"/>
      <c r="J333" s="24"/>
      <c r="K333" s="24"/>
      <c r="L333" s="24"/>
      <c r="M333" s="5">
        <f t="shared" si="10"/>
        <v>0</v>
      </c>
      <c r="N333" s="5">
        <f t="shared" si="11"/>
        <v>26</v>
      </c>
      <c r="O333" s="25"/>
    </row>
    <row r="334" spans="1:15" x14ac:dyDescent="0.3">
      <c r="A334" s="24"/>
      <c r="B334" s="26" t="s">
        <v>604</v>
      </c>
      <c r="C334" s="29" t="s">
        <v>1381</v>
      </c>
      <c r="D334" s="24">
        <v>33</v>
      </c>
      <c r="E334" s="34"/>
      <c r="F334" s="34"/>
      <c r="G334" s="34" t="s">
        <v>74</v>
      </c>
      <c r="H334" s="24"/>
      <c r="I334" s="24"/>
      <c r="J334" s="24"/>
      <c r="K334" s="24"/>
      <c r="L334" s="24"/>
      <c r="M334" s="5">
        <f t="shared" si="10"/>
        <v>0</v>
      </c>
      <c r="N334" s="5">
        <f t="shared" si="11"/>
        <v>33</v>
      </c>
      <c r="O334" s="25"/>
    </row>
    <row r="335" spans="1:15" x14ac:dyDescent="0.3">
      <c r="A335" s="24"/>
      <c r="B335" s="26" t="s">
        <v>604</v>
      </c>
      <c r="C335" s="29" t="s">
        <v>1382</v>
      </c>
      <c r="D335" s="24">
        <v>26</v>
      </c>
      <c r="E335" s="34"/>
      <c r="F335" s="34"/>
      <c r="G335" s="34" t="s">
        <v>74</v>
      </c>
      <c r="H335" s="24"/>
      <c r="I335" s="24"/>
      <c r="J335" s="24"/>
      <c r="K335" s="24"/>
      <c r="L335" s="24"/>
      <c r="M335" s="5">
        <f t="shared" si="10"/>
        <v>0</v>
      </c>
      <c r="N335" s="5">
        <f t="shared" si="11"/>
        <v>26</v>
      </c>
      <c r="O335" s="25"/>
    </row>
    <row r="336" spans="1:15" x14ac:dyDescent="0.3">
      <c r="A336" s="24"/>
      <c r="B336" s="26" t="s">
        <v>604</v>
      </c>
      <c r="C336" s="29" t="s">
        <v>1383</v>
      </c>
      <c r="D336" s="24">
        <v>33</v>
      </c>
      <c r="E336" s="34"/>
      <c r="F336" s="34"/>
      <c r="G336" s="34" t="s">
        <v>74</v>
      </c>
      <c r="H336" s="35" t="s">
        <v>82</v>
      </c>
      <c r="I336" s="24"/>
      <c r="J336" s="24"/>
      <c r="K336" s="24"/>
      <c r="L336" s="24"/>
      <c r="M336" s="5">
        <f t="shared" si="10"/>
        <v>0</v>
      </c>
      <c r="N336" s="5">
        <f t="shared" si="11"/>
        <v>33</v>
      </c>
      <c r="O336" s="25"/>
    </row>
    <row r="337" spans="1:16" x14ac:dyDescent="0.3">
      <c r="A337" s="24"/>
      <c r="B337" s="26" t="s">
        <v>604</v>
      </c>
      <c r="C337" s="29" t="s">
        <v>1384</v>
      </c>
      <c r="D337" s="24">
        <v>46</v>
      </c>
      <c r="E337" s="34"/>
      <c r="F337" s="34"/>
      <c r="G337" s="34" t="s">
        <v>74</v>
      </c>
      <c r="H337" s="35"/>
      <c r="I337" s="24"/>
      <c r="J337" s="24"/>
      <c r="K337" s="24"/>
      <c r="L337" s="24"/>
      <c r="M337" s="5">
        <f t="shared" si="10"/>
        <v>0</v>
      </c>
      <c r="N337" s="5">
        <f t="shared" si="11"/>
        <v>46</v>
      </c>
      <c r="O337" s="25"/>
    </row>
    <row r="338" spans="1:16" x14ac:dyDescent="0.3">
      <c r="A338" s="24"/>
      <c r="B338" s="26" t="s">
        <v>604</v>
      </c>
      <c r="C338" s="29" t="s">
        <v>1385</v>
      </c>
      <c r="D338" s="24">
        <v>36</v>
      </c>
      <c r="E338" s="34"/>
      <c r="F338" s="34"/>
      <c r="G338" s="34" t="s">
        <v>74</v>
      </c>
      <c r="H338" s="24"/>
      <c r="I338" s="24"/>
      <c r="J338" s="24"/>
      <c r="K338" s="24"/>
      <c r="L338" s="24"/>
      <c r="M338" s="5">
        <f t="shared" si="10"/>
        <v>0</v>
      </c>
      <c r="N338" s="5">
        <f t="shared" si="11"/>
        <v>36</v>
      </c>
      <c r="O338" s="25"/>
    </row>
    <row r="339" spans="1:16" x14ac:dyDescent="0.3">
      <c r="A339" s="24"/>
      <c r="B339" s="26" t="s">
        <v>604</v>
      </c>
      <c r="C339" s="29" t="s">
        <v>1386</v>
      </c>
      <c r="D339" s="24">
        <v>46</v>
      </c>
      <c r="E339" s="34"/>
      <c r="F339" s="34"/>
      <c r="G339" s="34" t="s">
        <v>74</v>
      </c>
      <c r="H339" s="24"/>
      <c r="I339" s="24"/>
      <c r="J339" s="24"/>
      <c r="K339" s="24"/>
      <c r="L339" s="24"/>
      <c r="M339" s="5">
        <f t="shared" si="10"/>
        <v>0</v>
      </c>
      <c r="N339" s="5">
        <f t="shared" si="11"/>
        <v>46</v>
      </c>
      <c r="O339" s="25"/>
    </row>
    <row r="340" spans="1:16" x14ac:dyDescent="0.3">
      <c r="A340" s="24"/>
      <c r="B340" s="26" t="s">
        <v>604</v>
      </c>
      <c r="C340" s="29" t="s">
        <v>1387</v>
      </c>
      <c r="D340" s="24">
        <v>101</v>
      </c>
      <c r="E340" s="34"/>
      <c r="F340" s="34"/>
      <c r="G340" s="34" t="s">
        <v>74</v>
      </c>
      <c r="H340" s="24"/>
      <c r="I340" s="24"/>
      <c r="J340" s="24"/>
      <c r="K340" s="24"/>
      <c r="L340" s="24"/>
      <c r="M340" s="5">
        <f t="shared" si="10"/>
        <v>0</v>
      </c>
      <c r="N340" s="5">
        <f t="shared" si="11"/>
        <v>101</v>
      </c>
      <c r="O340" s="25"/>
    </row>
    <row r="341" spans="1:16" x14ac:dyDescent="0.3">
      <c r="A341" s="24"/>
      <c r="B341" s="26" t="s">
        <v>604</v>
      </c>
      <c r="C341" s="29" t="s">
        <v>1388</v>
      </c>
      <c r="D341" s="24">
        <v>78</v>
      </c>
      <c r="E341" s="34"/>
      <c r="F341" s="34"/>
      <c r="G341" s="34" t="s">
        <v>74</v>
      </c>
      <c r="H341" s="24"/>
      <c r="I341" s="24"/>
      <c r="J341" s="24"/>
      <c r="K341" s="24"/>
      <c r="L341" s="24"/>
      <c r="M341" s="5">
        <f t="shared" si="10"/>
        <v>0</v>
      </c>
      <c r="N341" s="5">
        <f t="shared" si="11"/>
        <v>78</v>
      </c>
      <c r="O341" s="25"/>
    </row>
    <row r="342" spans="1:16" x14ac:dyDescent="0.3">
      <c r="A342" s="24"/>
      <c r="B342" s="26" t="s">
        <v>604</v>
      </c>
      <c r="C342" s="29" t="s">
        <v>1389</v>
      </c>
      <c r="D342" s="24">
        <v>93</v>
      </c>
      <c r="E342" s="34"/>
      <c r="F342" s="34"/>
      <c r="G342" s="34" t="s">
        <v>74</v>
      </c>
      <c r="H342" s="24"/>
      <c r="I342" s="24"/>
      <c r="J342" s="24"/>
      <c r="K342" s="24"/>
      <c r="L342" s="24"/>
      <c r="M342" s="5">
        <f t="shared" si="10"/>
        <v>0</v>
      </c>
      <c r="N342" s="5">
        <f t="shared" si="11"/>
        <v>93</v>
      </c>
      <c r="O342" s="25"/>
    </row>
    <row r="343" spans="1:16" x14ac:dyDescent="0.3">
      <c r="A343" s="24"/>
      <c r="B343" s="26" t="s">
        <v>604</v>
      </c>
      <c r="C343" s="29" t="s">
        <v>1390</v>
      </c>
      <c r="D343" s="24">
        <v>104</v>
      </c>
      <c r="E343" s="34"/>
      <c r="F343" s="34"/>
      <c r="G343" s="34" t="s">
        <v>74</v>
      </c>
      <c r="H343" s="24"/>
      <c r="I343" s="24"/>
      <c r="J343" s="24"/>
      <c r="K343" s="24"/>
      <c r="L343" s="24"/>
      <c r="M343" s="5">
        <f t="shared" si="10"/>
        <v>0</v>
      </c>
      <c r="N343" s="5">
        <f t="shared" si="11"/>
        <v>104</v>
      </c>
      <c r="O343" s="25"/>
    </row>
    <row r="344" spans="1:16" x14ac:dyDescent="0.3">
      <c r="A344" s="24"/>
      <c r="B344" s="26" t="s">
        <v>604</v>
      </c>
      <c r="C344" s="29" t="s">
        <v>1391</v>
      </c>
      <c r="D344" s="24">
        <v>115</v>
      </c>
      <c r="E344" s="34"/>
      <c r="F344" s="34"/>
      <c r="G344" s="34" t="s">
        <v>74</v>
      </c>
      <c r="H344" s="24"/>
      <c r="I344" s="24"/>
      <c r="J344" s="24"/>
      <c r="K344" s="24"/>
      <c r="L344" s="24"/>
      <c r="M344" s="5">
        <f t="shared" si="10"/>
        <v>0</v>
      </c>
      <c r="N344" s="5">
        <f t="shared" si="11"/>
        <v>115</v>
      </c>
      <c r="O344" s="25"/>
    </row>
    <row r="345" spans="1:16" x14ac:dyDescent="0.3">
      <c r="A345" s="24"/>
      <c r="B345" s="26" t="s">
        <v>604</v>
      </c>
      <c r="C345" s="29" t="s">
        <v>1392</v>
      </c>
      <c r="D345" s="24">
        <v>103</v>
      </c>
      <c r="E345" s="34"/>
      <c r="F345" s="34"/>
      <c r="G345" s="34" t="s">
        <v>74</v>
      </c>
      <c r="H345" s="24"/>
      <c r="I345" s="24"/>
      <c r="J345" s="24"/>
      <c r="K345" s="24"/>
      <c r="L345" s="24"/>
      <c r="M345" s="5">
        <f t="shared" si="10"/>
        <v>0</v>
      </c>
      <c r="N345" s="5">
        <f t="shared" si="11"/>
        <v>103</v>
      </c>
      <c r="O345" s="25"/>
    </row>
    <row r="346" spans="1:16" x14ac:dyDescent="0.3">
      <c r="A346" s="24"/>
      <c r="B346" s="26" t="s">
        <v>604</v>
      </c>
      <c r="C346" s="29" t="s">
        <v>1393</v>
      </c>
      <c r="D346" s="24">
        <v>139</v>
      </c>
      <c r="E346" s="34"/>
      <c r="F346" s="34"/>
      <c r="G346" s="34" t="s">
        <v>74</v>
      </c>
      <c r="H346" s="24"/>
      <c r="I346" s="24"/>
      <c r="J346" s="24"/>
      <c r="K346" s="24"/>
      <c r="L346" s="24"/>
      <c r="M346" s="5">
        <f t="shared" si="10"/>
        <v>0</v>
      </c>
      <c r="N346" s="5">
        <f t="shared" si="11"/>
        <v>139</v>
      </c>
      <c r="O346" s="25"/>
    </row>
    <row r="347" spans="1:16" x14ac:dyDescent="0.3">
      <c r="A347" s="24"/>
      <c r="B347" s="26" t="s">
        <v>604</v>
      </c>
      <c r="C347" s="29" t="s">
        <v>1394</v>
      </c>
      <c r="D347" s="24">
        <v>37</v>
      </c>
      <c r="E347" s="34"/>
      <c r="F347" s="34"/>
      <c r="G347" s="34" t="s">
        <v>74</v>
      </c>
      <c r="H347" s="24"/>
      <c r="I347" s="24"/>
      <c r="J347" s="24"/>
      <c r="K347" s="24"/>
      <c r="L347" s="24"/>
      <c r="M347" s="5">
        <f t="shared" si="10"/>
        <v>0</v>
      </c>
      <c r="N347" s="5">
        <f t="shared" si="11"/>
        <v>37</v>
      </c>
      <c r="O347" s="25"/>
    </row>
    <row r="348" spans="1:16" x14ac:dyDescent="0.3">
      <c r="A348" s="24"/>
      <c r="B348" s="26" t="s">
        <v>604</v>
      </c>
      <c r="C348" s="29" t="s">
        <v>1395</v>
      </c>
      <c r="D348" s="24">
        <v>68</v>
      </c>
      <c r="E348" s="34"/>
      <c r="F348" s="34"/>
      <c r="G348" s="34" t="s">
        <v>74</v>
      </c>
      <c r="H348" s="24"/>
      <c r="I348" s="24"/>
      <c r="J348" s="24"/>
      <c r="K348" s="24"/>
      <c r="L348" s="24"/>
      <c r="M348" s="5">
        <f t="shared" si="10"/>
        <v>0</v>
      </c>
      <c r="N348" s="5">
        <f t="shared" si="11"/>
        <v>68</v>
      </c>
      <c r="O348" s="25"/>
    </row>
    <row r="349" spans="1:16" x14ac:dyDescent="0.3">
      <c r="A349" s="24"/>
      <c r="B349" s="26" t="s">
        <v>604</v>
      </c>
      <c r="C349" s="29" t="s">
        <v>1396</v>
      </c>
      <c r="D349" s="24">
        <v>73</v>
      </c>
      <c r="E349" s="34"/>
      <c r="F349" s="34"/>
      <c r="G349" s="34" t="s">
        <v>74</v>
      </c>
      <c r="H349" s="35" t="s">
        <v>82</v>
      </c>
      <c r="I349" s="24"/>
      <c r="J349" s="24"/>
      <c r="K349" s="24"/>
      <c r="L349" s="24"/>
      <c r="M349" s="5">
        <f t="shared" si="10"/>
        <v>0</v>
      </c>
      <c r="N349" s="5">
        <f t="shared" si="11"/>
        <v>73</v>
      </c>
      <c r="O349" s="128" t="s">
        <v>1397</v>
      </c>
      <c r="P349" s="131" t="s">
        <v>230</v>
      </c>
    </row>
    <row r="350" spans="1:16" x14ac:dyDescent="0.3">
      <c r="A350" s="24"/>
      <c r="B350" s="26" t="s">
        <v>604</v>
      </c>
      <c r="C350" s="29" t="s">
        <v>1398</v>
      </c>
      <c r="D350" s="24">
        <v>74</v>
      </c>
      <c r="E350" s="34"/>
      <c r="F350" s="34"/>
      <c r="G350" s="34" t="s">
        <v>74</v>
      </c>
      <c r="H350" s="35" t="s">
        <v>82</v>
      </c>
      <c r="I350" s="24"/>
      <c r="J350" s="24"/>
      <c r="K350" s="24"/>
      <c r="L350" s="24"/>
      <c r="M350" s="5">
        <f t="shared" si="10"/>
        <v>0</v>
      </c>
      <c r="N350" s="5">
        <f t="shared" si="11"/>
        <v>74</v>
      </c>
      <c r="O350" s="128"/>
      <c r="P350" s="131"/>
    </row>
    <row r="351" spans="1:16" x14ac:dyDescent="0.3">
      <c r="A351" s="24"/>
      <c r="B351" s="26" t="s">
        <v>604</v>
      </c>
      <c r="C351" s="29" t="s">
        <v>1399</v>
      </c>
      <c r="D351" s="24">
        <v>75</v>
      </c>
      <c r="E351" s="34"/>
      <c r="F351" s="34"/>
      <c r="G351" s="34" t="s">
        <v>74</v>
      </c>
      <c r="H351" s="35" t="s">
        <v>82</v>
      </c>
      <c r="I351" s="24"/>
      <c r="J351" s="24"/>
      <c r="K351" s="24"/>
      <c r="L351" s="24"/>
      <c r="M351" s="5">
        <f t="shared" si="10"/>
        <v>0</v>
      </c>
      <c r="N351" s="5">
        <f t="shared" si="11"/>
        <v>75</v>
      </c>
      <c r="O351" s="128" t="s">
        <v>1397</v>
      </c>
      <c r="P351" s="131" t="s">
        <v>230</v>
      </c>
    </row>
    <row r="352" spans="1:16" x14ac:dyDescent="0.3">
      <c r="A352" s="24"/>
      <c r="B352" s="26" t="s">
        <v>604</v>
      </c>
      <c r="C352" s="29" t="s">
        <v>1400</v>
      </c>
      <c r="D352" s="24">
        <v>122</v>
      </c>
      <c r="E352" s="34"/>
      <c r="F352" s="34"/>
      <c r="G352" s="34" t="s">
        <v>74</v>
      </c>
      <c r="H352" s="35" t="s">
        <v>82</v>
      </c>
      <c r="I352" s="24"/>
      <c r="J352" s="24"/>
      <c r="K352" s="24"/>
      <c r="L352" s="24"/>
      <c r="M352" s="5">
        <f t="shared" si="10"/>
        <v>0</v>
      </c>
      <c r="N352" s="5">
        <f t="shared" si="11"/>
        <v>122</v>
      </c>
      <c r="O352" s="128"/>
      <c r="P352" s="131"/>
    </row>
    <row r="353" spans="1:15" x14ac:dyDescent="0.3">
      <c r="A353" s="24"/>
      <c r="B353" s="26" t="s">
        <v>604</v>
      </c>
      <c r="C353" s="29" t="s">
        <v>1401</v>
      </c>
      <c r="D353" s="24">
        <v>27</v>
      </c>
      <c r="E353" s="34"/>
      <c r="F353" s="34"/>
      <c r="G353" s="34" t="s">
        <v>74</v>
      </c>
      <c r="H353" s="24"/>
      <c r="I353" s="24"/>
      <c r="J353" s="24"/>
      <c r="K353" s="24"/>
      <c r="L353" s="24"/>
      <c r="M353" s="5">
        <f t="shared" si="10"/>
        <v>0</v>
      </c>
      <c r="N353" s="5">
        <f t="shared" si="11"/>
        <v>27</v>
      </c>
      <c r="O353" s="25"/>
    </row>
    <row r="354" spans="1:15" x14ac:dyDescent="0.3">
      <c r="A354" s="24"/>
      <c r="B354" s="26" t="s">
        <v>604</v>
      </c>
      <c r="C354" s="29" t="s">
        <v>1402</v>
      </c>
      <c r="D354" s="24">
        <v>28</v>
      </c>
      <c r="E354" s="34"/>
      <c r="F354" s="34"/>
      <c r="G354" s="34" t="s">
        <v>74</v>
      </c>
      <c r="H354" s="24"/>
      <c r="I354" s="24"/>
      <c r="J354" s="24"/>
      <c r="K354" s="24"/>
      <c r="L354" s="24"/>
      <c r="M354" s="5">
        <f t="shared" si="10"/>
        <v>0</v>
      </c>
      <c r="N354" s="5">
        <f t="shared" si="11"/>
        <v>28</v>
      </c>
      <c r="O354" s="25"/>
    </row>
    <row r="355" spans="1:15" x14ac:dyDescent="0.3">
      <c r="A355" s="24"/>
      <c r="B355" s="26" t="s">
        <v>604</v>
      </c>
      <c r="C355" s="29" t="s">
        <v>1403</v>
      </c>
      <c r="D355" s="24">
        <v>29</v>
      </c>
      <c r="E355" s="34"/>
      <c r="F355" s="34"/>
      <c r="G355" s="34" t="s">
        <v>74</v>
      </c>
      <c r="H355" s="24"/>
      <c r="I355" s="24"/>
      <c r="J355" s="24"/>
      <c r="K355" s="24"/>
      <c r="L355" s="24"/>
      <c r="M355" s="5">
        <f t="shared" si="10"/>
        <v>0</v>
      </c>
      <c r="N355" s="5">
        <f t="shared" si="11"/>
        <v>29</v>
      </c>
      <c r="O355" s="25"/>
    </row>
    <row r="356" spans="1:15" x14ac:dyDescent="0.3">
      <c r="A356" s="24"/>
      <c r="B356" s="26" t="s">
        <v>604</v>
      </c>
      <c r="C356" s="29" t="s">
        <v>1404</v>
      </c>
      <c r="D356" s="24">
        <v>51</v>
      </c>
      <c r="E356" s="34"/>
      <c r="F356" s="34"/>
      <c r="G356" s="34" t="s">
        <v>74</v>
      </c>
      <c r="H356" s="24"/>
      <c r="I356" s="24"/>
      <c r="J356" s="24"/>
      <c r="K356" s="24"/>
      <c r="L356" s="24"/>
      <c r="M356" s="5">
        <f t="shared" si="10"/>
        <v>0</v>
      </c>
      <c r="N356" s="5">
        <f t="shared" si="11"/>
        <v>51</v>
      </c>
      <c r="O356" s="25"/>
    </row>
    <row r="357" spans="1:15" x14ac:dyDescent="0.3">
      <c r="A357" s="24"/>
      <c r="B357" s="26" t="s">
        <v>604</v>
      </c>
      <c r="C357" s="29" t="s">
        <v>1405</v>
      </c>
      <c r="D357" s="24">
        <v>52</v>
      </c>
      <c r="E357" s="34"/>
      <c r="F357" s="34"/>
      <c r="G357" s="34" t="s">
        <v>74</v>
      </c>
      <c r="H357" s="24"/>
      <c r="I357" s="24"/>
      <c r="J357" s="24"/>
      <c r="K357" s="24"/>
      <c r="L357" s="24"/>
      <c r="M357" s="5">
        <f t="shared" si="10"/>
        <v>0</v>
      </c>
      <c r="N357" s="5">
        <f t="shared" si="11"/>
        <v>52</v>
      </c>
      <c r="O357" s="25"/>
    </row>
    <row r="358" spans="1:15" x14ac:dyDescent="0.3">
      <c r="A358" s="24"/>
      <c r="B358" s="26" t="s">
        <v>604</v>
      </c>
      <c r="C358" s="29" t="s">
        <v>1406</v>
      </c>
      <c r="D358" s="24">
        <v>45</v>
      </c>
      <c r="E358" s="34"/>
      <c r="F358" s="34"/>
      <c r="G358" s="34" t="s">
        <v>74</v>
      </c>
      <c r="H358" s="24"/>
      <c r="I358" s="24"/>
      <c r="J358" s="24"/>
      <c r="K358" s="24"/>
      <c r="L358" s="24"/>
      <c r="M358" s="5">
        <f t="shared" si="10"/>
        <v>0</v>
      </c>
      <c r="N358" s="5">
        <f t="shared" si="11"/>
        <v>45</v>
      </c>
      <c r="O358" s="25"/>
    </row>
    <row r="359" spans="1:15" x14ac:dyDescent="0.3">
      <c r="A359" s="24"/>
      <c r="B359" s="26" t="s">
        <v>604</v>
      </c>
      <c r="C359" s="29" t="s">
        <v>1407</v>
      </c>
      <c r="D359" s="24">
        <v>55</v>
      </c>
      <c r="E359" s="34"/>
      <c r="F359" s="34"/>
      <c r="G359" s="34" t="s">
        <v>74</v>
      </c>
      <c r="H359" s="35" t="s">
        <v>82</v>
      </c>
      <c r="I359" s="24"/>
      <c r="J359" s="24"/>
      <c r="K359" s="24"/>
      <c r="L359" s="24"/>
      <c r="M359" s="5">
        <f t="shared" si="10"/>
        <v>0</v>
      </c>
      <c r="N359" s="5">
        <f t="shared" si="11"/>
        <v>55</v>
      </c>
      <c r="O359" s="25"/>
    </row>
    <row r="360" spans="1:15" x14ac:dyDescent="0.3">
      <c r="A360" s="24"/>
      <c r="B360" s="26" t="s">
        <v>604</v>
      </c>
      <c r="C360" s="29" t="s">
        <v>1408</v>
      </c>
      <c r="D360" s="24">
        <v>48</v>
      </c>
      <c r="E360" s="34"/>
      <c r="F360" s="34"/>
      <c r="G360" s="34" t="s">
        <v>74</v>
      </c>
      <c r="H360" s="24"/>
      <c r="I360" s="24"/>
      <c r="J360" s="24"/>
      <c r="K360" s="24"/>
      <c r="L360" s="24"/>
      <c r="M360" s="5">
        <f t="shared" si="10"/>
        <v>0</v>
      </c>
      <c r="N360" s="5">
        <f t="shared" si="11"/>
        <v>48</v>
      </c>
      <c r="O360" s="25"/>
    </row>
    <row r="361" spans="1:15" x14ac:dyDescent="0.3">
      <c r="A361" s="24"/>
      <c r="B361" s="26" t="s">
        <v>604</v>
      </c>
      <c r="C361" s="29" t="s">
        <v>1409</v>
      </c>
      <c r="D361" s="24">
        <v>55</v>
      </c>
      <c r="E361" s="34"/>
      <c r="F361" s="34"/>
      <c r="G361" s="34" t="s">
        <v>74</v>
      </c>
      <c r="H361" s="24"/>
      <c r="I361" s="24"/>
      <c r="J361" s="24"/>
      <c r="K361" s="24"/>
      <c r="L361" s="24"/>
      <c r="M361" s="5">
        <f t="shared" si="10"/>
        <v>0</v>
      </c>
      <c r="N361" s="5">
        <f t="shared" si="11"/>
        <v>55</v>
      </c>
      <c r="O361" s="25"/>
    </row>
    <row r="362" spans="1:15" x14ac:dyDescent="0.3">
      <c r="A362" s="24"/>
      <c r="B362" s="26" t="s">
        <v>604</v>
      </c>
      <c r="C362" s="29" t="s">
        <v>1410</v>
      </c>
      <c r="D362" s="24">
        <v>47</v>
      </c>
      <c r="E362" s="34"/>
      <c r="F362" s="34"/>
      <c r="G362" s="34" t="s">
        <v>74</v>
      </c>
      <c r="H362" s="24"/>
      <c r="I362" s="24"/>
      <c r="J362" s="24"/>
      <c r="K362" s="24"/>
      <c r="L362" s="24"/>
      <c r="M362" s="5">
        <f t="shared" si="10"/>
        <v>0</v>
      </c>
      <c r="N362" s="5">
        <f t="shared" si="11"/>
        <v>47</v>
      </c>
      <c r="O362" s="25"/>
    </row>
    <row r="363" spans="1:15" x14ac:dyDescent="0.3">
      <c r="A363" s="24"/>
      <c r="B363" s="26" t="s">
        <v>604</v>
      </c>
      <c r="C363" s="29" t="s">
        <v>1411</v>
      </c>
      <c r="D363" s="24">
        <v>61</v>
      </c>
      <c r="E363" s="34"/>
      <c r="F363" s="34"/>
      <c r="G363" s="34" t="s">
        <v>74</v>
      </c>
      <c r="H363" s="24"/>
      <c r="I363" s="24"/>
      <c r="J363" s="24"/>
      <c r="K363" s="24"/>
      <c r="L363" s="24"/>
      <c r="M363" s="5">
        <f t="shared" si="10"/>
        <v>0</v>
      </c>
      <c r="N363" s="5">
        <f t="shared" si="11"/>
        <v>61</v>
      </c>
      <c r="O363" s="25"/>
    </row>
    <row r="364" spans="1:15" x14ac:dyDescent="0.3">
      <c r="A364" s="24"/>
      <c r="B364" s="26" t="s">
        <v>604</v>
      </c>
      <c r="C364" s="29" t="s">
        <v>1412</v>
      </c>
      <c r="D364" s="24">
        <v>81</v>
      </c>
      <c r="E364" s="34"/>
      <c r="F364" s="34"/>
      <c r="G364" s="34" t="s">
        <v>74</v>
      </c>
      <c r="H364" s="24"/>
      <c r="I364" s="24"/>
      <c r="J364" s="24"/>
      <c r="K364" s="24"/>
      <c r="L364" s="24"/>
      <c r="M364" s="5">
        <f t="shared" si="10"/>
        <v>0</v>
      </c>
      <c r="N364" s="5">
        <f t="shared" si="11"/>
        <v>81</v>
      </c>
      <c r="O364" s="25"/>
    </row>
    <row r="365" spans="1:15" x14ac:dyDescent="0.3">
      <c r="A365" s="24"/>
      <c r="B365" s="26" t="s">
        <v>604</v>
      </c>
      <c r="C365" s="29" t="s">
        <v>1413</v>
      </c>
      <c r="D365" s="24">
        <v>122</v>
      </c>
      <c r="E365" s="34"/>
      <c r="F365" s="34"/>
      <c r="G365" s="34" t="s">
        <v>74</v>
      </c>
      <c r="H365" s="24"/>
      <c r="I365" s="24"/>
      <c r="J365" s="24"/>
      <c r="K365" s="24"/>
      <c r="L365" s="24"/>
      <c r="M365" s="5">
        <f t="shared" si="10"/>
        <v>0</v>
      </c>
      <c r="N365" s="5">
        <f t="shared" si="11"/>
        <v>122</v>
      </c>
      <c r="O365" s="25"/>
    </row>
    <row r="366" spans="1:15" x14ac:dyDescent="0.3">
      <c r="A366" s="24"/>
      <c r="B366" s="26" t="s">
        <v>604</v>
      </c>
      <c r="C366" s="29" t="s">
        <v>1414</v>
      </c>
      <c r="D366" s="24">
        <v>130</v>
      </c>
      <c r="E366" s="34"/>
      <c r="F366" s="34"/>
      <c r="G366" s="34" t="s">
        <v>74</v>
      </c>
      <c r="H366" s="24"/>
      <c r="I366" s="24"/>
      <c r="J366" s="24"/>
      <c r="K366" s="24"/>
      <c r="L366" s="24"/>
      <c r="M366" s="5">
        <f t="shared" si="10"/>
        <v>0</v>
      </c>
      <c r="N366" s="5">
        <f t="shared" si="11"/>
        <v>130</v>
      </c>
      <c r="O366" s="25"/>
    </row>
    <row r="367" spans="1:15" x14ac:dyDescent="0.3">
      <c r="A367" s="24"/>
      <c r="B367" s="26" t="s">
        <v>604</v>
      </c>
      <c r="C367" s="29" t="s">
        <v>1415</v>
      </c>
      <c r="D367" s="24">
        <v>117</v>
      </c>
      <c r="E367" s="34"/>
      <c r="F367" s="34"/>
      <c r="G367" s="34" t="s">
        <v>74</v>
      </c>
      <c r="H367" s="35" t="s">
        <v>82</v>
      </c>
      <c r="I367" s="24"/>
      <c r="J367" s="24"/>
      <c r="K367" s="24"/>
      <c r="L367" s="24"/>
      <c r="M367" s="5">
        <f t="shared" si="10"/>
        <v>0</v>
      </c>
      <c r="N367" s="5">
        <f t="shared" si="11"/>
        <v>117</v>
      </c>
      <c r="O367" s="25"/>
    </row>
    <row r="368" spans="1:15" x14ac:dyDescent="0.3">
      <c r="A368" s="24"/>
      <c r="B368" s="26" t="s">
        <v>604</v>
      </c>
      <c r="C368" s="29" t="s">
        <v>1416</v>
      </c>
      <c r="D368" s="24">
        <v>58</v>
      </c>
      <c r="E368" s="34"/>
      <c r="F368" s="34"/>
      <c r="G368" s="34" t="s">
        <v>74</v>
      </c>
      <c r="H368" s="24"/>
      <c r="I368" s="24"/>
      <c r="J368" s="24"/>
      <c r="K368" s="24"/>
      <c r="L368" s="24"/>
      <c r="M368" s="5">
        <f t="shared" si="10"/>
        <v>0</v>
      </c>
      <c r="N368" s="5">
        <f t="shared" si="11"/>
        <v>58</v>
      </c>
      <c r="O368" s="25"/>
    </row>
    <row r="369" spans="1:15" x14ac:dyDescent="0.3">
      <c r="A369" s="24"/>
      <c r="B369" s="26" t="s">
        <v>604</v>
      </c>
      <c r="C369" s="29" t="s">
        <v>608</v>
      </c>
      <c r="D369" s="24">
        <v>79</v>
      </c>
      <c r="E369" s="34"/>
      <c r="F369" s="34"/>
      <c r="G369" s="34" t="s">
        <v>74</v>
      </c>
      <c r="H369" s="24"/>
      <c r="I369" s="24"/>
      <c r="J369" s="24"/>
      <c r="K369" s="24"/>
      <c r="L369" s="24"/>
      <c r="M369" s="5">
        <f t="shared" si="10"/>
        <v>0</v>
      </c>
      <c r="N369" s="5">
        <f t="shared" si="11"/>
        <v>79</v>
      </c>
      <c r="O369" s="25"/>
    </row>
    <row r="370" spans="1:15" x14ac:dyDescent="0.3">
      <c r="A370" s="24"/>
      <c r="B370" s="26" t="s">
        <v>604</v>
      </c>
      <c r="C370" s="29" t="s">
        <v>1417</v>
      </c>
      <c r="D370" s="24">
        <v>33</v>
      </c>
      <c r="E370" s="34"/>
      <c r="F370" s="34"/>
      <c r="G370" s="34" t="s">
        <v>74</v>
      </c>
      <c r="H370" s="24"/>
      <c r="I370" s="24"/>
      <c r="J370" s="24"/>
      <c r="K370" s="24"/>
      <c r="L370" s="24"/>
      <c r="M370" s="5">
        <f t="shared" si="10"/>
        <v>0</v>
      </c>
      <c r="N370" s="5">
        <f t="shared" si="11"/>
        <v>33</v>
      </c>
      <c r="O370" s="25"/>
    </row>
    <row r="371" spans="1:15" hidden="1" x14ac:dyDescent="0.3">
      <c r="A371" s="24"/>
      <c r="B371" s="26" t="s">
        <v>604</v>
      </c>
      <c r="C371" s="29" t="s">
        <v>1418</v>
      </c>
      <c r="D371" s="24">
        <v>52</v>
      </c>
      <c r="E371" s="24"/>
      <c r="F371" s="24"/>
      <c r="G371" s="24" t="s">
        <v>1022</v>
      </c>
      <c r="H371" s="24"/>
      <c r="I371" s="24"/>
      <c r="J371" s="24"/>
      <c r="K371" s="24"/>
      <c r="L371" s="24"/>
      <c r="M371" s="5">
        <f t="shared" si="10"/>
        <v>52</v>
      </c>
      <c r="N371" s="5">
        <f t="shared" si="11"/>
        <v>0</v>
      </c>
      <c r="O371" s="25"/>
    </row>
    <row r="372" spans="1:15" x14ac:dyDescent="0.3">
      <c r="A372" s="24"/>
      <c r="B372" s="26" t="s">
        <v>604</v>
      </c>
      <c r="C372" s="29" t="s">
        <v>1419</v>
      </c>
      <c r="D372" s="24">
        <v>52</v>
      </c>
      <c r="E372" s="34"/>
      <c r="F372" s="34"/>
      <c r="G372" s="34" t="s">
        <v>74</v>
      </c>
      <c r="H372" s="24"/>
      <c r="I372" s="24"/>
      <c r="J372" s="24"/>
      <c r="K372" s="24"/>
      <c r="L372" s="24"/>
      <c r="M372" s="5">
        <f t="shared" si="10"/>
        <v>0</v>
      </c>
      <c r="N372" s="5">
        <f t="shared" si="11"/>
        <v>52</v>
      </c>
      <c r="O372" s="25"/>
    </row>
    <row r="373" spans="1:15" hidden="1" x14ac:dyDescent="0.3">
      <c r="A373" s="24"/>
      <c r="B373" s="26" t="s">
        <v>604</v>
      </c>
      <c r="C373" s="29" t="s">
        <v>1420</v>
      </c>
      <c r="D373" s="24">
        <v>131</v>
      </c>
      <c r="E373" s="24"/>
      <c r="F373" s="24"/>
      <c r="G373" s="24" t="s">
        <v>1022</v>
      </c>
      <c r="H373" s="24"/>
      <c r="I373" s="24"/>
      <c r="J373" s="24"/>
      <c r="K373" s="24"/>
      <c r="L373" s="24"/>
      <c r="M373" s="5">
        <f t="shared" si="10"/>
        <v>131</v>
      </c>
      <c r="N373" s="5">
        <f t="shared" si="11"/>
        <v>0</v>
      </c>
      <c r="O373" s="25"/>
    </row>
    <row r="374" spans="1:15" x14ac:dyDescent="0.3">
      <c r="A374" s="24"/>
      <c r="B374" s="26" t="s">
        <v>604</v>
      </c>
      <c r="C374" s="29" t="s">
        <v>1421</v>
      </c>
      <c r="D374" s="24">
        <v>142</v>
      </c>
      <c r="E374" s="34"/>
      <c r="F374" s="34"/>
      <c r="G374" s="34" t="s">
        <v>74</v>
      </c>
      <c r="H374" s="24"/>
      <c r="I374" s="24"/>
      <c r="J374" s="24"/>
      <c r="K374" s="24"/>
      <c r="L374" s="24"/>
      <c r="M374" s="5">
        <f t="shared" si="10"/>
        <v>0</v>
      </c>
      <c r="N374" s="5">
        <f t="shared" si="11"/>
        <v>142</v>
      </c>
      <c r="O374" s="25"/>
    </row>
    <row r="375" spans="1:15" hidden="1" x14ac:dyDescent="0.3">
      <c r="A375" s="24"/>
      <c r="B375" s="26" t="s">
        <v>604</v>
      </c>
      <c r="C375" s="29" t="s">
        <v>1422</v>
      </c>
      <c r="D375" s="24">
        <v>35</v>
      </c>
      <c r="E375" s="24"/>
      <c r="F375" s="24"/>
      <c r="G375" s="24" t="s">
        <v>1022</v>
      </c>
      <c r="H375" s="24"/>
      <c r="I375" s="24"/>
      <c r="J375" s="24"/>
      <c r="K375" s="24"/>
      <c r="L375" s="24"/>
      <c r="M375" s="5">
        <f t="shared" si="10"/>
        <v>35</v>
      </c>
      <c r="N375" s="5">
        <f t="shared" si="11"/>
        <v>0</v>
      </c>
      <c r="O375" s="25"/>
    </row>
    <row r="376" spans="1:15" hidden="1" x14ac:dyDescent="0.3">
      <c r="A376" s="24"/>
      <c r="B376" s="26" t="s">
        <v>604</v>
      </c>
      <c r="C376" s="29" t="s">
        <v>1423</v>
      </c>
      <c r="D376" s="24">
        <v>51</v>
      </c>
      <c r="E376" s="24"/>
      <c r="F376" s="24"/>
      <c r="G376" s="24" t="s">
        <v>1022</v>
      </c>
      <c r="H376" s="24"/>
      <c r="I376" s="24"/>
      <c r="J376" s="24"/>
      <c r="K376" s="24"/>
      <c r="L376" s="24"/>
      <c r="M376" s="5">
        <f t="shared" si="10"/>
        <v>51</v>
      </c>
      <c r="N376" s="5">
        <f t="shared" si="11"/>
        <v>0</v>
      </c>
      <c r="O376" s="25"/>
    </row>
    <row r="377" spans="1:15" x14ac:dyDescent="0.3">
      <c r="A377" s="24"/>
      <c r="B377" s="26" t="s">
        <v>604</v>
      </c>
      <c r="C377" s="29" t="s">
        <v>1424</v>
      </c>
      <c r="D377" s="24">
        <v>65</v>
      </c>
      <c r="E377" s="34"/>
      <c r="F377" s="34"/>
      <c r="G377" s="34" t="s">
        <v>74</v>
      </c>
      <c r="H377" s="24"/>
      <c r="I377" s="24"/>
      <c r="J377" s="24"/>
      <c r="K377" s="24"/>
      <c r="L377" s="24"/>
      <c r="M377" s="5">
        <f t="shared" si="10"/>
        <v>0</v>
      </c>
      <c r="N377" s="5">
        <f t="shared" si="11"/>
        <v>65</v>
      </c>
      <c r="O377" s="25"/>
    </row>
    <row r="378" spans="1:15" x14ac:dyDescent="0.3">
      <c r="A378" s="24"/>
      <c r="B378" s="26" t="s">
        <v>604</v>
      </c>
      <c r="C378" s="29" t="s">
        <v>1425</v>
      </c>
      <c r="D378" s="24">
        <v>119</v>
      </c>
      <c r="E378" s="34"/>
      <c r="F378" s="34"/>
      <c r="G378" s="34" t="s">
        <v>74</v>
      </c>
      <c r="H378" s="24"/>
      <c r="I378" s="24"/>
      <c r="J378" s="24"/>
      <c r="K378" s="24"/>
      <c r="L378" s="24"/>
      <c r="M378" s="5">
        <f t="shared" si="10"/>
        <v>0</v>
      </c>
      <c r="N378" s="5">
        <f t="shared" si="11"/>
        <v>119</v>
      </c>
      <c r="O378" s="25"/>
    </row>
    <row r="379" spans="1:15" x14ac:dyDescent="0.3">
      <c r="A379" s="24"/>
      <c r="B379" s="26" t="s">
        <v>604</v>
      </c>
      <c r="C379" s="29" t="s">
        <v>1426</v>
      </c>
      <c r="D379" s="24">
        <v>125</v>
      </c>
      <c r="E379" s="34"/>
      <c r="F379" s="34"/>
      <c r="G379" s="34" t="s">
        <v>74</v>
      </c>
      <c r="H379" s="24"/>
      <c r="I379" s="24"/>
      <c r="J379" s="24"/>
      <c r="K379" s="24"/>
      <c r="L379" s="24"/>
      <c r="M379" s="5">
        <f t="shared" si="10"/>
        <v>0</v>
      </c>
      <c r="N379" s="5">
        <f t="shared" si="11"/>
        <v>125</v>
      </c>
      <c r="O379" s="25"/>
    </row>
    <row r="380" spans="1:15" x14ac:dyDescent="0.3">
      <c r="A380" s="24"/>
      <c r="B380" s="26" t="s">
        <v>604</v>
      </c>
      <c r="C380" s="29" t="s">
        <v>1427</v>
      </c>
      <c r="D380" s="24">
        <v>49</v>
      </c>
      <c r="E380" s="34"/>
      <c r="F380" s="34"/>
      <c r="G380" s="34" t="s">
        <v>74</v>
      </c>
      <c r="H380" s="24"/>
      <c r="I380" s="24"/>
      <c r="J380" s="24"/>
      <c r="K380" s="24"/>
      <c r="L380" s="24"/>
      <c r="M380" s="5">
        <f t="shared" si="10"/>
        <v>0</v>
      </c>
      <c r="N380" s="5">
        <f t="shared" si="11"/>
        <v>49</v>
      </c>
      <c r="O380" s="25"/>
    </row>
    <row r="381" spans="1:15" x14ac:dyDescent="0.3">
      <c r="A381" s="24"/>
      <c r="B381" s="26" t="s">
        <v>604</v>
      </c>
      <c r="C381" s="29" t="s">
        <v>1428</v>
      </c>
      <c r="D381" s="24">
        <v>123</v>
      </c>
      <c r="E381" s="34"/>
      <c r="F381" s="34"/>
      <c r="G381" s="34" t="s">
        <v>74</v>
      </c>
      <c r="H381" s="24"/>
      <c r="I381" s="24"/>
      <c r="J381" s="24"/>
      <c r="K381" s="24"/>
      <c r="L381" s="24"/>
      <c r="M381" s="5">
        <f t="shared" si="10"/>
        <v>0</v>
      </c>
      <c r="N381" s="5">
        <f t="shared" si="11"/>
        <v>123</v>
      </c>
      <c r="O381" s="25"/>
    </row>
    <row r="382" spans="1:15" x14ac:dyDescent="0.3">
      <c r="A382" s="24"/>
      <c r="B382" s="26" t="s">
        <v>604</v>
      </c>
      <c r="C382" s="29" t="s">
        <v>1429</v>
      </c>
      <c r="D382" s="24">
        <v>85</v>
      </c>
      <c r="E382" s="34"/>
      <c r="F382" s="34"/>
      <c r="G382" s="34" t="s">
        <v>74</v>
      </c>
      <c r="H382" s="24"/>
      <c r="I382" s="24"/>
      <c r="J382" s="24"/>
      <c r="K382" s="24"/>
      <c r="L382" s="24"/>
      <c r="M382" s="5">
        <f t="shared" si="10"/>
        <v>0</v>
      </c>
      <c r="N382" s="5">
        <f t="shared" si="11"/>
        <v>85</v>
      </c>
      <c r="O382" s="25"/>
    </row>
    <row r="383" spans="1:15" x14ac:dyDescent="0.3">
      <c r="A383" s="24"/>
      <c r="B383" s="26" t="s">
        <v>604</v>
      </c>
      <c r="C383" s="29" t="s">
        <v>1430</v>
      </c>
      <c r="D383" s="24">
        <v>94</v>
      </c>
      <c r="E383" s="34"/>
      <c r="F383" s="34"/>
      <c r="G383" s="34" t="s">
        <v>74</v>
      </c>
      <c r="H383" s="24"/>
      <c r="I383" s="24"/>
      <c r="J383" s="24"/>
      <c r="K383" s="24"/>
      <c r="L383" s="24"/>
      <c r="M383" s="5">
        <f t="shared" si="10"/>
        <v>0</v>
      </c>
      <c r="N383" s="5">
        <f t="shared" si="11"/>
        <v>94</v>
      </c>
      <c r="O383" s="25"/>
    </row>
    <row r="384" spans="1:15" x14ac:dyDescent="0.3">
      <c r="A384" s="24"/>
      <c r="B384" s="26" t="s">
        <v>604</v>
      </c>
      <c r="C384" s="29" t="s">
        <v>1431</v>
      </c>
      <c r="D384" s="24">
        <v>87</v>
      </c>
      <c r="E384" s="34"/>
      <c r="F384" s="34"/>
      <c r="G384" s="34" t="s">
        <v>74</v>
      </c>
      <c r="H384" s="24"/>
      <c r="I384" s="24"/>
      <c r="J384" s="24"/>
      <c r="K384" s="24"/>
      <c r="L384" s="24"/>
      <c r="M384" s="5">
        <f t="shared" si="10"/>
        <v>0</v>
      </c>
      <c r="N384" s="5">
        <f t="shared" si="11"/>
        <v>87</v>
      </c>
      <c r="O384" s="25"/>
    </row>
    <row r="385" spans="1:15" x14ac:dyDescent="0.3">
      <c r="A385" s="24"/>
      <c r="B385" s="26" t="s">
        <v>604</v>
      </c>
      <c r="C385" s="29" t="s">
        <v>1432</v>
      </c>
      <c r="D385" s="24">
        <v>29</v>
      </c>
      <c r="E385" s="34"/>
      <c r="F385" s="34"/>
      <c r="G385" s="34" t="s">
        <v>74</v>
      </c>
      <c r="H385" s="24"/>
      <c r="I385" s="24"/>
      <c r="J385" s="24"/>
      <c r="K385" s="24"/>
      <c r="L385" s="24"/>
      <c r="M385" s="5">
        <f t="shared" si="10"/>
        <v>0</v>
      </c>
      <c r="N385" s="5">
        <f t="shared" si="11"/>
        <v>29</v>
      </c>
      <c r="O385" s="25"/>
    </row>
    <row r="386" spans="1:15" x14ac:dyDescent="0.3">
      <c r="A386" s="24"/>
      <c r="B386" s="26" t="s">
        <v>604</v>
      </c>
      <c r="C386" s="29" t="s">
        <v>1433</v>
      </c>
      <c r="D386" s="24">
        <v>62</v>
      </c>
      <c r="E386" s="34"/>
      <c r="F386" s="34"/>
      <c r="G386" s="34" t="s">
        <v>74</v>
      </c>
      <c r="H386" s="24"/>
      <c r="I386" s="24"/>
      <c r="J386" s="24"/>
      <c r="K386" s="24"/>
      <c r="L386" s="24"/>
      <c r="M386" s="5">
        <f t="shared" si="10"/>
        <v>0</v>
      </c>
      <c r="N386" s="5">
        <f t="shared" si="11"/>
        <v>62</v>
      </c>
      <c r="O386" s="25"/>
    </row>
    <row r="387" spans="1:15" x14ac:dyDescent="0.3">
      <c r="A387" s="24"/>
      <c r="B387" s="26" t="s">
        <v>604</v>
      </c>
      <c r="C387" s="29" t="s">
        <v>1434</v>
      </c>
      <c r="D387" s="24">
        <v>66</v>
      </c>
      <c r="E387" s="34"/>
      <c r="F387" s="34"/>
      <c r="G387" s="34" t="s">
        <v>74</v>
      </c>
      <c r="H387" s="24"/>
      <c r="I387" s="24"/>
      <c r="J387" s="24"/>
      <c r="K387" s="24"/>
      <c r="L387" s="24"/>
      <c r="M387" s="5">
        <f t="shared" ref="M387:M450" si="12">IF(G387="已出租",D387,0)</f>
        <v>0</v>
      </c>
      <c r="N387" s="5">
        <f t="shared" ref="N387:N450" si="13">IF(G387="未出租",D387,0)</f>
        <v>66</v>
      </c>
      <c r="O387" s="25"/>
    </row>
    <row r="388" spans="1:15" x14ac:dyDescent="0.3">
      <c r="A388" s="24"/>
      <c r="B388" s="26" t="s">
        <v>604</v>
      </c>
      <c r="C388" s="29" t="s">
        <v>1435</v>
      </c>
      <c r="D388" s="24">
        <v>47</v>
      </c>
      <c r="E388" s="34"/>
      <c r="F388" s="34"/>
      <c r="G388" s="34" t="s">
        <v>74</v>
      </c>
      <c r="H388" s="24"/>
      <c r="I388" s="24"/>
      <c r="J388" s="24"/>
      <c r="K388" s="24"/>
      <c r="L388" s="24"/>
      <c r="M388" s="5">
        <f t="shared" si="12"/>
        <v>0</v>
      </c>
      <c r="N388" s="5">
        <f t="shared" si="13"/>
        <v>47</v>
      </c>
      <c r="O388" s="25"/>
    </row>
    <row r="389" spans="1:15" x14ac:dyDescent="0.3">
      <c r="A389" s="24"/>
      <c r="B389" s="26" t="s">
        <v>604</v>
      </c>
      <c r="C389" s="29" t="s">
        <v>1436</v>
      </c>
      <c r="D389" s="24">
        <v>64</v>
      </c>
      <c r="E389" s="34"/>
      <c r="F389" s="34"/>
      <c r="G389" s="34" t="s">
        <v>74</v>
      </c>
      <c r="H389" s="24"/>
      <c r="I389" s="24"/>
      <c r="J389" s="24"/>
      <c r="K389" s="24"/>
      <c r="L389" s="24"/>
      <c r="M389" s="5">
        <f t="shared" si="12"/>
        <v>0</v>
      </c>
      <c r="N389" s="5">
        <f t="shared" si="13"/>
        <v>64</v>
      </c>
      <c r="O389" s="25"/>
    </row>
    <row r="390" spans="1:15" x14ac:dyDescent="0.3">
      <c r="A390" s="24"/>
      <c r="B390" s="26" t="s">
        <v>604</v>
      </c>
      <c r="C390" s="29" t="s">
        <v>1437</v>
      </c>
      <c r="D390" s="24">
        <v>38</v>
      </c>
      <c r="E390" s="34"/>
      <c r="F390" s="34"/>
      <c r="G390" s="34" t="s">
        <v>74</v>
      </c>
      <c r="H390" s="24"/>
      <c r="I390" s="24"/>
      <c r="J390" s="24"/>
      <c r="K390" s="24"/>
      <c r="L390" s="24"/>
      <c r="M390" s="5">
        <f t="shared" si="12"/>
        <v>0</v>
      </c>
      <c r="N390" s="5">
        <f t="shared" si="13"/>
        <v>38</v>
      </c>
      <c r="O390" s="25"/>
    </row>
    <row r="391" spans="1:15" x14ac:dyDescent="0.3">
      <c r="A391" s="24"/>
      <c r="B391" s="26" t="s">
        <v>604</v>
      </c>
      <c r="C391" s="29" t="s">
        <v>1438</v>
      </c>
      <c r="D391" s="24">
        <v>17</v>
      </c>
      <c r="E391" s="34"/>
      <c r="F391" s="34"/>
      <c r="G391" s="34" t="s">
        <v>74</v>
      </c>
      <c r="H391" s="24"/>
      <c r="I391" s="24"/>
      <c r="J391" s="24"/>
      <c r="K391" s="24"/>
      <c r="L391" s="24"/>
      <c r="M391" s="5">
        <f t="shared" si="12"/>
        <v>0</v>
      </c>
      <c r="N391" s="5">
        <f t="shared" si="13"/>
        <v>17</v>
      </c>
      <c r="O391" s="25"/>
    </row>
    <row r="392" spans="1:15" hidden="1" x14ac:dyDescent="0.3">
      <c r="A392" s="24"/>
      <c r="B392" s="26" t="s">
        <v>604</v>
      </c>
      <c r="C392" s="29" t="s">
        <v>1439</v>
      </c>
      <c r="D392" s="24">
        <v>69</v>
      </c>
      <c r="E392" s="24"/>
      <c r="F392" s="24"/>
      <c r="G392" s="24" t="s">
        <v>1022</v>
      </c>
      <c r="H392" s="24"/>
      <c r="I392" s="24"/>
      <c r="J392" s="24"/>
      <c r="K392" s="24"/>
      <c r="L392" s="24"/>
      <c r="M392" s="5">
        <f t="shared" si="12"/>
        <v>69</v>
      </c>
      <c r="N392" s="5">
        <f t="shared" si="13"/>
        <v>0</v>
      </c>
      <c r="O392" s="25"/>
    </row>
    <row r="393" spans="1:15" x14ac:dyDescent="0.3">
      <c r="A393" s="24"/>
      <c r="B393" s="26" t="s">
        <v>604</v>
      </c>
      <c r="C393" s="29" t="s">
        <v>1440</v>
      </c>
      <c r="D393" s="24">
        <v>56</v>
      </c>
      <c r="E393" s="34"/>
      <c r="F393" s="34"/>
      <c r="G393" s="34" t="s">
        <v>74</v>
      </c>
      <c r="H393" s="24"/>
      <c r="I393" s="24"/>
      <c r="J393" s="24"/>
      <c r="K393" s="24"/>
      <c r="L393" s="24"/>
      <c r="M393" s="5">
        <f t="shared" si="12"/>
        <v>0</v>
      </c>
      <c r="N393" s="5">
        <f t="shared" si="13"/>
        <v>56</v>
      </c>
      <c r="O393" s="25"/>
    </row>
    <row r="394" spans="1:15" x14ac:dyDescent="0.3">
      <c r="A394" s="24"/>
      <c r="B394" s="26" t="s">
        <v>604</v>
      </c>
      <c r="C394" s="29" t="s">
        <v>1441</v>
      </c>
      <c r="D394" s="24">
        <v>35</v>
      </c>
      <c r="E394" s="34"/>
      <c r="F394" s="34"/>
      <c r="G394" s="34" t="s">
        <v>74</v>
      </c>
      <c r="H394" s="24"/>
      <c r="I394" s="24"/>
      <c r="J394" s="24"/>
      <c r="K394" s="24"/>
      <c r="L394" s="24"/>
      <c r="M394" s="5">
        <f t="shared" si="12"/>
        <v>0</v>
      </c>
      <c r="N394" s="5">
        <f t="shared" si="13"/>
        <v>35</v>
      </c>
      <c r="O394" s="25"/>
    </row>
    <row r="395" spans="1:15" x14ac:dyDescent="0.3">
      <c r="A395" s="24"/>
      <c r="B395" s="26" t="s">
        <v>604</v>
      </c>
      <c r="C395" s="29" t="s">
        <v>1442</v>
      </c>
      <c r="D395" s="24">
        <v>30</v>
      </c>
      <c r="E395" s="34"/>
      <c r="F395" s="34"/>
      <c r="G395" s="34" t="s">
        <v>74</v>
      </c>
      <c r="H395" s="24"/>
      <c r="I395" s="24"/>
      <c r="J395" s="24"/>
      <c r="K395" s="24"/>
      <c r="L395" s="24"/>
      <c r="M395" s="5">
        <f t="shared" si="12"/>
        <v>0</v>
      </c>
      <c r="N395" s="5">
        <f t="shared" si="13"/>
        <v>30</v>
      </c>
      <c r="O395" s="25"/>
    </row>
    <row r="396" spans="1:15" hidden="1" x14ac:dyDescent="0.3">
      <c r="A396" s="24"/>
      <c r="B396" s="26" t="s">
        <v>604</v>
      </c>
      <c r="C396" s="29" t="s">
        <v>1443</v>
      </c>
      <c r="D396" s="24">
        <v>40</v>
      </c>
      <c r="E396" s="24"/>
      <c r="F396" s="24"/>
      <c r="G396" s="24" t="s">
        <v>1022</v>
      </c>
      <c r="H396" s="24"/>
      <c r="I396" s="24"/>
      <c r="J396" s="24"/>
      <c r="K396" s="24"/>
      <c r="L396" s="24"/>
      <c r="M396" s="5">
        <f t="shared" si="12"/>
        <v>40</v>
      </c>
      <c r="N396" s="5">
        <f t="shared" si="13"/>
        <v>0</v>
      </c>
      <c r="O396" s="25"/>
    </row>
    <row r="397" spans="1:15" hidden="1" x14ac:dyDescent="0.3">
      <c r="A397" s="24"/>
      <c r="B397" s="26" t="s">
        <v>604</v>
      </c>
      <c r="C397" s="29" t="s">
        <v>1444</v>
      </c>
      <c r="D397" s="24">
        <v>40</v>
      </c>
      <c r="E397" s="24"/>
      <c r="F397" s="24"/>
      <c r="G397" s="24" t="s">
        <v>1022</v>
      </c>
      <c r="H397" s="24"/>
      <c r="I397" s="24"/>
      <c r="J397" s="24"/>
      <c r="K397" s="24"/>
      <c r="L397" s="24"/>
      <c r="M397" s="5">
        <f t="shared" si="12"/>
        <v>40</v>
      </c>
      <c r="N397" s="5">
        <f t="shared" si="13"/>
        <v>0</v>
      </c>
      <c r="O397" s="25"/>
    </row>
    <row r="398" spans="1:15" x14ac:dyDescent="0.3">
      <c r="A398" s="24"/>
      <c r="B398" s="26" t="s">
        <v>604</v>
      </c>
      <c r="C398" s="29" t="s">
        <v>1445</v>
      </c>
      <c r="D398" s="24">
        <v>32</v>
      </c>
      <c r="E398" s="34"/>
      <c r="F398" s="34"/>
      <c r="G398" s="34" t="s">
        <v>74</v>
      </c>
      <c r="H398" s="24"/>
      <c r="I398" s="24"/>
      <c r="J398" s="24"/>
      <c r="K398" s="24"/>
      <c r="L398" s="24"/>
      <c r="M398" s="5">
        <f t="shared" si="12"/>
        <v>0</v>
      </c>
      <c r="N398" s="5">
        <f t="shared" si="13"/>
        <v>32</v>
      </c>
      <c r="O398" s="25"/>
    </row>
    <row r="399" spans="1:15" x14ac:dyDescent="0.3">
      <c r="A399" s="24"/>
      <c r="B399" s="26" t="s">
        <v>604</v>
      </c>
      <c r="C399" s="29" t="s">
        <v>1446</v>
      </c>
      <c r="D399" s="24">
        <v>34</v>
      </c>
      <c r="E399" s="34"/>
      <c r="F399" s="34"/>
      <c r="G399" s="34" t="s">
        <v>74</v>
      </c>
      <c r="H399" s="24"/>
      <c r="I399" s="24"/>
      <c r="J399" s="24"/>
      <c r="K399" s="24"/>
      <c r="L399" s="24"/>
      <c r="M399" s="5">
        <f t="shared" si="12"/>
        <v>0</v>
      </c>
      <c r="N399" s="5">
        <f t="shared" si="13"/>
        <v>34</v>
      </c>
      <c r="O399" s="25"/>
    </row>
    <row r="400" spans="1:15" x14ac:dyDescent="0.3">
      <c r="A400" s="24"/>
      <c r="B400" s="26" t="s">
        <v>604</v>
      </c>
      <c r="C400" s="29" t="s">
        <v>1447</v>
      </c>
      <c r="D400" s="24">
        <v>48</v>
      </c>
      <c r="E400" s="34"/>
      <c r="F400" s="34"/>
      <c r="G400" s="34" t="s">
        <v>74</v>
      </c>
      <c r="H400" s="24"/>
      <c r="I400" s="24"/>
      <c r="J400" s="24"/>
      <c r="K400" s="24"/>
      <c r="L400" s="24"/>
      <c r="M400" s="5">
        <f t="shared" si="12"/>
        <v>0</v>
      </c>
      <c r="N400" s="5">
        <f t="shared" si="13"/>
        <v>48</v>
      </c>
      <c r="O400" s="25"/>
    </row>
    <row r="401" spans="1:15" x14ac:dyDescent="0.3">
      <c r="A401" s="24"/>
      <c r="B401" s="26" t="s">
        <v>604</v>
      </c>
      <c r="C401" s="29" t="s">
        <v>1448</v>
      </c>
      <c r="D401" s="24">
        <v>45</v>
      </c>
      <c r="E401" s="34"/>
      <c r="F401" s="34"/>
      <c r="G401" s="34" t="s">
        <v>74</v>
      </c>
      <c r="H401" s="24"/>
      <c r="I401" s="24"/>
      <c r="J401" s="24"/>
      <c r="K401" s="24"/>
      <c r="L401" s="24"/>
      <c r="M401" s="5">
        <f t="shared" si="12"/>
        <v>0</v>
      </c>
      <c r="N401" s="5">
        <f t="shared" si="13"/>
        <v>45</v>
      </c>
      <c r="O401" s="25"/>
    </row>
    <row r="402" spans="1:15" hidden="1" x14ac:dyDescent="0.3">
      <c r="A402" s="24"/>
      <c r="B402" s="26" t="s">
        <v>604</v>
      </c>
      <c r="C402" s="29" t="s">
        <v>1449</v>
      </c>
      <c r="D402" s="24">
        <v>33</v>
      </c>
      <c r="E402" s="24"/>
      <c r="F402" s="24"/>
      <c r="G402" s="24" t="s">
        <v>1022</v>
      </c>
      <c r="H402" s="24"/>
      <c r="I402" s="24"/>
      <c r="J402" s="24"/>
      <c r="K402" s="24"/>
      <c r="L402" s="24"/>
      <c r="M402" s="5">
        <f t="shared" si="12"/>
        <v>33</v>
      </c>
      <c r="N402" s="5">
        <f t="shared" si="13"/>
        <v>0</v>
      </c>
      <c r="O402" s="25"/>
    </row>
    <row r="403" spans="1:15" hidden="1" x14ac:dyDescent="0.3">
      <c r="A403" s="24"/>
      <c r="B403" s="26" t="s">
        <v>604</v>
      </c>
      <c r="C403" s="29" t="s">
        <v>1450</v>
      </c>
      <c r="D403" s="24">
        <v>65</v>
      </c>
      <c r="E403" s="24"/>
      <c r="F403" s="24"/>
      <c r="G403" s="24" t="s">
        <v>1022</v>
      </c>
      <c r="H403" s="24"/>
      <c r="I403" s="24"/>
      <c r="J403" s="24"/>
      <c r="K403" s="24"/>
      <c r="L403" s="24"/>
      <c r="M403" s="5">
        <f t="shared" si="12"/>
        <v>65</v>
      </c>
      <c r="N403" s="5">
        <f t="shared" si="13"/>
        <v>0</v>
      </c>
      <c r="O403" s="25"/>
    </row>
    <row r="404" spans="1:15" hidden="1" x14ac:dyDescent="0.3">
      <c r="A404" s="24"/>
      <c r="B404" s="26" t="s">
        <v>604</v>
      </c>
      <c r="C404" s="29" t="s">
        <v>1451</v>
      </c>
      <c r="D404" s="24">
        <v>54</v>
      </c>
      <c r="E404" s="24"/>
      <c r="F404" s="24"/>
      <c r="G404" s="24" t="s">
        <v>1022</v>
      </c>
      <c r="H404" s="24"/>
      <c r="I404" s="24"/>
      <c r="J404" s="24"/>
      <c r="K404" s="24"/>
      <c r="L404" s="24"/>
      <c r="M404" s="5">
        <f t="shared" si="12"/>
        <v>54</v>
      </c>
      <c r="N404" s="5">
        <f t="shared" si="13"/>
        <v>0</v>
      </c>
      <c r="O404" s="25"/>
    </row>
    <row r="405" spans="1:15" hidden="1" x14ac:dyDescent="0.3">
      <c r="A405" s="24"/>
      <c r="B405" s="26" t="s">
        <v>610</v>
      </c>
      <c r="C405" s="29" t="s">
        <v>1452</v>
      </c>
      <c r="D405" s="27">
        <v>55.46</v>
      </c>
      <c r="E405" s="24"/>
      <c r="F405" s="24"/>
      <c r="G405" s="24" t="s">
        <v>1022</v>
      </c>
      <c r="H405" s="24"/>
      <c r="I405" s="24"/>
      <c r="J405" s="24"/>
      <c r="K405" s="24"/>
      <c r="L405" s="24"/>
      <c r="M405" s="5">
        <f t="shared" si="12"/>
        <v>55.46</v>
      </c>
      <c r="N405" s="5">
        <f t="shared" si="13"/>
        <v>0</v>
      </c>
      <c r="O405" s="25"/>
    </row>
    <row r="406" spans="1:15" hidden="1" x14ac:dyDescent="0.3">
      <c r="A406" s="24"/>
      <c r="B406" s="26" t="s">
        <v>610</v>
      </c>
      <c r="C406" s="29" t="s">
        <v>1453</v>
      </c>
      <c r="D406" s="27">
        <v>65.61</v>
      </c>
      <c r="E406" s="24"/>
      <c r="F406" s="24"/>
      <c r="G406" s="24" t="s">
        <v>1022</v>
      </c>
      <c r="H406" s="24"/>
      <c r="I406" s="24"/>
      <c r="J406" s="24"/>
      <c r="K406" s="24"/>
      <c r="L406" s="24"/>
      <c r="M406" s="5">
        <f t="shared" si="12"/>
        <v>65.61</v>
      </c>
      <c r="N406" s="5">
        <f t="shared" si="13"/>
        <v>0</v>
      </c>
      <c r="O406" s="25"/>
    </row>
    <row r="407" spans="1:15" hidden="1" x14ac:dyDescent="0.3">
      <c r="A407" s="24"/>
      <c r="B407" s="26" t="s">
        <v>610</v>
      </c>
      <c r="C407" s="29" t="s">
        <v>1454</v>
      </c>
      <c r="D407" s="27">
        <v>48.7</v>
      </c>
      <c r="E407" s="24"/>
      <c r="F407" s="24"/>
      <c r="G407" s="24" t="s">
        <v>1022</v>
      </c>
      <c r="H407" s="24"/>
      <c r="I407" s="24"/>
      <c r="J407" s="24"/>
      <c r="K407" s="24"/>
      <c r="L407" s="24"/>
      <c r="M407" s="5">
        <f t="shared" si="12"/>
        <v>48.7</v>
      </c>
      <c r="N407" s="5">
        <f t="shared" si="13"/>
        <v>0</v>
      </c>
      <c r="O407" s="25"/>
    </row>
    <row r="408" spans="1:15" hidden="1" x14ac:dyDescent="0.3">
      <c r="A408" s="24"/>
      <c r="B408" s="26" t="s">
        <v>610</v>
      </c>
      <c r="C408" s="29" t="s">
        <v>1455</v>
      </c>
      <c r="D408" s="27">
        <v>57.12</v>
      </c>
      <c r="E408" s="24"/>
      <c r="F408" s="24"/>
      <c r="G408" s="24" t="s">
        <v>1022</v>
      </c>
      <c r="H408" s="24"/>
      <c r="I408" s="24"/>
      <c r="J408" s="24"/>
      <c r="K408" s="24"/>
      <c r="L408" s="24"/>
      <c r="M408" s="5">
        <f t="shared" si="12"/>
        <v>57.12</v>
      </c>
      <c r="N408" s="5">
        <f t="shared" si="13"/>
        <v>0</v>
      </c>
      <c r="O408" s="25"/>
    </row>
    <row r="409" spans="1:15" hidden="1" x14ac:dyDescent="0.3">
      <c r="A409" s="24"/>
      <c r="B409" s="26" t="s">
        <v>610</v>
      </c>
      <c r="C409" s="29" t="s">
        <v>1456</v>
      </c>
      <c r="D409" s="27">
        <v>19.48</v>
      </c>
      <c r="E409" s="24"/>
      <c r="F409" s="24"/>
      <c r="G409" s="24" t="s">
        <v>1022</v>
      </c>
      <c r="H409" s="24"/>
      <c r="I409" s="24"/>
      <c r="J409" s="24"/>
      <c r="K409" s="24"/>
      <c r="L409" s="24"/>
      <c r="M409" s="5">
        <f t="shared" si="12"/>
        <v>19.48</v>
      </c>
      <c r="N409" s="5">
        <f t="shared" si="13"/>
        <v>0</v>
      </c>
      <c r="O409" s="25"/>
    </row>
    <row r="410" spans="1:15" hidden="1" x14ac:dyDescent="0.3">
      <c r="A410" s="24"/>
      <c r="B410" s="26" t="s">
        <v>610</v>
      </c>
      <c r="C410" s="29" t="s">
        <v>1457</v>
      </c>
      <c r="D410" s="27">
        <v>13.96</v>
      </c>
      <c r="E410" s="24"/>
      <c r="F410" s="24"/>
      <c r="G410" s="24" t="s">
        <v>1022</v>
      </c>
      <c r="H410" s="24"/>
      <c r="I410" s="24"/>
      <c r="J410" s="24"/>
      <c r="K410" s="24"/>
      <c r="L410" s="24"/>
      <c r="M410" s="5">
        <f t="shared" si="12"/>
        <v>13.96</v>
      </c>
      <c r="N410" s="5">
        <f t="shared" si="13"/>
        <v>0</v>
      </c>
      <c r="O410" s="25"/>
    </row>
    <row r="411" spans="1:15" hidden="1" x14ac:dyDescent="0.3">
      <c r="A411" s="24"/>
      <c r="B411" s="26" t="s">
        <v>610</v>
      </c>
      <c r="C411" s="29" t="s">
        <v>1458</v>
      </c>
      <c r="D411" s="27">
        <v>24.39</v>
      </c>
      <c r="E411" s="24"/>
      <c r="F411" s="24"/>
      <c r="G411" s="24" t="s">
        <v>1022</v>
      </c>
      <c r="H411" s="24"/>
      <c r="I411" s="24"/>
      <c r="J411" s="24"/>
      <c r="K411" s="24"/>
      <c r="L411" s="24"/>
      <c r="M411" s="5">
        <f t="shared" si="12"/>
        <v>24.39</v>
      </c>
      <c r="N411" s="5">
        <f t="shared" si="13"/>
        <v>0</v>
      </c>
      <c r="O411" s="25"/>
    </row>
    <row r="412" spans="1:15" hidden="1" x14ac:dyDescent="0.3">
      <c r="A412" s="24"/>
      <c r="B412" s="26" t="s">
        <v>610</v>
      </c>
      <c r="C412" s="29" t="s">
        <v>1459</v>
      </c>
      <c r="D412" s="27">
        <v>33.700000000000003</v>
      </c>
      <c r="E412" s="24"/>
      <c r="F412" s="24"/>
      <c r="G412" s="24" t="s">
        <v>1022</v>
      </c>
      <c r="H412" s="24"/>
      <c r="I412" s="24"/>
      <c r="J412" s="24"/>
      <c r="K412" s="24"/>
      <c r="L412" s="24"/>
      <c r="M412" s="5">
        <f t="shared" si="12"/>
        <v>33.700000000000003</v>
      </c>
      <c r="N412" s="5">
        <f t="shared" si="13"/>
        <v>0</v>
      </c>
      <c r="O412" s="25"/>
    </row>
    <row r="413" spans="1:15" hidden="1" x14ac:dyDescent="0.3">
      <c r="A413" s="24"/>
      <c r="B413" s="26" t="s">
        <v>610</v>
      </c>
      <c r="C413" s="29" t="s">
        <v>1460</v>
      </c>
      <c r="D413" s="27">
        <v>43.97</v>
      </c>
      <c r="E413" s="24"/>
      <c r="F413" s="24"/>
      <c r="G413" s="24" t="s">
        <v>1022</v>
      </c>
      <c r="H413" s="24"/>
      <c r="I413" s="24"/>
      <c r="J413" s="24"/>
      <c r="K413" s="24"/>
      <c r="L413" s="24"/>
      <c r="M413" s="5">
        <f t="shared" si="12"/>
        <v>43.97</v>
      </c>
      <c r="N413" s="5">
        <f t="shared" si="13"/>
        <v>0</v>
      </c>
      <c r="O413" s="25"/>
    </row>
    <row r="414" spans="1:15" x14ac:dyDescent="0.3">
      <c r="A414" s="24"/>
      <c r="B414" s="26" t="s">
        <v>610</v>
      </c>
      <c r="C414" s="29" t="s">
        <v>1461</v>
      </c>
      <c r="D414" s="27">
        <v>47.13</v>
      </c>
      <c r="E414" s="34"/>
      <c r="F414" s="34"/>
      <c r="G414" s="34" t="s">
        <v>74</v>
      </c>
      <c r="H414" s="24"/>
      <c r="I414" s="24"/>
      <c r="J414" s="24"/>
      <c r="K414" s="24"/>
      <c r="L414" s="24"/>
      <c r="M414" s="5">
        <f t="shared" si="12"/>
        <v>0</v>
      </c>
      <c r="N414" s="5">
        <f t="shared" si="13"/>
        <v>47.13</v>
      </c>
      <c r="O414" s="25"/>
    </row>
    <row r="415" spans="1:15" x14ac:dyDescent="0.3">
      <c r="A415" s="24"/>
      <c r="B415" s="26" t="s">
        <v>610</v>
      </c>
      <c r="C415" s="29" t="s">
        <v>1462</v>
      </c>
      <c r="D415" s="27">
        <v>25.55</v>
      </c>
      <c r="E415" s="34"/>
      <c r="F415" s="34"/>
      <c r="G415" s="34" t="s">
        <v>74</v>
      </c>
      <c r="H415" s="24"/>
      <c r="I415" s="24"/>
      <c r="J415" s="24"/>
      <c r="K415" s="24"/>
      <c r="L415" s="24"/>
      <c r="M415" s="5">
        <f t="shared" si="12"/>
        <v>0</v>
      </c>
      <c r="N415" s="5">
        <f t="shared" si="13"/>
        <v>25.55</v>
      </c>
      <c r="O415" s="25"/>
    </row>
    <row r="416" spans="1:15" x14ac:dyDescent="0.3">
      <c r="A416" s="24"/>
      <c r="B416" s="26" t="s">
        <v>610</v>
      </c>
      <c r="C416" s="29" t="s">
        <v>1463</v>
      </c>
      <c r="D416" s="27">
        <v>22.76</v>
      </c>
      <c r="E416" s="34"/>
      <c r="F416" s="34"/>
      <c r="G416" s="34" t="s">
        <v>74</v>
      </c>
      <c r="H416" s="24"/>
      <c r="I416" s="24"/>
      <c r="J416" s="24"/>
      <c r="K416" s="24"/>
      <c r="L416" s="24"/>
      <c r="M416" s="5">
        <f t="shared" si="12"/>
        <v>0</v>
      </c>
      <c r="N416" s="5">
        <f t="shared" si="13"/>
        <v>22.76</v>
      </c>
      <c r="O416" s="25"/>
    </row>
    <row r="417" spans="1:15" hidden="1" x14ac:dyDescent="0.3">
      <c r="A417" s="24"/>
      <c r="B417" s="26" t="s">
        <v>610</v>
      </c>
      <c r="C417" s="29" t="s">
        <v>1464</v>
      </c>
      <c r="D417" s="27">
        <v>23.66</v>
      </c>
      <c r="E417" s="24"/>
      <c r="F417" s="24"/>
      <c r="G417" s="24" t="s">
        <v>1022</v>
      </c>
      <c r="H417" s="24"/>
      <c r="I417" s="24"/>
      <c r="J417" s="24"/>
      <c r="K417" s="24"/>
      <c r="L417" s="24"/>
      <c r="M417" s="5">
        <f t="shared" si="12"/>
        <v>23.66</v>
      </c>
      <c r="N417" s="5">
        <f t="shared" si="13"/>
        <v>0</v>
      </c>
      <c r="O417" s="25"/>
    </row>
    <row r="418" spans="1:15" hidden="1" x14ac:dyDescent="0.3">
      <c r="A418" s="24"/>
      <c r="B418" s="26" t="s">
        <v>610</v>
      </c>
      <c r="C418" s="29" t="s">
        <v>1465</v>
      </c>
      <c r="D418" s="27">
        <v>34.340000000000003</v>
      </c>
      <c r="E418" s="24"/>
      <c r="F418" s="24"/>
      <c r="G418" s="24" t="s">
        <v>1022</v>
      </c>
      <c r="H418" s="24"/>
      <c r="I418" s="24"/>
      <c r="J418" s="24"/>
      <c r="K418" s="24"/>
      <c r="L418" s="24"/>
      <c r="M418" s="5">
        <f t="shared" si="12"/>
        <v>34.340000000000003</v>
      </c>
      <c r="N418" s="5">
        <f t="shared" si="13"/>
        <v>0</v>
      </c>
      <c r="O418" s="25"/>
    </row>
    <row r="419" spans="1:15" hidden="1" x14ac:dyDescent="0.3">
      <c r="A419" s="24"/>
      <c r="B419" s="26" t="s">
        <v>610</v>
      </c>
      <c r="C419" s="29" t="s">
        <v>1466</v>
      </c>
      <c r="D419" s="27">
        <v>44.6</v>
      </c>
      <c r="E419" s="24"/>
      <c r="F419" s="24"/>
      <c r="G419" s="24" t="s">
        <v>1022</v>
      </c>
      <c r="H419" s="24"/>
      <c r="I419" s="24"/>
      <c r="J419" s="24"/>
      <c r="K419" s="24"/>
      <c r="L419" s="24"/>
      <c r="M419" s="5">
        <f t="shared" si="12"/>
        <v>44.6</v>
      </c>
      <c r="N419" s="5">
        <f t="shared" si="13"/>
        <v>0</v>
      </c>
      <c r="O419" s="25"/>
    </row>
    <row r="420" spans="1:15" hidden="1" x14ac:dyDescent="0.3">
      <c r="A420" s="24"/>
      <c r="B420" s="26" t="s">
        <v>610</v>
      </c>
      <c r="C420" s="29" t="s">
        <v>1467</v>
      </c>
      <c r="D420" s="27">
        <v>49.98</v>
      </c>
      <c r="E420" s="24"/>
      <c r="F420" s="24"/>
      <c r="G420" s="24" t="s">
        <v>1022</v>
      </c>
      <c r="H420" s="24"/>
      <c r="I420" s="24"/>
      <c r="J420" s="24"/>
      <c r="K420" s="24"/>
      <c r="L420" s="24"/>
      <c r="M420" s="5">
        <f t="shared" si="12"/>
        <v>49.98</v>
      </c>
      <c r="N420" s="5">
        <f t="shared" si="13"/>
        <v>0</v>
      </c>
      <c r="O420" s="25"/>
    </row>
    <row r="421" spans="1:15" hidden="1" x14ac:dyDescent="0.3">
      <c r="A421" s="24"/>
      <c r="B421" s="26" t="s">
        <v>610</v>
      </c>
      <c r="C421" s="29" t="s">
        <v>1468</v>
      </c>
      <c r="D421" s="27">
        <v>71.48</v>
      </c>
      <c r="E421" s="24"/>
      <c r="F421" s="24"/>
      <c r="G421" s="24" t="s">
        <v>1022</v>
      </c>
      <c r="H421" s="24"/>
      <c r="I421" s="24"/>
      <c r="J421" s="24"/>
      <c r="K421" s="24"/>
      <c r="L421" s="24"/>
      <c r="M421" s="5">
        <f t="shared" si="12"/>
        <v>71.48</v>
      </c>
      <c r="N421" s="5">
        <f t="shared" si="13"/>
        <v>0</v>
      </c>
      <c r="O421" s="25"/>
    </row>
    <row r="422" spans="1:15" hidden="1" x14ac:dyDescent="0.3">
      <c r="A422" s="24"/>
      <c r="B422" s="26" t="s">
        <v>610</v>
      </c>
      <c r="C422" s="29" t="s">
        <v>1469</v>
      </c>
      <c r="D422" s="27">
        <v>58.71</v>
      </c>
      <c r="E422" s="24"/>
      <c r="F422" s="24"/>
      <c r="G422" s="24" t="s">
        <v>1022</v>
      </c>
      <c r="H422" s="24"/>
      <c r="I422" s="24"/>
      <c r="J422" s="24"/>
      <c r="K422" s="24"/>
      <c r="L422" s="24"/>
      <c r="M422" s="5">
        <f t="shared" si="12"/>
        <v>58.71</v>
      </c>
      <c r="N422" s="5">
        <f t="shared" si="13"/>
        <v>0</v>
      </c>
      <c r="O422" s="25"/>
    </row>
    <row r="423" spans="1:15" hidden="1" x14ac:dyDescent="0.3">
      <c r="A423" s="24"/>
      <c r="B423" s="26" t="s">
        <v>610</v>
      </c>
      <c r="C423" s="29" t="s">
        <v>1470</v>
      </c>
      <c r="D423" s="27">
        <v>30.65</v>
      </c>
      <c r="E423" s="24"/>
      <c r="F423" s="24"/>
      <c r="G423" s="24" t="s">
        <v>1022</v>
      </c>
      <c r="H423" s="24"/>
      <c r="I423" s="24"/>
      <c r="J423" s="24"/>
      <c r="K423" s="24"/>
      <c r="L423" s="24"/>
      <c r="M423" s="5">
        <f t="shared" si="12"/>
        <v>30.65</v>
      </c>
      <c r="N423" s="5">
        <f t="shared" si="13"/>
        <v>0</v>
      </c>
      <c r="O423" s="25"/>
    </row>
    <row r="424" spans="1:15" hidden="1" x14ac:dyDescent="0.3">
      <c r="A424" s="24"/>
      <c r="B424" s="26" t="s">
        <v>610</v>
      </c>
      <c r="C424" s="29" t="s">
        <v>1471</v>
      </c>
      <c r="D424" s="27">
        <v>38.799999999999997</v>
      </c>
      <c r="E424" s="24"/>
      <c r="F424" s="24"/>
      <c r="G424" s="24" t="s">
        <v>1022</v>
      </c>
      <c r="H424" s="24"/>
      <c r="I424" s="24"/>
      <c r="J424" s="24"/>
      <c r="K424" s="24"/>
      <c r="L424" s="24"/>
      <c r="M424" s="5">
        <f t="shared" si="12"/>
        <v>38.799999999999997</v>
      </c>
      <c r="N424" s="5">
        <f t="shared" si="13"/>
        <v>0</v>
      </c>
      <c r="O424" s="25"/>
    </row>
    <row r="425" spans="1:15" x14ac:dyDescent="0.3">
      <c r="A425" s="24"/>
      <c r="B425" s="26" t="s">
        <v>610</v>
      </c>
      <c r="C425" s="29" t="s">
        <v>1472</v>
      </c>
      <c r="D425" s="27">
        <v>40.450000000000003</v>
      </c>
      <c r="E425" s="34"/>
      <c r="F425" s="34"/>
      <c r="G425" s="34" t="s">
        <v>74</v>
      </c>
      <c r="H425" s="24"/>
      <c r="I425" s="24"/>
      <c r="J425" s="24"/>
      <c r="K425" s="24"/>
      <c r="L425" s="24"/>
      <c r="M425" s="5">
        <f t="shared" si="12"/>
        <v>0</v>
      </c>
      <c r="N425" s="5">
        <f t="shared" si="13"/>
        <v>40.450000000000003</v>
      </c>
      <c r="O425" s="25"/>
    </row>
    <row r="426" spans="1:15" hidden="1" x14ac:dyDescent="0.3">
      <c r="A426" s="24"/>
      <c r="B426" s="26" t="s">
        <v>610</v>
      </c>
      <c r="C426" s="29" t="s">
        <v>1473</v>
      </c>
      <c r="D426" s="27">
        <v>41</v>
      </c>
      <c r="E426" s="24"/>
      <c r="F426" s="24"/>
      <c r="G426" s="24" t="s">
        <v>1022</v>
      </c>
      <c r="H426" s="24"/>
      <c r="I426" s="24"/>
      <c r="J426" s="24"/>
      <c r="K426" s="24"/>
      <c r="L426" s="24"/>
      <c r="M426" s="5">
        <f t="shared" si="12"/>
        <v>41</v>
      </c>
      <c r="N426" s="5">
        <f t="shared" si="13"/>
        <v>0</v>
      </c>
      <c r="O426" s="25"/>
    </row>
    <row r="427" spans="1:15" hidden="1" x14ac:dyDescent="0.3">
      <c r="A427" s="24"/>
      <c r="B427" s="26" t="s">
        <v>610</v>
      </c>
      <c r="C427" s="29" t="s">
        <v>1474</v>
      </c>
      <c r="D427" s="27">
        <v>43.84</v>
      </c>
      <c r="E427" s="24"/>
      <c r="F427" s="24"/>
      <c r="G427" s="24" t="s">
        <v>1022</v>
      </c>
      <c r="H427" s="24"/>
      <c r="I427" s="24"/>
      <c r="J427" s="24"/>
      <c r="K427" s="24"/>
      <c r="L427" s="24"/>
      <c r="M427" s="5">
        <f t="shared" si="12"/>
        <v>43.84</v>
      </c>
      <c r="N427" s="5">
        <f t="shared" si="13"/>
        <v>0</v>
      </c>
      <c r="O427" s="25"/>
    </row>
    <row r="428" spans="1:15" hidden="1" x14ac:dyDescent="0.3">
      <c r="A428" s="24"/>
      <c r="B428" s="26" t="s">
        <v>610</v>
      </c>
      <c r="C428" s="29" t="s">
        <v>1475</v>
      </c>
      <c r="D428" s="27">
        <v>40.28</v>
      </c>
      <c r="E428" s="24"/>
      <c r="F428" s="24"/>
      <c r="G428" s="24" t="s">
        <v>1022</v>
      </c>
      <c r="H428" s="24"/>
      <c r="I428" s="24"/>
      <c r="J428" s="24"/>
      <c r="K428" s="24"/>
      <c r="L428" s="24"/>
      <c r="M428" s="5">
        <f t="shared" si="12"/>
        <v>40.28</v>
      </c>
      <c r="N428" s="5">
        <f t="shared" si="13"/>
        <v>0</v>
      </c>
      <c r="O428" s="25"/>
    </row>
    <row r="429" spans="1:15" hidden="1" x14ac:dyDescent="0.3">
      <c r="A429" s="24"/>
      <c r="B429" s="26" t="s">
        <v>610</v>
      </c>
      <c r="C429" s="29" t="s">
        <v>1476</v>
      </c>
      <c r="D429" s="27">
        <v>49.55</v>
      </c>
      <c r="E429" s="24"/>
      <c r="F429" s="24"/>
      <c r="G429" s="24" t="s">
        <v>1022</v>
      </c>
      <c r="H429" s="24"/>
      <c r="I429" s="24"/>
      <c r="J429" s="24"/>
      <c r="K429" s="24"/>
      <c r="L429" s="24"/>
      <c r="M429" s="5">
        <f t="shared" si="12"/>
        <v>49.55</v>
      </c>
      <c r="N429" s="5">
        <f t="shared" si="13"/>
        <v>0</v>
      </c>
      <c r="O429" s="25"/>
    </row>
    <row r="430" spans="1:15" x14ac:dyDescent="0.3">
      <c r="A430" s="24"/>
      <c r="B430" s="26" t="s">
        <v>610</v>
      </c>
      <c r="C430" s="29" t="s">
        <v>1477</v>
      </c>
      <c r="D430" s="27">
        <v>26.85</v>
      </c>
      <c r="E430" s="34"/>
      <c r="F430" s="34"/>
      <c r="G430" s="34" t="s">
        <v>74</v>
      </c>
      <c r="H430" s="24"/>
      <c r="I430" s="24"/>
      <c r="J430" s="24"/>
      <c r="K430" s="24"/>
      <c r="L430" s="24"/>
      <c r="M430" s="5">
        <f t="shared" si="12"/>
        <v>0</v>
      </c>
      <c r="N430" s="5">
        <f t="shared" si="13"/>
        <v>26.85</v>
      </c>
      <c r="O430" s="25"/>
    </row>
    <row r="431" spans="1:15" x14ac:dyDescent="0.3">
      <c r="A431" s="24"/>
      <c r="B431" s="26" t="s">
        <v>610</v>
      </c>
      <c r="C431" s="29" t="s">
        <v>1478</v>
      </c>
      <c r="D431" s="27">
        <v>31</v>
      </c>
      <c r="E431" s="34"/>
      <c r="F431" s="34"/>
      <c r="G431" s="34" t="s">
        <v>74</v>
      </c>
      <c r="H431" s="24"/>
      <c r="I431" s="24"/>
      <c r="J431" s="24"/>
      <c r="K431" s="24"/>
      <c r="L431" s="24"/>
      <c r="M431" s="5">
        <f t="shared" si="12"/>
        <v>0</v>
      </c>
      <c r="N431" s="5">
        <f t="shared" si="13"/>
        <v>31</v>
      </c>
      <c r="O431" s="25"/>
    </row>
    <row r="432" spans="1:15" hidden="1" x14ac:dyDescent="0.3">
      <c r="A432" s="24"/>
      <c r="B432" s="26" t="s">
        <v>610</v>
      </c>
      <c r="C432" s="29" t="s">
        <v>1479</v>
      </c>
      <c r="D432" s="27">
        <v>34.35</v>
      </c>
      <c r="E432" s="24"/>
      <c r="F432" s="24"/>
      <c r="G432" s="24" t="s">
        <v>1022</v>
      </c>
      <c r="H432" s="24"/>
      <c r="I432" s="24"/>
      <c r="J432" s="24"/>
      <c r="K432" s="24"/>
      <c r="L432" s="24"/>
      <c r="M432" s="5">
        <f t="shared" si="12"/>
        <v>34.35</v>
      </c>
      <c r="N432" s="5">
        <f t="shared" si="13"/>
        <v>0</v>
      </c>
      <c r="O432" s="25"/>
    </row>
    <row r="433" spans="1:15" hidden="1" x14ac:dyDescent="0.3">
      <c r="A433" s="24"/>
      <c r="B433" s="26" t="s">
        <v>610</v>
      </c>
      <c r="C433" s="29" t="s">
        <v>1480</v>
      </c>
      <c r="D433" s="27">
        <v>34.35</v>
      </c>
      <c r="E433" s="24"/>
      <c r="F433" s="24"/>
      <c r="G433" s="24" t="s">
        <v>1022</v>
      </c>
      <c r="H433" s="24"/>
      <c r="I433" s="24"/>
      <c r="J433" s="24"/>
      <c r="K433" s="24"/>
      <c r="L433" s="24"/>
      <c r="M433" s="5">
        <f t="shared" si="12"/>
        <v>34.35</v>
      </c>
      <c r="N433" s="5">
        <f t="shared" si="13"/>
        <v>0</v>
      </c>
      <c r="O433" s="25"/>
    </row>
    <row r="434" spans="1:15" x14ac:dyDescent="0.3">
      <c r="A434" s="24"/>
      <c r="B434" s="26" t="s">
        <v>610</v>
      </c>
      <c r="C434" s="29" t="s">
        <v>1481</v>
      </c>
      <c r="D434" s="27">
        <v>31</v>
      </c>
      <c r="E434" s="34"/>
      <c r="F434" s="34"/>
      <c r="G434" s="34" t="s">
        <v>74</v>
      </c>
      <c r="H434" s="24"/>
      <c r="I434" s="24"/>
      <c r="J434" s="24"/>
      <c r="K434" s="24"/>
      <c r="L434" s="24"/>
      <c r="M434" s="5">
        <f t="shared" si="12"/>
        <v>0</v>
      </c>
      <c r="N434" s="5">
        <f t="shared" si="13"/>
        <v>31</v>
      </c>
      <c r="O434" s="25"/>
    </row>
    <row r="435" spans="1:15" x14ac:dyDescent="0.3">
      <c r="A435" s="24"/>
      <c r="B435" s="26" t="s">
        <v>610</v>
      </c>
      <c r="C435" s="29" t="s">
        <v>1482</v>
      </c>
      <c r="D435" s="27">
        <v>15</v>
      </c>
      <c r="E435" s="34"/>
      <c r="F435" s="34"/>
      <c r="G435" s="34" t="s">
        <v>74</v>
      </c>
      <c r="H435" s="24"/>
      <c r="I435" s="24"/>
      <c r="J435" s="24"/>
      <c r="K435" s="24"/>
      <c r="L435" s="24"/>
      <c r="M435" s="5">
        <f t="shared" si="12"/>
        <v>0</v>
      </c>
      <c r="N435" s="5">
        <f t="shared" si="13"/>
        <v>15</v>
      </c>
      <c r="O435" s="25"/>
    </row>
    <row r="436" spans="1:15" x14ac:dyDescent="0.3">
      <c r="A436" s="24"/>
      <c r="B436" s="26" t="s">
        <v>610</v>
      </c>
      <c r="C436" s="29" t="s">
        <v>1483</v>
      </c>
      <c r="D436" s="27">
        <v>28.8</v>
      </c>
      <c r="E436" s="34"/>
      <c r="F436" s="34"/>
      <c r="G436" s="34" t="s">
        <v>74</v>
      </c>
      <c r="H436" s="24"/>
      <c r="I436" s="24"/>
      <c r="J436" s="24"/>
      <c r="K436" s="24"/>
      <c r="L436" s="24"/>
      <c r="M436" s="5">
        <f t="shared" si="12"/>
        <v>0</v>
      </c>
      <c r="N436" s="5">
        <f t="shared" si="13"/>
        <v>28.8</v>
      </c>
      <c r="O436" s="25"/>
    </row>
    <row r="437" spans="1:15" hidden="1" x14ac:dyDescent="0.3">
      <c r="A437" s="24"/>
      <c r="B437" s="26" t="s">
        <v>610</v>
      </c>
      <c r="C437" s="29" t="s">
        <v>1484</v>
      </c>
      <c r="D437" s="27">
        <v>18</v>
      </c>
      <c r="E437" s="24"/>
      <c r="F437" s="24"/>
      <c r="G437" s="24" t="s">
        <v>1022</v>
      </c>
      <c r="H437" s="24"/>
      <c r="I437" s="24"/>
      <c r="J437" s="24"/>
      <c r="K437" s="24"/>
      <c r="L437" s="24"/>
      <c r="M437" s="5">
        <f t="shared" si="12"/>
        <v>18</v>
      </c>
      <c r="N437" s="5">
        <f t="shared" si="13"/>
        <v>0</v>
      </c>
      <c r="O437" s="25"/>
    </row>
    <row r="438" spans="1:15" hidden="1" x14ac:dyDescent="0.3">
      <c r="A438" s="24"/>
      <c r="B438" s="26" t="s">
        <v>610</v>
      </c>
      <c r="C438" s="29" t="s">
        <v>1485</v>
      </c>
      <c r="D438" s="27">
        <v>19.489999999999998</v>
      </c>
      <c r="E438" s="24"/>
      <c r="F438" s="24"/>
      <c r="G438" s="24" t="s">
        <v>1022</v>
      </c>
      <c r="H438" s="24"/>
      <c r="I438" s="24"/>
      <c r="J438" s="24"/>
      <c r="K438" s="24"/>
      <c r="L438" s="24"/>
      <c r="M438" s="5">
        <f t="shared" si="12"/>
        <v>19.489999999999998</v>
      </c>
      <c r="N438" s="5">
        <f t="shared" si="13"/>
        <v>0</v>
      </c>
      <c r="O438" s="25"/>
    </row>
    <row r="439" spans="1:15" hidden="1" x14ac:dyDescent="0.3">
      <c r="A439" s="24"/>
      <c r="B439" s="26" t="s">
        <v>610</v>
      </c>
      <c r="C439" s="29" t="s">
        <v>1486</v>
      </c>
      <c r="D439" s="27">
        <v>17.079999999999998</v>
      </c>
      <c r="E439" s="24"/>
      <c r="F439" s="24"/>
      <c r="G439" s="24" t="s">
        <v>1022</v>
      </c>
      <c r="H439" s="24"/>
      <c r="I439" s="24"/>
      <c r="J439" s="24"/>
      <c r="K439" s="24"/>
      <c r="L439" s="24"/>
      <c r="M439" s="5">
        <f t="shared" si="12"/>
        <v>17.079999999999998</v>
      </c>
      <c r="N439" s="5">
        <f t="shared" si="13"/>
        <v>0</v>
      </c>
      <c r="O439" s="25"/>
    </row>
    <row r="440" spans="1:15" hidden="1" x14ac:dyDescent="0.3">
      <c r="A440" s="24"/>
      <c r="B440" s="26" t="s">
        <v>610</v>
      </c>
      <c r="C440" s="29" t="s">
        <v>1326</v>
      </c>
      <c r="D440" s="27">
        <v>69.86</v>
      </c>
      <c r="E440" s="24"/>
      <c r="F440" s="24"/>
      <c r="G440" s="24" t="s">
        <v>1022</v>
      </c>
      <c r="H440" s="24"/>
      <c r="I440" s="24"/>
      <c r="J440" s="24"/>
      <c r="K440" s="24"/>
      <c r="L440" s="24"/>
      <c r="M440" s="5">
        <f t="shared" si="12"/>
        <v>69.86</v>
      </c>
      <c r="N440" s="5">
        <f t="shared" si="13"/>
        <v>0</v>
      </c>
      <c r="O440" s="25"/>
    </row>
    <row r="441" spans="1:15" hidden="1" x14ac:dyDescent="0.3">
      <c r="A441" s="24"/>
      <c r="B441" s="26" t="s">
        <v>610</v>
      </c>
      <c r="C441" s="29" t="s">
        <v>1487</v>
      </c>
      <c r="D441" s="27">
        <v>33.340000000000003</v>
      </c>
      <c r="E441" s="24"/>
      <c r="F441" s="24"/>
      <c r="G441" s="24" t="s">
        <v>1022</v>
      </c>
      <c r="H441" s="24"/>
      <c r="I441" s="24"/>
      <c r="J441" s="24"/>
      <c r="K441" s="24"/>
      <c r="L441" s="24"/>
      <c r="M441" s="5">
        <f t="shared" si="12"/>
        <v>33.340000000000003</v>
      </c>
      <c r="N441" s="5">
        <f t="shared" si="13"/>
        <v>0</v>
      </c>
      <c r="O441" s="25"/>
    </row>
    <row r="442" spans="1:15" hidden="1" x14ac:dyDescent="0.3">
      <c r="A442" s="24"/>
      <c r="B442" s="26" t="s">
        <v>610</v>
      </c>
      <c r="C442" s="29" t="s">
        <v>1488</v>
      </c>
      <c r="D442" s="27">
        <v>35.93</v>
      </c>
      <c r="E442" s="24"/>
      <c r="F442" s="24"/>
      <c r="G442" s="24" t="s">
        <v>1022</v>
      </c>
      <c r="H442" s="24"/>
      <c r="I442" s="24"/>
      <c r="J442" s="24"/>
      <c r="K442" s="24"/>
      <c r="L442" s="24"/>
      <c r="M442" s="5">
        <f t="shared" si="12"/>
        <v>35.93</v>
      </c>
      <c r="N442" s="5">
        <f t="shared" si="13"/>
        <v>0</v>
      </c>
      <c r="O442" s="25"/>
    </row>
    <row r="443" spans="1:15" hidden="1" x14ac:dyDescent="0.3">
      <c r="A443" s="24"/>
      <c r="B443" s="26" t="s">
        <v>610</v>
      </c>
      <c r="C443" s="29" t="s">
        <v>1489</v>
      </c>
      <c r="D443" s="27">
        <v>26.92</v>
      </c>
      <c r="E443" s="24"/>
      <c r="F443" s="24"/>
      <c r="G443" s="24" t="s">
        <v>1022</v>
      </c>
      <c r="H443" s="24"/>
      <c r="I443" s="24"/>
      <c r="J443" s="24"/>
      <c r="K443" s="24"/>
      <c r="L443" s="24"/>
      <c r="M443" s="5">
        <f t="shared" si="12"/>
        <v>26.92</v>
      </c>
      <c r="N443" s="5">
        <f t="shared" si="13"/>
        <v>0</v>
      </c>
      <c r="O443" s="25"/>
    </row>
    <row r="444" spans="1:15" hidden="1" x14ac:dyDescent="0.3">
      <c r="A444" s="24"/>
      <c r="B444" s="26" t="s">
        <v>610</v>
      </c>
      <c r="C444" s="29" t="s">
        <v>1490</v>
      </c>
      <c r="D444" s="27">
        <v>43.8</v>
      </c>
      <c r="E444" s="24"/>
      <c r="F444" s="24"/>
      <c r="G444" s="24" t="s">
        <v>1022</v>
      </c>
      <c r="H444" s="24"/>
      <c r="I444" s="24"/>
      <c r="J444" s="24"/>
      <c r="K444" s="24"/>
      <c r="L444" s="24"/>
      <c r="M444" s="5">
        <f t="shared" si="12"/>
        <v>43.8</v>
      </c>
      <c r="N444" s="5">
        <f t="shared" si="13"/>
        <v>0</v>
      </c>
      <c r="O444" s="25"/>
    </row>
    <row r="445" spans="1:15" hidden="1" x14ac:dyDescent="0.3">
      <c r="A445" s="24"/>
      <c r="B445" s="26" t="s">
        <v>610</v>
      </c>
      <c r="C445" s="29" t="s">
        <v>1491</v>
      </c>
      <c r="D445" s="27">
        <v>44.43</v>
      </c>
      <c r="E445" s="24"/>
      <c r="F445" s="24"/>
      <c r="G445" s="24" t="s">
        <v>1022</v>
      </c>
      <c r="H445" s="24"/>
      <c r="I445" s="24"/>
      <c r="J445" s="24"/>
      <c r="K445" s="24"/>
      <c r="L445" s="24"/>
      <c r="M445" s="5">
        <f t="shared" si="12"/>
        <v>44.43</v>
      </c>
      <c r="N445" s="5">
        <f t="shared" si="13"/>
        <v>0</v>
      </c>
      <c r="O445" s="25"/>
    </row>
    <row r="446" spans="1:15" hidden="1" x14ac:dyDescent="0.3">
      <c r="A446" s="24"/>
      <c r="B446" s="26" t="s">
        <v>610</v>
      </c>
      <c r="C446" s="29" t="s">
        <v>1492</v>
      </c>
      <c r="D446" s="27">
        <v>35.44</v>
      </c>
      <c r="E446" s="24"/>
      <c r="F446" s="24"/>
      <c r="G446" s="24" t="s">
        <v>1022</v>
      </c>
      <c r="H446" s="24"/>
      <c r="I446" s="24"/>
      <c r="J446" s="24"/>
      <c r="K446" s="24"/>
      <c r="L446" s="24"/>
      <c r="M446" s="5">
        <f t="shared" si="12"/>
        <v>35.44</v>
      </c>
      <c r="N446" s="5">
        <f t="shared" si="13"/>
        <v>0</v>
      </c>
      <c r="O446" s="25"/>
    </row>
    <row r="447" spans="1:15" hidden="1" x14ac:dyDescent="0.3">
      <c r="A447" s="24"/>
      <c r="B447" s="26" t="s">
        <v>610</v>
      </c>
      <c r="C447" s="29" t="s">
        <v>1493</v>
      </c>
      <c r="D447" s="27">
        <v>44.36</v>
      </c>
      <c r="E447" s="24"/>
      <c r="F447" s="24"/>
      <c r="G447" s="24" t="s">
        <v>1022</v>
      </c>
      <c r="H447" s="24"/>
      <c r="I447" s="24"/>
      <c r="J447" s="24"/>
      <c r="K447" s="24"/>
      <c r="L447" s="24"/>
      <c r="M447" s="5">
        <f t="shared" si="12"/>
        <v>44.36</v>
      </c>
      <c r="N447" s="5">
        <f t="shared" si="13"/>
        <v>0</v>
      </c>
      <c r="O447" s="25"/>
    </row>
    <row r="448" spans="1:15" hidden="1" x14ac:dyDescent="0.3">
      <c r="A448" s="24"/>
      <c r="B448" s="26" t="s">
        <v>610</v>
      </c>
      <c r="C448" s="29" t="s">
        <v>1494</v>
      </c>
      <c r="D448" s="27">
        <v>45.3</v>
      </c>
      <c r="E448" s="24"/>
      <c r="F448" s="24"/>
      <c r="G448" s="24" t="s">
        <v>1022</v>
      </c>
      <c r="H448" s="24"/>
      <c r="I448" s="24"/>
      <c r="J448" s="24"/>
      <c r="K448" s="24"/>
      <c r="L448" s="24"/>
      <c r="M448" s="5">
        <f t="shared" si="12"/>
        <v>45.3</v>
      </c>
      <c r="N448" s="5">
        <f t="shared" si="13"/>
        <v>0</v>
      </c>
      <c r="O448" s="25"/>
    </row>
    <row r="449" spans="1:15" hidden="1" x14ac:dyDescent="0.3">
      <c r="A449" s="24"/>
      <c r="B449" s="26" t="s">
        <v>610</v>
      </c>
      <c r="C449" s="29" t="s">
        <v>1495</v>
      </c>
      <c r="D449" s="27">
        <v>25.97</v>
      </c>
      <c r="E449" s="24"/>
      <c r="F449" s="24"/>
      <c r="G449" s="24" t="s">
        <v>1022</v>
      </c>
      <c r="H449" s="24"/>
      <c r="I449" s="24"/>
      <c r="J449" s="24"/>
      <c r="K449" s="24"/>
      <c r="L449" s="24"/>
      <c r="M449" s="5">
        <f t="shared" si="12"/>
        <v>25.97</v>
      </c>
      <c r="N449" s="5">
        <f t="shared" si="13"/>
        <v>0</v>
      </c>
      <c r="O449" s="25"/>
    </row>
    <row r="450" spans="1:15" hidden="1" x14ac:dyDescent="0.3">
      <c r="A450" s="24"/>
      <c r="B450" s="26" t="s">
        <v>610</v>
      </c>
      <c r="C450" s="29" t="s">
        <v>1496</v>
      </c>
      <c r="D450" s="27">
        <v>25.37</v>
      </c>
      <c r="E450" s="24"/>
      <c r="F450" s="24"/>
      <c r="G450" s="24" t="s">
        <v>1022</v>
      </c>
      <c r="H450" s="24"/>
      <c r="I450" s="24"/>
      <c r="J450" s="24"/>
      <c r="K450" s="24"/>
      <c r="L450" s="24"/>
      <c r="M450" s="5">
        <f t="shared" si="12"/>
        <v>25.37</v>
      </c>
      <c r="N450" s="5">
        <f t="shared" si="13"/>
        <v>0</v>
      </c>
      <c r="O450" s="25"/>
    </row>
    <row r="451" spans="1:15" hidden="1" x14ac:dyDescent="0.3">
      <c r="A451" s="24"/>
      <c r="B451" s="26" t="s">
        <v>610</v>
      </c>
      <c r="C451" s="29" t="s">
        <v>1497</v>
      </c>
      <c r="D451" s="27">
        <v>26.66</v>
      </c>
      <c r="E451" s="24"/>
      <c r="F451" s="24"/>
      <c r="G451" s="24" t="s">
        <v>1022</v>
      </c>
      <c r="H451" s="24"/>
      <c r="I451" s="24"/>
      <c r="J451" s="24"/>
      <c r="K451" s="24"/>
      <c r="L451" s="24"/>
      <c r="M451" s="5">
        <f t="shared" ref="M451:M514" si="14">IF(G451="已出租",D451,0)</f>
        <v>26.66</v>
      </c>
      <c r="N451" s="5">
        <f t="shared" ref="N451:N514" si="15">IF(G451="未出租",D451,0)</f>
        <v>0</v>
      </c>
      <c r="O451" s="25"/>
    </row>
    <row r="452" spans="1:15" hidden="1" x14ac:dyDescent="0.3">
      <c r="A452" s="24"/>
      <c r="B452" s="26" t="s">
        <v>610</v>
      </c>
      <c r="C452" s="29" t="s">
        <v>1498</v>
      </c>
      <c r="D452" s="27">
        <v>35.26</v>
      </c>
      <c r="E452" s="24"/>
      <c r="F452" s="24"/>
      <c r="G452" s="24" t="s">
        <v>1022</v>
      </c>
      <c r="H452" s="24"/>
      <c r="I452" s="24"/>
      <c r="J452" s="24"/>
      <c r="K452" s="24"/>
      <c r="L452" s="24"/>
      <c r="M452" s="5">
        <f t="shared" si="14"/>
        <v>35.26</v>
      </c>
      <c r="N452" s="5">
        <f t="shared" si="15"/>
        <v>0</v>
      </c>
      <c r="O452" s="25"/>
    </row>
    <row r="453" spans="1:15" hidden="1" x14ac:dyDescent="0.3">
      <c r="A453" s="24"/>
      <c r="B453" s="26" t="s">
        <v>610</v>
      </c>
      <c r="C453" s="29" t="s">
        <v>1499</v>
      </c>
      <c r="D453" s="27">
        <v>34.799999999999997</v>
      </c>
      <c r="E453" s="24"/>
      <c r="F453" s="24"/>
      <c r="G453" s="24" t="s">
        <v>1022</v>
      </c>
      <c r="H453" s="24"/>
      <c r="I453" s="24"/>
      <c r="J453" s="24"/>
      <c r="K453" s="24"/>
      <c r="L453" s="24"/>
      <c r="M453" s="5">
        <f t="shared" si="14"/>
        <v>34.799999999999997</v>
      </c>
      <c r="N453" s="5">
        <f t="shared" si="15"/>
        <v>0</v>
      </c>
      <c r="O453" s="25"/>
    </row>
    <row r="454" spans="1:15" hidden="1" x14ac:dyDescent="0.3">
      <c r="A454" s="24"/>
      <c r="B454" s="26" t="s">
        <v>610</v>
      </c>
      <c r="C454" s="29" t="s">
        <v>1500</v>
      </c>
      <c r="D454" s="27">
        <v>24.9</v>
      </c>
      <c r="E454" s="24"/>
      <c r="F454" s="24"/>
      <c r="G454" s="24" t="s">
        <v>1022</v>
      </c>
      <c r="H454" s="24"/>
      <c r="I454" s="24"/>
      <c r="J454" s="24"/>
      <c r="K454" s="24"/>
      <c r="L454" s="24"/>
      <c r="M454" s="5">
        <f t="shared" si="14"/>
        <v>24.9</v>
      </c>
      <c r="N454" s="5">
        <f t="shared" si="15"/>
        <v>0</v>
      </c>
      <c r="O454" s="25"/>
    </row>
    <row r="455" spans="1:15" hidden="1" x14ac:dyDescent="0.3">
      <c r="A455" s="24"/>
      <c r="B455" s="26" t="s">
        <v>610</v>
      </c>
      <c r="C455" s="29" t="s">
        <v>1501</v>
      </c>
      <c r="D455" s="27">
        <v>25.5</v>
      </c>
      <c r="E455" s="24"/>
      <c r="F455" s="24"/>
      <c r="G455" s="24" t="s">
        <v>1022</v>
      </c>
      <c r="H455" s="24"/>
      <c r="I455" s="24"/>
      <c r="J455" s="24"/>
      <c r="K455" s="24"/>
      <c r="L455" s="24"/>
      <c r="M455" s="5">
        <f t="shared" si="14"/>
        <v>25.5</v>
      </c>
      <c r="N455" s="5">
        <f t="shared" si="15"/>
        <v>0</v>
      </c>
      <c r="O455" s="25"/>
    </row>
    <row r="456" spans="1:15" hidden="1" x14ac:dyDescent="0.3">
      <c r="A456" s="24"/>
      <c r="B456" s="26" t="s">
        <v>610</v>
      </c>
      <c r="C456" s="29" t="s">
        <v>1502</v>
      </c>
      <c r="D456" s="27">
        <v>26</v>
      </c>
      <c r="E456" s="24"/>
      <c r="F456" s="24"/>
      <c r="G456" s="24" t="s">
        <v>1022</v>
      </c>
      <c r="H456" s="24"/>
      <c r="I456" s="24"/>
      <c r="J456" s="24"/>
      <c r="K456" s="24"/>
      <c r="L456" s="24"/>
      <c r="M456" s="5">
        <f t="shared" si="14"/>
        <v>26</v>
      </c>
      <c r="N456" s="5">
        <f t="shared" si="15"/>
        <v>0</v>
      </c>
      <c r="O456" s="25"/>
    </row>
    <row r="457" spans="1:15" hidden="1" x14ac:dyDescent="0.3">
      <c r="A457" s="24"/>
      <c r="B457" s="26" t="s">
        <v>610</v>
      </c>
      <c r="C457" s="29" t="s">
        <v>1503</v>
      </c>
      <c r="D457" s="27">
        <v>24.1</v>
      </c>
      <c r="E457" s="24"/>
      <c r="F457" s="24"/>
      <c r="G457" s="24" t="s">
        <v>1022</v>
      </c>
      <c r="H457" s="24"/>
      <c r="I457" s="24"/>
      <c r="J457" s="24"/>
      <c r="K457" s="24"/>
      <c r="L457" s="24"/>
      <c r="M457" s="5">
        <f t="shared" si="14"/>
        <v>24.1</v>
      </c>
      <c r="N457" s="5">
        <f t="shared" si="15"/>
        <v>0</v>
      </c>
      <c r="O457" s="25"/>
    </row>
    <row r="458" spans="1:15" hidden="1" x14ac:dyDescent="0.3">
      <c r="A458" s="24"/>
      <c r="B458" s="26" t="s">
        <v>610</v>
      </c>
      <c r="C458" s="29" t="s">
        <v>1504</v>
      </c>
      <c r="D458" s="27">
        <v>20.5</v>
      </c>
      <c r="E458" s="24"/>
      <c r="F458" s="24"/>
      <c r="G458" s="24" t="s">
        <v>1022</v>
      </c>
      <c r="H458" s="24"/>
      <c r="I458" s="24"/>
      <c r="J458" s="24"/>
      <c r="K458" s="24"/>
      <c r="L458" s="24"/>
      <c r="M458" s="5">
        <f t="shared" si="14"/>
        <v>20.5</v>
      </c>
      <c r="N458" s="5">
        <f t="shared" si="15"/>
        <v>0</v>
      </c>
      <c r="O458" s="25"/>
    </row>
    <row r="459" spans="1:15" hidden="1" x14ac:dyDescent="0.3">
      <c r="A459" s="24"/>
      <c r="B459" s="26" t="s">
        <v>610</v>
      </c>
      <c r="C459" s="29" t="s">
        <v>1505</v>
      </c>
      <c r="D459" s="27">
        <v>22.1</v>
      </c>
      <c r="E459" s="24"/>
      <c r="F459" s="24"/>
      <c r="G459" s="24" t="s">
        <v>1022</v>
      </c>
      <c r="H459" s="24"/>
      <c r="I459" s="24"/>
      <c r="J459" s="24"/>
      <c r="K459" s="24"/>
      <c r="L459" s="24"/>
      <c r="M459" s="5">
        <f t="shared" si="14"/>
        <v>22.1</v>
      </c>
      <c r="N459" s="5">
        <f t="shared" si="15"/>
        <v>0</v>
      </c>
      <c r="O459" s="25"/>
    </row>
    <row r="460" spans="1:15" hidden="1" x14ac:dyDescent="0.3">
      <c r="A460" s="24"/>
      <c r="B460" s="26" t="s">
        <v>610</v>
      </c>
      <c r="C460" s="29" t="s">
        <v>1506</v>
      </c>
      <c r="D460" s="27">
        <v>21.8</v>
      </c>
      <c r="E460" s="24"/>
      <c r="F460" s="24"/>
      <c r="G460" s="24" t="s">
        <v>1022</v>
      </c>
      <c r="H460" s="24"/>
      <c r="I460" s="24"/>
      <c r="J460" s="24"/>
      <c r="K460" s="24"/>
      <c r="L460" s="24"/>
      <c r="M460" s="5">
        <f t="shared" si="14"/>
        <v>21.8</v>
      </c>
      <c r="N460" s="5">
        <f t="shared" si="15"/>
        <v>0</v>
      </c>
      <c r="O460" s="25"/>
    </row>
    <row r="461" spans="1:15" hidden="1" x14ac:dyDescent="0.3">
      <c r="A461" s="24"/>
      <c r="B461" s="26" t="s">
        <v>610</v>
      </c>
      <c r="C461" s="29" t="s">
        <v>1507</v>
      </c>
      <c r="D461" s="27">
        <v>19.82</v>
      </c>
      <c r="E461" s="24"/>
      <c r="F461" s="24"/>
      <c r="G461" s="24" t="s">
        <v>1022</v>
      </c>
      <c r="H461" s="24"/>
      <c r="I461" s="24"/>
      <c r="J461" s="24"/>
      <c r="K461" s="24"/>
      <c r="L461" s="24"/>
      <c r="M461" s="5">
        <f t="shared" si="14"/>
        <v>19.82</v>
      </c>
      <c r="N461" s="5">
        <f t="shared" si="15"/>
        <v>0</v>
      </c>
      <c r="O461" s="25"/>
    </row>
    <row r="462" spans="1:15" hidden="1" x14ac:dyDescent="0.3">
      <c r="A462" s="24"/>
      <c r="B462" s="26" t="s">
        <v>610</v>
      </c>
      <c r="C462" s="29" t="s">
        <v>1508</v>
      </c>
      <c r="D462" s="27">
        <v>18.79</v>
      </c>
      <c r="E462" s="24"/>
      <c r="F462" s="24"/>
      <c r="G462" s="24" t="s">
        <v>1022</v>
      </c>
      <c r="H462" s="24"/>
      <c r="I462" s="24"/>
      <c r="J462" s="24"/>
      <c r="K462" s="24"/>
      <c r="L462" s="24"/>
      <c r="M462" s="5">
        <f t="shared" si="14"/>
        <v>18.79</v>
      </c>
      <c r="N462" s="5">
        <f t="shared" si="15"/>
        <v>0</v>
      </c>
      <c r="O462" s="25"/>
    </row>
    <row r="463" spans="1:15" hidden="1" x14ac:dyDescent="0.3">
      <c r="A463" s="24"/>
      <c r="B463" s="26" t="s">
        <v>610</v>
      </c>
      <c r="C463" s="29" t="s">
        <v>1509</v>
      </c>
      <c r="D463" s="27">
        <v>17.82</v>
      </c>
      <c r="E463" s="24"/>
      <c r="F463" s="24"/>
      <c r="G463" s="24" t="s">
        <v>1022</v>
      </c>
      <c r="H463" s="24"/>
      <c r="I463" s="24"/>
      <c r="J463" s="24"/>
      <c r="K463" s="24"/>
      <c r="L463" s="24"/>
      <c r="M463" s="5">
        <f t="shared" si="14"/>
        <v>17.82</v>
      </c>
      <c r="N463" s="5">
        <f t="shared" si="15"/>
        <v>0</v>
      </c>
      <c r="O463" s="25"/>
    </row>
    <row r="464" spans="1:15" hidden="1" x14ac:dyDescent="0.3">
      <c r="A464" s="24"/>
      <c r="B464" s="26" t="s">
        <v>610</v>
      </c>
      <c r="C464" s="29" t="s">
        <v>1510</v>
      </c>
      <c r="D464" s="27">
        <v>41.88</v>
      </c>
      <c r="E464" s="24"/>
      <c r="F464" s="24"/>
      <c r="G464" s="24" t="s">
        <v>1022</v>
      </c>
      <c r="H464" s="24"/>
      <c r="I464" s="24"/>
      <c r="J464" s="24"/>
      <c r="K464" s="24"/>
      <c r="L464" s="24"/>
      <c r="M464" s="5">
        <f t="shared" si="14"/>
        <v>41.88</v>
      </c>
      <c r="N464" s="5">
        <f t="shared" si="15"/>
        <v>0</v>
      </c>
      <c r="O464" s="25"/>
    </row>
    <row r="465" spans="1:16" hidden="1" x14ac:dyDescent="0.3">
      <c r="A465" s="24"/>
      <c r="B465" s="26" t="s">
        <v>610</v>
      </c>
      <c r="C465" s="29" t="s">
        <v>1511</v>
      </c>
      <c r="D465" s="27">
        <v>35.26</v>
      </c>
      <c r="E465" s="34"/>
      <c r="F465" s="34"/>
      <c r="G465" s="24" t="s">
        <v>1022</v>
      </c>
      <c r="H465" s="24"/>
      <c r="I465" s="24" t="s">
        <v>646</v>
      </c>
      <c r="J465" s="24"/>
      <c r="K465" s="24"/>
      <c r="L465" s="24"/>
      <c r="M465" s="5">
        <f t="shared" si="14"/>
        <v>35.26</v>
      </c>
      <c r="N465" s="5">
        <f t="shared" si="15"/>
        <v>0</v>
      </c>
      <c r="O465" s="25" t="s">
        <v>1397</v>
      </c>
      <c r="P465" t="s">
        <v>230</v>
      </c>
    </row>
    <row r="466" spans="1:16" hidden="1" x14ac:dyDescent="0.3">
      <c r="A466" s="24"/>
      <c r="B466" s="26" t="s">
        <v>610</v>
      </c>
      <c r="C466" s="29" t="s">
        <v>1512</v>
      </c>
      <c r="D466" s="27">
        <v>35.26</v>
      </c>
      <c r="E466" s="24"/>
      <c r="F466" s="24"/>
      <c r="G466" s="24" t="s">
        <v>1022</v>
      </c>
      <c r="H466" s="24"/>
      <c r="I466" s="24"/>
      <c r="J466" s="24"/>
      <c r="K466" s="24"/>
      <c r="L466" s="24"/>
      <c r="M466" s="5">
        <f t="shared" si="14"/>
        <v>35.26</v>
      </c>
      <c r="N466" s="5">
        <f t="shared" si="15"/>
        <v>0</v>
      </c>
      <c r="O466" s="25"/>
    </row>
    <row r="467" spans="1:16" hidden="1" x14ac:dyDescent="0.3">
      <c r="A467" s="24"/>
      <c r="B467" s="26" t="s">
        <v>610</v>
      </c>
      <c r="C467" s="29" t="s">
        <v>1513</v>
      </c>
      <c r="D467" s="27">
        <v>55.58</v>
      </c>
      <c r="E467" s="24"/>
      <c r="F467" s="24"/>
      <c r="G467" s="24" t="s">
        <v>1022</v>
      </c>
      <c r="H467" s="24"/>
      <c r="I467" s="24"/>
      <c r="J467" s="24"/>
      <c r="K467" s="24"/>
      <c r="L467" s="24"/>
      <c r="M467" s="5">
        <f t="shared" si="14"/>
        <v>55.58</v>
      </c>
      <c r="N467" s="5">
        <f t="shared" si="15"/>
        <v>0</v>
      </c>
      <c r="O467" s="25"/>
    </row>
    <row r="468" spans="1:16" hidden="1" x14ac:dyDescent="0.3">
      <c r="A468" s="24"/>
      <c r="B468" s="26" t="s">
        <v>610</v>
      </c>
      <c r="C468" s="29" t="s">
        <v>1514</v>
      </c>
      <c r="D468" s="27">
        <v>25.83</v>
      </c>
      <c r="E468" s="24"/>
      <c r="F468" s="24"/>
      <c r="G468" s="24" t="s">
        <v>1022</v>
      </c>
      <c r="H468" s="24"/>
      <c r="I468" s="24"/>
      <c r="J468" s="24"/>
      <c r="K468" s="24"/>
      <c r="L468" s="24"/>
      <c r="M468" s="5">
        <f t="shared" si="14"/>
        <v>25.83</v>
      </c>
      <c r="N468" s="5">
        <f t="shared" si="15"/>
        <v>0</v>
      </c>
      <c r="O468" s="25"/>
    </row>
    <row r="469" spans="1:16" hidden="1" x14ac:dyDescent="0.3">
      <c r="A469" s="24"/>
      <c r="B469" s="26" t="s">
        <v>610</v>
      </c>
      <c r="C469" s="29" t="s">
        <v>1515</v>
      </c>
      <c r="D469" s="27">
        <v>25.75</v>
      </c>
      <c r="E469" s="24"/>
      <c r="F469" s="24"/>
      <c r="G469" s="24" t="s">
        <v>1022</v>
      </c>
      <c r="H469" s="24"/>
      <c r="I469" s="24"/>
      <c r="J469" s="24"/>
      <c r="K469" s="24"/>
      <c r="L469" s="24"/>
      <c r="M469" s="5">
        <f t="shared" si="14"/>
        <v>25.75</v>
      </c>
      <c r="N469" s="5">
        <f t="shared" si="15"/>
        <v>0</v>
      </c>
      <c r="O469" s="25"/>
    </row>
    <row r="470" spans="1:16" hidden="1" x14ac:dyDescent="0.3">
      <c r="A470" s="24"/>
      <c r="B470" s="26" t="s">
        <v>610</v>
      </c>
      <c r="C470" s="29" t="s">
        <v>1516</v>
      </c>
      <c r="D470" s="27">
        <v>30.48</v>
      </c>
      <c r="E470" s="24"/>
      <c r="F470" s="24"/>
      <c r="G470" s="24" t="s">
        <v>1022</v>
      </c>
      <c r="H470" s="24"/>
      <c r="I470" s="24"/>
      <c r="J470" s="24"/>
      <c r="K470" s="24"/>
      <c r="L470" s="24"/>
      <c r="M470" s="5">
        <f t="shared" si="14"/>
        <v>30.48</v>
      </c>
      <c r="N470" s="5">
        <f t="shared" si="15"/>
        <v>0</v>
      </c>
      <c r="O470" s="25"/>
    </row>
    <row r="471" spans="1:16" hidden="1" x14ac:dyDescent="0.3">
      <c r="A471" s="24"/>
      <c r="B471" s="26" t="s">
        <v>610</v>
      </c>
      <c r="C471" s="29" t="s">
        <v>1517</v>
      </c>
      <c r="D471" s="27">
        <v>23.1</v>
      </c>
      <c r="E471" s="24"/>
      <c r="F471" s="24"/>
      <c r="G471" s="24" t="s">
        <v>1022</v>
      </c>
      <c r="H471" s="24"/>
      <c r="I471" s="24"/>
      <c r="J471" s="24"/>
      <c r="K471" s="24"/>
      <c r="L471" s="24"/>
      <c r="M471" s="5">
        <f t="shared" si="14"/>
        <v>23.1</v>
      </c>
      <c r="N471" s="5">
        <f t="shared" si="15"/>
        <v>0</v>
      </c>
      <c r="O471" s="25"/>
    </row>
    <row r="472" spans="1:16" hidden="1" x14ac:dyDescent="0.3">
      <c r="A472" s="24"/>
      <c r="B472" s="26" t="s">
        <v>610</v>
      </c>
      <c r="C472" s="29" t="s">
        <v>1518</v>
      </c>
      <c r="D472" s="27">
        <v>30.66</v>
      </c>
      <c r="E472" s="24"/>
      <c r="F472" s="24"/>
      <c r="G472" s="24" t="s">
        <v>1022</v>
      </c>
      <c r="H472" s="24"/>
      <c r="I472" s="24"/>
      <c r="J472" s="24"/>
      <c r="K472" s="24"/>
      <c r="L472" s="24"/>
      <c r="M472" s="5">
        <f t="shared" si="14"/>
        <v>30.66</v>
      </c>
      <c r="N472" s="5">
        <f t="shared" si="15"/>
        <v>0</v>
      </c>
      <c r="O472" s="25"/>
    </row>
    <row r="473" spans="1:16" hidden="1" x14ac:dyDescent="0.3">
      <c r="A473" s="24"/>
      <c r="B473" s="26" t="s">
        <v>610</v>
      </c>
      <c r="C473" s="29" t="s">
        <v>1519</v>
      </c>
      <c r="D473" s="27">
        <v>32.9</v>
      </c>
      <c r="E473" s="24"/>
      <c r="F473" s="24"/>
      <c r="G473" s="24" t="s">
        <v>1022</v>
      </c>
      <c r="H473" s="24"/>
      <c r="I473" s="24"/>
      <c r="J473" s="24"/>
      <c r="K473" s="24"/>
      <c r="L473" s="24"/>
      <c r="M473" s="5">
        <f t="shared" si="14"/>
        <v>32.9</v>
      </c>
      <c r="N473" s="5">
        <f t="shared" si="15"/>
        <v>0</v>
      </c>
      <c r="O473" s="25"/>
    </row>
    <row r="474" spans="1:16" hidden="1" x14ac:dyDescent="0.3">
      <c r="A474" s="24"/>
      <c r="B474" s="26" t="s">
        <v>610</v>
      </c>
      <c r="C474" s="29" t="s">
        <v>1520</v>
      </c>
      <c r="D474" s="27">
        <v>28.49</v>
      </c>
      <c r="E474" s="24"/>
      <c r="F474" s="24"/>
      <c r="G474" s="24" t="s">
        <v>1022</v>
      </c>
      <c r="H474" s="24"/>
      <c r="I474" s="24"/>
      <c r="J474" s="24"/>
      <c r="K474" s="24"/>
      <c r="L474" s="24"/>
      <c r="M474" s="5">
        <f t="shared" si="14"/>
        <v>28.49</v>
      </c>
      <c r="N474" s="5">
        <f t="shared" si="15"/>
        <v>0</v>
      </c>
      <c r="O474" s="25"/>
    </row>
    <row r="475" spans="1:16" hidden="1" x14ac:dyDescent="0.3">
      <c r="A475" s="24"/>
      <c r="B475" s="26" t="s">
        <v>610</v>
      </c>
      <c r="C475" s="29" t="s">
        <v>1521</v>
      </c>
      <c r="D475" s="27">
        <v>25.66</v>
      </c>
      <c r="E475" s="24"/>
      <c r="F475" s="24"/>
      <c r="G475" s="24" t="s">
        <v>1022</v>
      </c>
      <c r="H475" s="24"/>
      <c r="I475" s="24"/>
      <c r="J475" s="24"/>
      <c r="K475" s="24"/>
      <c r="L475" s="24"/>
      <c r="M475" s="5">
        <f t="shared" si="14"/>
        <v>25.66</v>
      </c>
      <c r="N475" s="5">
        <f t="shared" si="15"/>
        <v>0</v>
      </c>
      <c r="O475" s="25"/>
    </row>
    <row r="476" spans="1:16" x14ac:dyDescent="0.3">
      <c r="A476" s="24"/>
      <c r="B476" s="26" t="s">
        <v>610</v>
      </c>
      <c r="C476" s="29" t="s">
        <v>1522</v>
      </c>
      <c r="D476" s="27">
        <v>77.58</v>
      </c>
      <c r="E476" s="34"/>
      <c r="F476" s="34"/>
      <c r="G476" s="34" t="s">
        <v>74</v>
      </c>
      <c r="H476" s="24"/>
      <c r="I476" s="24"/>
      <c r="J476" s="24"/>
      <c r="K476" s="24"/>
      <c r="L476" s="24"/>
      <c r="M476" s="5">
        <f t="shared" si="14"/>
        <v>0</v>
      </c>
      <c r="N476" s="5">
        <f t="shared" si="15"/>
        <v>77.58</v>
      </c>
      <c r="O476" s="25"/>
    </row>
    <row r="477" spans="1:16" hidden="1" x14ac:dyDescent="0.3">
      <c r="A477" s="24"/>
      <c r="B477" s="26" t="s">
        <v>610</v>
      </c>
      <c r="C477" s="29" t="s">
        <v>1523</v>
      </c>
      <c r="D477" s="27">
        <v>60</v>
      </c>
      <c r="E477" s="24"/>
      <c r="F477" s="24"/>
      <c r="G477" s="24" t="s">
        <v>1022</v>
      </c>
      <c r="H477" s="24"/>
      <c r="I477" s="24"/>
      <c r="J477" s="24"/>
      <c r="K477" s="24"/>
      <c r="L477" s="24"/>
      <c r="M477" s="5">
        <f t="shared" si="14"/>
        <v>60</v>
      </c>
      <c r="N477" s="5">
        <f t="shared" si="15"/>
        <v>0</v>
      </c>
      <c r="O477" s="25"/>
    </row>
    <row r="478" spans="1:16" hidden="1" x14ac:dyDescent="0.3">
      <c r="A478" s="24"/>
      <c r="B478" s="26" t="s">
        <v>610</v>
      </c>
      <c r="C478" s="29" t="s">
        <v>1524</v>
      </c>
      <c r="D478" s="27">
        <v>30.36</v>
      </c>
      <c r="E478" s="24"/>
      <c r="F478" s="24"/>
      <c r="G478" s="24" t="s">
        <v>1022</v>
      </c>
      <c r="H478" s="24"/>
      <c r="I478" s="24"/>
      <c r="J478" s="24"/>
      <c r="K478" s="24"/>
      <c r="L478" s="24"/>
      <c r="M478" s="5">
        <f t="shared" si="14"/>
        <v>30.36</v>
      </c>
      <c r="N478" s="5">
        <f t="shared" si="15"/>
        <v>0</v>
      </c>
      <c r="O478" s="25"/>
    </row>
    <row r="479" spans="1:16" hidden="1" x14ac:dyDescent="0.3">
      <c r="A479" s="24"/>
      <c r="B479" s="26" t="s">
        <v>610</v>
      </c>
      <c r="C479" s="29" t="s">
        <v>1525</v>
      </c>
      <c r="D479" s="27">
        <v>22.68</v>
      </c>
      <c r="E479" s="24"/>
      <c r="F479" s="24"/>
      <c r="G479" s="24" t="s">
        <v>1022</v>
      </c>
      <c r="H479" s="24"/>
      <c r="I479" s="24"/>
      <c r="J479" s="24"/>
      <c r="K479" s="24"/>
      <c r="L479" s="24"/>
      <c r="M479" s="5">
        <f t="shared" si="14"/>
        <v>22.68</v>
      </c>
      <c r="N479" s="5">
        <f t="shared" si="15"/>
        <v>0</v>
      </c>
      <c r="O479" s="25"/>
    </row>
    <row r="480" spans="1:16" hidden="1" x14ac:dyDescent="0.3">
      <c r="A480" s="24"/>
      <c r="B480" s="26" t="s">
        <v>610</v>
      </c>
      <c r="C480" s="29" t="s">
        <v>1526</v>
      </c>
      <c r="D480" s="27">
        <v>25.11</v>
      </c>
      <c r="E480" s="24"/>
      <c r="F480" s="24"/>
      <c r="G480" s="24" t="s">
        <v>1022</v>
      </c>
      <c r="H480" s="24"/>
      <c r="I480" s="24"/>
      <c r="J480" s="24"/>
      <c r="K480" s="24"/>
      <c r="L480" s="24"/>
      <c r="M480" s="5">
        <f t="shared" si="14"/>
        <v>25.11</v>
      </c>
      <c r="N480" s="5">
        <f t="shared" si="15"/>
        <v>0</v>
      </c>
      <c r="O480" s="25"/>
    </row>
    <row r="481" spans="1:15" hidden="1" x14ac:dyDescent="0.3">
      <c r="A481" s="24"/>
      <c r="B481" s="26" t="s">
        <v>610</v>
      </c>
      <c r="C481" s="29" t="s">
        <v>1527</v>
      </c>
      <c r="D481" s="27">
        <v>49.07</v>
      </c>
      <c r="E481" s="24"/>
      <c r="F481" s="24"/>
      <c r="G481" s="24" t="s">
        <v>1022</v>
      </c>
      <c r="H481" s="24"/>
      <c r="I481" s="24"/>
      <c r="J481" s="24"/>
      <c r="K481" s="24"/>
      <c r="L481" s="24"/>
      <c r="M481" s="5">
        <f t="shared" si="14"/>
        <v>49.07</v>
      </c>
      <c r="N481" s="5">
        <f t="shared" si="15"/>
        <v>0</v>
      </c>
      <c r="O481" s="25"/>
    </row>
    <row r="482" spans="1:15" hidden="1" x14ac:dyDescent="0.3">
      <c r="A482" s="24"/>
      <c r="B482" s="26" t="s">
        <v>610</v>
      </c>
      <c r="C482" s="29" t="s">
        <v>1528</v>
      </c>
      <c r="D482" s="27">
        <v>28.36</v>
      </c>
      <c r="E482" s="24"/>
      <c r="F482" s="24"/>
      <c r="G482" s="24" t="s">
        <v>1022</v>
      </c>
      <c r="H482" s="24"/>
      <c r="I482" s="24"/>
      <c r="J482" s="24"/>
      <c r="K482" s="24"/>
      <c r="L482" s="24"/>
      <c r="M482" s="5">
        <f t="shared" si="14"/>
        <v>28.36</v>
      </c>
      <c r="N482" s="5">
        <f t="shared" si="15"/>
        <v>0</v>
      </c>
      <c r="O482" s="25"/>
    </row>
    <row r="483" spans="1:15" hidden="1" x14ac:dyDescent="0.3">
      <c r="A483" s="24"/>
      <c r="B483" s="26" t="s">
        <v>610</v>
      </c>
      <c r="C483" s="29" t="s">
        <v>1529</v>
      </c>
      <c r="D483" s="27">
        <v>30.5</v>
      </c>
      <c r="E483" s="24"/>
      <c r="F483" s="24"/>
      <c r="G483" s="24" t="s">
        <v>1022</v>
      </c>
      <c r="H483" s="24"/>
      <c r="I483" s="24"/>
      <c r="J483" s="24"/>
      <c r="K483" s="24"/>
      <c r="L483" s="24"/>
      <c r="M483" s="5">
        <f t="shared" si="14"/>
        <v>30.5</v>
      </c>
      <c r="N483" s="5">
        <f t="shared" si="15"/>
        <v>0</v>
      </c>
      <c r="O483" s="25"/>
    </row>
    <row r="484" spans="1:15" hidden="1" x14ac:dyDescent="0.3">
      <c r="A484" s="24"/>
      <c r="B484" s="26" t="s">
        <v>610</v>
      </c>
      <c r="C484" s="29" t="s">
        <v>1530</v>
      </c>
      <c r="D484" s="27">
        <v>69.42</v>
      </c>
      <c r="E484" s="24"/>
      <c r="F484" s="24"/>
      <c r="G484" s="24" t="s">
        <v>1022</v>
      </c>
      <c r="H484" s="24"/>
      <c r="I484" s="24"/>
      <c r="J484" s="24"/>
      <c r="K484" s="24"/>
      <c r="L484" s="24"/>
      <c r="M484" s="5">
        <f t="shared" si="14"/>
        <v>69.42</v>
      </c>
      <c r="N484" s="5">
        <f t="shared" si="15"/>
        <v>0</v>
      </c>
      <c r="O484" s="25"/>
    </row>
    <row r="485" spans="1:15" hidden="1" x14ac:dyDescent="0.3">
      <c r="A485" s="24"/>
      <c r="B485" s="26" t="s">
        <v>610</v>
      </c>
      <c r="C485" s="29" t="s">
        <v>1531</v>
      </c>
      <c r="D485" s="27">
        <v>70.13</v>
      </c>
      <c r="E485" s="24"/>
      <c r="F485" s="24"/>
      <c r="G485" s="24" t="s">
        <v>1022</v>
      </c>
      <c r="H485" s="24"/>
      <c r="I485" s="24"/>
      <c r="J485" s="24"/>
      <c r="K485" s="24"/>
      <c r="L485" s="24"/>
      <c r="M485" s="5">
        <f t="shared" si="14"/>
        <v>70.13</v>
      </c>
      <c r="N485" s="5">
        <f t="shared" si="15"/>
        <v>0</v>
      </c>
      <c r="O485" s="25"/>
    </row>
    <row r="486" spans="1:15" hidden="1" x14ac:dyDescent="0.3">
      <c r="A486" s="24"/>
      <c r="B486" s="26" t="s">
        <v>610</v>
      </c>
      <c r="C486" s="29" t="s">
        <v>1532</v>
      </c>
      <c r="D486" s="27">
        <v>72.98</v>
      </c>
      <c r="E486" s="24"/>
      <c r="F486" s="24"/>
      <c r="G486" s="24" t="s">
        <v>1022</v>
      </c>
      <c r="H486" s="24"/>
      <c r="I486" s="24"/>
      <c r="J486" s="24"/>
      <c r="K486" s="24"/>
      <c r="L486" s="24"/>
      <c r="M486" s="5">
        <f t="shared" si="14"/>
        <v>72.98</v>
      </c>
      <c r="N486" s="5">
        <f t="shared" si="15"/>
        <v>0</v>
      </c>
      <c r="O486" s="25"/>
    </row>
    <row r="487" spans="1:15" hidden="1" x14ac:dyDescent="0.3">
      <c r="A487" s="24"/>
      <c r="B487" s="26" t="s">
        <v>610</v>
      </c>
      <c r="C487" s="29" t="s">
        <v>1533</v>
      </c>
      <c r="D487" s="27">
        <v>33.119999999999997</v>
      </c>
      <c r="E487" s="24"/>
      <c r="F487" s="24"/>
      <c r="G487" s="24" t="s">
        <v>1022</v>
      </c>
      <c r="H487" s="24"/>
      <c r="I487" s="24"/>
      <c r="J487" s="24"/>
      <c r="K487" s="24"/>
      <c r="L487" s="24"/>
      <c r="M487" s="5">
        <f t="shared" si="14"/>
        <v>33.119999999999997</v>
      </c>
      <c r="N487" s="5">
        <f t="shared" si="15"/>
        <v>0</v>
      </c>
      <c r="O487" s="25"/>
    </row>
    <row r="488" spans="1:15" hidden="1" x14ac:dyDescent="0.3">
      <c r="A488" s="24"/>
      <c r="B488" s="26" t="s">
        <v>610</v>
      </c>
      <c r="C488" s="29" t="s">
        <v>1534</v>
      </c>
      <c r="D488" s="27">
        <v>24.42</v>
      </c>
      <c r="E488" s="24"/>
      <c r="F488" s="24"/>
      <c r="G488" s="24" t="s">
        <v>1022</v>
      </c>
      <c r="H488" s="24"/>
      <c r="I488" s="24"/>
      <c r="J488" s="24"/>
      <c r="K488" s="24"/>
      <c r="L488" s="24"/>
      <c r="M488" s="5">
        <f t="shared" si="14"/>
        <v>24.42</v>
      </c>
      <c r="N488" s="5">
        <f t="shared" si="15"/>
        <v>0</v>
      </c>
      <c r="O488" s="25"/>
    </row>
    <row r="489" spans="1:15" hidden="1" x14ac:dyDescent="0.3">
      <c r="A489" s="24"/>
      <c r="B489" s="26" t="s">
        <v>610</v>
      </c>
      <c r="C489" s="29" t="s">
        <v>1535</v>
      </c>
      <c r="D489" s="27">
        <v>25.28</v>
      </c>
      <c r="E489" s="24"/>
      <c r="F489" s="24"/>
      <c r="G489" s="24" t="s">
        <v>1022</v>
      </c>
      <c r="H489" s="24"/>
      <c r="I489" s="24"/>
      <c r="J489" s="24"/>
      <c r="K489" s="24"/>
      <c r="L489" s="24"/>
      <c r="M489" s="5">
        <f t="shared" si="14"/>
        <v>25.28</v>
      </c>
      <c r="N489" s="5">
        <f t="shared" si="15"/>
        <v>0</v>
      </c>
      <c r="O489" s="25"/>
    </row>
    <row r="490" spans="1:15" hidden="1" x14ac:dyDescent="0.3">
      <c r="A490" s="24"/>
      <c r="B490" s="26" t="s">
        <v>610</v>
      </c>
      <c r="C490" s="29" t="s">
        <v>1536</v>
      </c>
      <c r="D490" s="27">
        <v>18.52</v>
      </c>
      <c r="E490" s="24"/>
      <c r="F490" s="24"/>
      <c r="G490" s="24" t="s">
        <v>1022</v>
      </c>
      <c r="H490" s="24"/>
      <c r="I490" s="24"/>
      <c r="J490" s="24"/>
      <c r="K490" s="24"/>
      <c r="L490" s="24"/>
      <c r="M490" s="5">
        <f t="shared" si="14"/>
        <v>18.52</v>
      </c>
      <c r="N490" s="5">
        <f t="shared" si="15"/>
        <v>0</v>
      </c>
      <c r="O490" s="25"/>
    </row>
    <row r="491" spans="1:15" hidden="1" x14ac:dyDescent="0.3">
      <c r="A491" s="24"/>
      <c r="B491" s="26" t="s">
        <v>610</v>
      </c>
      <c r="C491" s="29" t="s">
        <v>1537</v>
      </c>
      <c r="D491" s="27">
        <v>18.52</v>
      </c>
      <c r="E491" s="24"/>
      <c r="F491" s="24"/>
      <c r="G491" s="24" t="s">
        <v>1022</v>
      </c>
      <c r="H491" s="24"/>
      <c r="I491" s="24"/>
      <c r="J491" s="24"/>
      <c r="K491" s="24"/>
      <c r="L491" s="24"/>
      <c r="M491" s="5">
        <f t="shared" si="14"/>
        <v>18.52</v>
      </c>
      <c r="N491" s="5">
        <f t="shared" si="15"/>
        <v>0</v>
      </c>
      <c r="O491" s="25"/>
    </row>
    <row r="492" spans="1:15" hidden="1" x14ac:dyDescent="0.3">
      <c r="A492" s="24"/>
      <c r="B492" s="26" t="s">
        <v>610</v>
      </c>
      <c r="C492" s="29" t="s">
        <v>1538</v>
      </c>
      <c r="D492" s="27">
        <v>17.440000000000001</v>
      </c>
      <c r="E492" s="24"/>
      <c r="F492" s="24"/>
      <c r="G492" s="24" t="s">
        <v>1022</v>
      </c>
      <c r="H492" s="24"/>
      <c r="I492" s="24"/>
      <c r="J492" s="24"/>
      <c r="K492" s="24"/>
      <c r="L492" s="24"/>
      <c r="M492" s="5">
        <f t="shared" si="14"/>
        <v>17.440000000000001</v>
      </c>
      <c r="N492" s="5">
        <f t="shared" si="15"/>
        <v>0</v>
      </c>
      <c r="O492" s="25"/>
    </row>
    <row r="493" spans="1:15" hidden="1" x14ac:dyDescent="0.3">
      <c r="A493" s="24"/>
      <c r="B493" s="26" t="s">
        <v>610</v>
      </c>
      <c r="C493" s="29" t="s">
        <v>1539</v>
      </c>
      <c r="D493" s="27">
        <v>17.32</v>
      </c>
      <c r="E493" s="24"/>
      <c r="F493" s="24"/>
      <c r="G493" s="24" t="s">
        <v>1022</v>
      </c>
      <c r="H493" s="24"/>
      <c r="I493" s="24"/>
      <c r="J493" s="24"/>
      <c r="K493" s="24"/>
      <c r="L493" s="24"/>
      <c r="M493" s="5">
        <f t="shared" si="14"/>
        <v>17.32</v>
      </c>
      <c r="N493" s="5">
        <f t="shared" si="15"/>
        <v>0</v>
      </c>
      <c r="O493" s="25"/>
    </row>
    <row r="494" spans="1:15" hidden="1" x14ac:dyDescent="0.3">
      <c r="A494" s="24"/>
      <c r="B494" s="26" t="s">
        <v>610</v>
      </c>
      <c r="C494" s="29" t="s">
        <v>1540</v>
      </c>
      <c r="D494" s="27">
        <v>17.440000000000001</v>
      </c>
      <c r="E494" s="24"/>
      <c r="F494" s="24"/>
      <c r="G494" s="24" t="s">
        <v>1022</v>
      </c>
      <c r="H494" s="24"/>
      <c r="I494" s="24"/>
      <c r="J494" s="24"/>
      <c r="K494" s="24"/>
      <c r="L494" s="24"/>
      <c r="M494" s="5">
        <f t="shared" si="14"/>
        <v>17.440000000000001</v>
      </c>
      <c r="N494" s="5">
        <f t="shared" si="15"/>
        <v>0</v>
      </c>
      <c r="O494" s="25"/>
    </row>
    <row r="495" spans="1:15" hidden="1" x14ac:dyDescent="0.3">
      <c r="A495" s="24"/>
      <c r="B495" s="26" t="s">
        <v>610</v>
      </c>
      <c r="C495" s="29" t="s">
        <v>1541</v>
      </c>
      <c r="D495" s="27">
        <v>20.11</v>
      </c>
      <c r="E495" s="24"/>
      <c r="F495" s="24"/>
      <c r="G495" s="24" t="s">
        <v>1022</v>
      </c>
      <c r="H495" s="24"/>
      <c r="I495" s="24"/>
      <c r="J495" s="24"/>
      <c r="K495" s="24"/>
      <c r="L495" s="24"/>
      <c r="M495" s="5">
        <f t="shared" si="14"/>
        <v>20.11</v>
      </c>
      <c r="N495" s="5">
        <f t="shared" si="15"/>
        <v>0</v>
      </c>
      <c r="O495" s="25"/>
    </row>
    <row r="496" spans="1:15" hidden="1" x14ac:dyDescent="0.3">
      <c r="A496" s="24"/>
      <c r="B496" s="26" t="s">
        <v>610</v>
      </c>
      <c r="C496" s="29" t="s">
        <v>1542</v>
      </c>
      <c r="D496" s="27">
        <v>20.53</v>
      </c>
      <c r="E496" s="24"/>
      <c r="F496" s="24"/>
      <c r="G496" s="24" t="s">
        <v>1022</v>
      </c>
      <c r="H496" s="24"/>
      <c r="I496" s="24"/>
      <c r="J496" s="24"/>
      <c r="K496" s="24"/>
      <c r="L496" s="24"/>
      <c r="M496" s="5">
        <f t="shared" si="14"/>
        <v>20.53</v>
      </c>
      <c r="N496" s="5">
        <f t="shared" si="15"/>
        <v>0</v>
      </c>
      <c r="O496" s="25"/>
    </row>
    <row r="497" spans="1:15" hidden="1" x14ac:dyDescent="0.3">
      <c r="A497" s="24"/>
      <c r="B497" s="26" t="s">
        <v>610</v>
      </c>
      <c r="C497" s="29" t="s">
        <v>1543</v>
      </c>
      <c r="D497" s="27">
        <v>20.88</v>
      </c>
      <c r="E497" s="24"/>
      <c r="F497" s="24"/>
      <c r="G497" s="24" t="s">
        <v>1022</v>
      </c>
      <c r="H497" s="24"/>
      <c r="I497" s="24"/>
      <c r="J497" s="24"/>
      <c r="K497" s="24"/>
      <c r="L497" s="24"/>
      <c r="M497" s="5">
        <f t="shared" si="14"/>
        <v>20.88</v>
      </c>
      <c r="N497" s="5">
        <f t="shared" si="15"/>
        <v>0</v>
      </c>
      <c r="O497" s="25"/>
    </row>
    <row r="498" spans="1:15" hidden="1" x14ac:dyDescent="0.3">
      <c r="A498" s="24"/>
      <c r="B498" s="26" t="s">
        <v>610</v>
      </c>
      <c r="C498" s="29" t="s">
        <v>1544</v>
      </c>
      <c r="D498" s="27">
        <v>15.95</v>
      </c>
      <c r="E498" s="24"/>
      <c r="F498" s="24"/>
      <c r="G498" s="24" t="s">
        <v>1022</v>
      </c>
      <c r="H498" s="24"/>
      <c r="I498" s="24"/>
      <c r="J498" s="24"/>
      <c r="K498" s="24"/>
      <c r="L498" s="24"/>
      <c r="M498" s="5">
        <f t="shared" si="14"/>
        <v>15.95</v>
      </c>
      <c r="N498" s="5">
        <f t="shared" si="15"/>
        <v>0</v>
      </c>
      <c r="O498" s="25"/>
    </row>
    <row r="499" spans="1:15" hidden="1" x14ac:dyDescent="0.3">
      <c r="A499" s="24"/>
      <c r="B499" s="26" t="s">
        <v>610</v>
      </c>
      <c r="C499" s="29" t="s">
        <v>1545</v>
      </c>
      <c r="D499" s="27">
        <v>16.53</v>
      </c>
      <c r="E499" s="24"/>
      <c r="F499" s="24"/>
      <c r="G499" s="24" t="s">
        <v>1022</v>
      </c>
      <c r="H499" s="24"/>
      <c r="I499" s="24"/>
      <c r="J499" s="24"/>
      <c r="K499" s="24"/>
      <c r="L499" s="24"/>
      <c r="M499" s="5">
        <f t="shared" si="14"/>
        <v>16.53</v>
      </c>
      <c r="N499" s="5">
        <f t="shared" si="15"/>
        <v>0</v>
      </c>
      <c r="O499" s="25"/>
    </row>
    <row r="500" spans="1:15" hidden="1" x14ac:dyDescent="0.3">
      <c r="A500" s="24"/>
      <c r="B500" s="26" t="s">
        <v>610</v>
      </c>
      <c r="C500" s="29" t="s">
        <v>1546</v>
      </c>
      <c r="D500" s="27">
        <v>18.39</v>
      </c>
      <c r="E500" s="24"/>
      <c r="F500" s="24"/>
      <c r="G500" s="24" t="s">
        <v>1022</v>
      </c>
      <c r="H500" s="24"/>
      <c r="I500" s="24"/>
      <c r="J500" s="24"/>
      <c r="K500" s="24"/>
      <c r="L500" s="24"/>
      <c r="M500" s="5">
        <f t="shared" si="14"/>
        <v>18.39</v>
      </c>
      <c r="N500" s="5">
        <f t="shared" si="15"/>
        <v>0</v>
      </c>
      <c r="O500" s="25"/>
    </row>
    <row r="501" spans="1:15" hidden="1" x14ac:dyDescent="0.3">
      <c r="A501" s="24"/>
      <c r="B501" s="26" t="s">
        <v>610</v>
      </c>
      <c r="C501" s="29" t="s">
        <v>1547</v>
      </c>
      <c r="D501" s="27">
        <v>19.43</v>
      </c>
      <c r="E501" s="24"/>
      <c r="F501" s="24"/>
      <c r="G501" s="24" t="s">
        <v>1022</v>
      </c>
      <c r="H501" s="24"/>
      <c r="I501" s="24"/>
      <c r="J501" s="24"/>
      <c r="K501" s="24"/>
      <c r="L501" s="24"/>
      <c r="M501" s="5">
        <f t="shared" si="14"/>
        <v>19.43</v>
      </c>
      <c r="N501" s="5">
        <f t="shared" si="15"/>
        <v>0</v>
      </c>
      <c r="O501" s="25"/>
    </row>
    <row r="502" spans="1:15" hidden="1" x14ac:dyDescent="0.3">
      <c r="A502" s="24"/>
      <c r="B502" s="26" t="s">
        <v>610</v>
      </c>
      <c r="C502" s="29" t="s">
        <v>1548</v>
      </c>
      <c r="D502" s="27">
        <v>24.68</v>
      </c>
      <c r="E502" s="24"/>
      <c r="F502" s="24"/>
      <c r="G502" s="24" t="s">
        <v>1022</v>
      </c>
      <c r="H502" s="24"/>
      <c r="I502" s="24"/>
      <c r="J502" s="24"/>
      <c r="K502" s="24"/>
      <c r="L502" s="24"/>
      <c r="M502" s="5">
        <f t="shared" si="14"/>
        <v>24.68</v>
      </c>
      <c r="N502" s="5">
        <f t="shared" si="15"/>
        <v>0</v>
      </c>
      <c r="O502" s="25"/>
    </row>
    <row r="503" spans="1:15" hidden="1" x14ac:dyDescent="0.3">
      <c r="A503" s="24"/>
      <c r="B503" s="26" t="s">
        <v>610</v>
      </c>
      <c r="C503" s="29" t="s">
        <v>1549</v>
      </c>
      <c r="D503" s="27">
        <v>28.04</v>
      </c>
      <c r="E503" s="24"/>
      <c r="F503" s="24"/>
      <c r="G503" s="24" t="s">
        <v>1022</v>
      </c>
      <c r="H503" s="24"/>
      <c r="I503" s="24"/>
      <c r="J503" s="24"/>
      <c r="K503" s="24"/>
      <c r="L503" s="24"/>
      <c r="M503" s="5">
        <f t="shared" si="14"/>
        <v>28.04</v>
      </c>
      <c r="N503" s="5">
        <f t="shared" si="15"/>
        <v>0</v>
      </c>
      <c r="O503" s="25"/>
    </row>
    <row r="504" spans="1:15" hidden="1" x14ac:dyDescent="0.3">
      <c r="A504" s="24"/>
      <c r="B504" s="26" t="s">
        <v>610</v>
      </c>
      <c r="C504" s="29" t="s">
        <v>1550</v>
      </c>
      <c r="D504" s="27">
        <v>27.24</v>
      </c>
      <c r="E504" s="24"/>
      <c r="F504" s="24"/>
      <c r="G504" s="24" t="s">
        <v>1022</v>
      </c>
      <c r="H504" s="24"/>
      <c r="I504" s="24"/>
      <c r="J504" s="24"/>
      <c r="K504" s="24"/>
      <c r="L504" s="24"/>
      <c r="M504" s="5">
        <f t="shared" si="14"/>
        <v>27.24</v>
      </c>
      <c r="N504" s="5">
        <f t="shared" si="15"/>
        <v>0</v>
      </c>
      <c r="O504" s="25"/>
    </row>
    <row r="505" spans="1:15" hidden="1" x14ac:dyDescent="0.3">
      <c r="A505" s="24"/>
      <c r="B505" s="26" t="s">
        <v>610</v>
      </c>
      <c r="C505" s="29" t="s">
        <v>1551</v>
      </c>
      <c r="D505" s="27">
        <v>32.25</v>
      </c>
      <c r="E505" s="24"/>
      <c r="F505" s="24"/>
      <c r="G505" s="24" t="s">
        <v>1022</v>
      </c>
      <c r="H505" s="24"/>
      <c r="I505" s="24"/>
      <c r="J505" s="24"/>
      <c r="K505" s="24"/>
      <c r="L505" s="24"/>
      <c r="M505" s="5">
        <f t="shared" si="14"/>
        <v>32.25</v>
      </c>
      <c r="N505" s="5">
        <f t="shared" si="15"/>
        <v>0</v>
      </c>
      <c r="O505" s="25"/>
    </row>
    <row r="506" spans="1:15" hidden="1" x14ac:dyDescent="0.3">
      <c r="A506" s="24"/>
      <c r="B506" s="26" t="s">
        <v>610</v>
      </c>
      <c r="C506" s="29" t="s">
        <v>1552</v>
      </c>
      <c r="D506" s="27">
        <v>33.64</v>
      </c>
      <c r="E506" s="24"/>
      <c r="F506" s="24"/>
      <c r="G506" s="24" t="s">
        <v>1022</v>
      </c>
      <c r="H506" s="24"/>
      <c r="I506" s="24"/>
      <c r="J506" s="24"/>
      <c r="K506" s="24"/>
      <c r="L506" s="24"/>
      <c r="M506" s="5">
        <f t="shared" si="14"/>
        <v>33.64</v>
      </c>
      <c r="N506" s="5">
        <f t="shared" si="15"/>
        <v>0</v>
      </c>
      <c r="O506" s="25"/>
    </row>
    <row r="507" spans="1:15" hidden="1" x14ac:dyDescent="0.3">
      <c r="A507" s="24"/>
      <c r="B507" s="26" t="s">
        <v>610</v>
      </c>
      <c r="C507" s="29" t="s">
        <v>1553</v>
      </c>
      <c r="D507" s="27">
        <v>61.74</v>
      </c>
      <c r="E507" s="24"/>
      <c r="F507" s="24"/>
      <c r="G507" s="24" t="s">
        <v>1022</v>
      </c>
      <c r="H507" s="24"/>
      <c r="I507" s="24"/>
      <c r="J507" s="24"/>
      <c r="K507" s="24"/>
      <c r="L507" s="24"/>
      <c r="M507" s="5">
        <f t="shared" si="14"/>
        <v>61.74</v>
      </c>
      <c r="N507" s="5">
        <f t="shared" si="15"/>
        <v>0</v>
      </c>
      <c r="O507" s="25"/>
    </row>
    <row r="508" spans="1:15" hidden="1" x14ac:dyDescent="0.3">
      <c r="A508" s="24"/>
      <c r="B508" s="26" t="s">
        <v>610</v>
      </c>
      <c r="C508" s="29" t="s">
        <v>1554</v>
      </c>
      <c r="D508" s="27">
        <v>33.78</v>
      </c>
      <c r="E508" s="24"/>
      <c r="F508" s="24"/>
      <c r="G508" s="24" t="s">
        <v>1022</v>
      </c>
      <c r="H508" s="24"/>
      <c r="I508" s="24"/>
      <c r="J508" s="24"/>
      <c r="K508" s="24"/>
      <c r="L508" s="24"/>
      <c r="M508" s="5">
        <f t="shared" si="14"/>
        <v>33.78</v>
      </c>
      <c r="N508" s="5">
        <f t="shared" si="15"/>
        <v>0</v>
      </c>
      <c r="O508" s="25"/>
    </row>
    <row r="509" spans="1:15" hidden="1" x14ac:dyDescent="0.3">
      <c r="A509" s="24"/>
      <c r="B509" s="26" t="s">
        <v>610</v>
      </c>
      <c r="C509" s="29" t="s">
        <v>1555</v>
      </c>
      <c r="D509" s="27">
        <v>33.28</v>
      </c>
      <c r="E509" s="24"/>
      <c r="F509" s="24"/>
      <c r="G509" s="24" t="s">
        <v>1022</v>
      </c>
      <c r="H509" s="24"/>
      <c r="I509" s="24"/>
      <c r="J509" s="24"/>
      <c r="K509" s="24"/>
      <c r="L509" s="24"/>
      <c r="M509" s="5">
        <f t="shared" si="14"/>
        <v>33.28</v>
      </c>
      <c r="N509" s="5">
        <f t="shared" si="15"/>
        <v>0</v>
      </c>
      <c r="O509" s="25"/>
    </row>
    <row r="510" spans="1:15" hidden="1" x14ac:dyDescent="0.3">
      <c r="A510" s="24"/>
      <c r="B510" s="26" t="s">
        <v>610</v>
      </c>
      <c r="C510" s="29" t="s">
        <v>1556</v>
      </c>
      <c r="D510" s="132">
        <v>66.02</v>
      </c>
      <c r="E510" s="24"/>
      <c r="F510" s="24"/>
      <c r="G510" s="24" t="s">
        <v>1022</v>
      </c>
      <c r="H510" s="24"/>
      <c r="I510" s="24"/>
      <c r="J510" s="24"/>
      <c r="K510" s="24"/>
      <c r="L510" s="24"/>
      <c r="M510" s="5">
        <f t="shared" si="14"/>
        <v>66.02</v>
      </c>
      <c r="N510" s="5">
        <f t="shared" si="15"/>
        <v>0</v>
      </c>
      <c r="O510" s="25"/>
    </row>
    <row r="511" spans="1:15" hidden="1" x14ac:dyDescent="0.3">
      <c r="A511" s="24"/>
      <c r="B511" s="26" t="s">
        <v>610</v>
      </c>
      <c r="C511" s="29" t="s">
        <v>1557</v>
      </c>
      <c r="D511" s="132"/>
      <c r="E511" s="24"/>
      <c r="F511" s="24"/>
      <c r="G511" s="24" t="s">
        <v>1022</v>
      </c>
      <c r="H511" s="24"/>
      <c r="I511" s="24"/>
      <c r="J511" s="24"/>
      <c r="K511" s="24"/>
      <c r="L511" s="24"/>
      <c r="M511" s="5">
        <f t="shared" si="14"/>
        <v>0</v>
      </c>
      <c r="N511" s="5">
        <f t="shared" si="15"/>
        <v>0</v>
      </c>
      <c r="O511" s="25"/>
    </row>
    <row r="512" spans="1:15" hidden="1" x14ac:dyDescent="0.3">
      <c r="A512" s="24"/>
      <c r="B512" s="26" t="s">
        <v>610</v>
      </c>
      <c r="C512" s="29" t="s">
        <v>1558</v>
      </c>
      <c r="D512" s="27">
        <v>34.270000000000003</v>
      </c>
      <c r="E512" s="24"/>
      <c r="F512" s="24"/>
      <c r="G512" s="24" t="s">
        <v>1022</v>
      </c>
      <c r="H512" s="24"/>
      <c r="I512" s="24"/>
      <c r="J512" s="24"/>
      <c r="K512" s="24"/>
      <c r="L512" s="24"/>
      <c r="M512" s="5">
        <f t="shared" si="14"/>
        <v>34.270000000000003</v>
      </c>
      <c r="N512" s="5">
        <f t="shared" si="15"/>
        <v>0</v>
      </c>
      <c r="O512" s="25"/>
    </row>
    <row r="513" spans="1:16" hidden="1" x14ac:dyDescent="0.3">
      <c r="A513" s="24"/>
      <c r="B513" s="26" t="s">
        <v>610</v>
      </c>
      <c r="C513" s="29" t="s">
        <v>1559</v>
      </c>
      <c r="D513" s="27">
        <v>36.200000000000003</v>
      </c>
      <c r="E513" s="24"/>
      <c r="F513" s="24"/>
      <c r="G513" s="24" t="s">
        <v>1022</v>
      </c>
      <c r="H513" s="24"/>
      <c r="I513" s="24"/>
      <c r="J513" s="24"/>
      <c r="K513" s="24"/>
      <c r="L513" s="24"/>
      <c r="M513" s="5">
        <f t="shared" si="14"/>
        <v>36.200000000000003</v>
      </c>
      <c r="N513" s="5">
        <f t="shared" si="15"/>
        <v>0</v>
      </c>
      <c r="O513" s="25"/>
    </row>
    <row r="514" spans="1:16" hidden="1" x14ac:dyDescent="0.3">
      <c r="A514" s="24"/>
      <c r="B514" s="26" t="s">
        <v>610</v>
      </c>
      <c r="C514" s="29" t="s">
        <v>1560</v>
      </c>
      <c r="D514" s="27">
        <v>23.1</v>
      </c>
      <c r="E514" s="24"/>
      <c r="F514" s="24"/>
      <c r="G514" s="24" t="s">
        <v>1022</v>
      </c>
      <c r="H514" s="24"/>
      <c r="I514" s="24"/>
      <c r="J514" s="24"/>
      <c r="K514" s="24"/>
      <c r="L514" s="24"/>
      <c r="M514" s="5">
        <f t="shared" si="14"/>
        <v>23.1</v>
      </c>
      <c r="N514" s="5">
        <f t="shared" si="15"/>
        <v>0</v>
      </c>
      <c r="O514" s="25"/>
    </row>
    <row r="515" spans="1:16" hidden="1" x14ac:dyDescent="0.3">
      <c r="A515" s="24"/>
      <c r="B515" s="26" t="s">
        <v>610</v>
      </c>
      <c r="C515" s="29" t="s">
        <v>1561</v>
      </c>
      <c r="D515" s="27">
        <v>37.5</v>
      </c>
      <c r="E515" s="24"/>
      <c r="F515" s="24"/>
      <c r="G515" s="24" t="s">
        <v>1022</v>
      </c>
      <c r="H515" s="24"/>
      <c r="I515" s="24"/>
      <c r="J515" s="24"/>
      <c r="K515" s="24"/>
      <c r="L515" s="24"/>
      <c r="M515" s="5">
        <f t="shared" ref="M515:M578" si="16">IF(G515="已出租",D515,0)</f>
        <v>37.5</v>
      </c>
      <c r="N515" s="5">
        <f t="shared" ref="N515:N578" si="17">IF(G515="未出租",D515,0)</f>
        <v>0</v>
      </c>
      <c r="O515" s="25"/>
    </row>
    <row r="516" spans="1:16" x14ac:dyDescent="0.3">
      <c r="A516" s="24"/>
      <c r="B516" s="26" t="s">
        <v>610</v>
      </c>
      <c r="C516" s="29" t="s">
        <v>1562</v>
      </c>
      <c r="D516" s="27">
        <v>37.5</v>
      </c>
      <c r="E516" s="34"/>
      <c r="F516" s="34"/>
      <c r="G516" s="34" t="s">
        <v>74</v>
      </c>
      <c r="H516" s="24"/>
      <c r="I516" s="24"/>
      <c r="J516" s="24"/>
      <c r="K516" s="24"/>
      <c r="L516" s="24"/>
      <c r="M516" s="5">
        <f t="shared" si="16"/>
        <v>0</v>
      </c>
      <c r="N516" s="5">
        <f t="shared" si="17"/>
        <v>37.5</v>
      </c>
      <c r="O516" s="25"/>
    </row>
    <row r="517" spans="1:16" x14ac:dyDescent="0.3">
      <c r="A517" s="24"/>
      <c r="B517" s="26" t="s">
        <v>610</v>
      </c>
      <c r="C517" s="29" t="s">
        <v>1563</v>
      </c>
      <c r="D517" s="27">
        <v>37.5</v>
      </c>
      <c r="E517" s="34"/>
      <c r="F517" s="34"/>
      <c r="G517" s="34" t="s">
        <v>74</v>
      </c>
      <c r="H517" s="24"/>
      <c r="I517" s="24"/>
      <c r="J517" s="24"/>
      <c r="K517" s="24"/>
      <c r="L517" s="24"/>
      <c r="M517" s="5">
        <f t="shared" si="16"/>
        <v>0</v>
      </c>
      <c r="N517" s="5">
        <f t="shared" si="17"/>
        <v>37.5</v>
      </c>
      <c r="O517" s="25"/>
    </row>
    <row r="518" spans="1:16" hidden="1" x14ac:dyDescent="0.3">
      <c r="A518" s="24"/>
      <c r="B518" s="26" t="s">
        <v>610</v>
      </c>
      <c r="C518" s="29" t="s">
        <v>1564</v>
      </c>
      <c r="D518" s="27">
        <v>37.799999999999997</v>
      </c>
      <c r="E518" s="34"/>
      <c r="F518" s="34"/>
      <c r="G518" s="24" t="s">
        <v>1022</v>
      </c>
      <c r="H518" s="24"/>
      <c r="I518" s="24" t="s">
        <v>1565</v>
      </c>
      <c r="J518" s="24"/>
      <c r="K518" s="24"/>
      <c r="L518" s="24"/>
      <c r="M518" s="5">
        <f t="shared" si="16"/>
        <v>37.799999999999997</v>
      </c>
      <c r="N518" s="5">
        <f t="shared" si="17"/>
        <v>0</v>
      </c>
      <c r="O518" s="129" t="s">
        <v>1397</v>
      </c>
      <c r="P518" t="s">
        <v>552</v>
      </c>
    </row>
    <row r="519" spans="1:16" hidden="1" x14ac:dyDescent="0.3">
      <c r="A519" s="24"/>
      <c r="B519" s="26" t="s">
        <v>610</v>
      </c>
      <c r="C519" s="29" t="s">
        <v>1566</v>
      </c>
      <c r="D519" s="27">
        <v>35.9</v>
      </c>
      <c r="E519" s="34"/>
      <c r="F519" s="34"/>
      <c r="G519" s="24" t="s">
        <v>1022</v>
      </c>
      <c r="H519" s="24"/>
      <c r="I519" s="24"/>
      <c r="J519" s="24"/>
      <c r="K519" s="24"/>
      <c r="L519" s="24"/>
      <c r="M519" s="5">
        <f t="shared" si="16"/>
        <v>35.9</v>
      </c>
      <c r="N519" s="5">
        <f t="shared" si="17"/>
        <v>0</v>
      </c>
      <c r="O519" s="130"/>
    </row>
    <row r="520" spans="1:16" hidden="1" x14ac:dyDescent="0.3">
      <c r="A520" s="24"/>
      <c r="B520" s="26" t="s">
        <v>610</v>
      </c>
      <c r="C520" s="29" t="s">
        <v>1567</v>
      </c>
      <c r="D520" s="27">
        <v>20.2</v>
      </c>
      <c r="E520" s="24"/>
      <c r="F520" s="24"/>
      <c r="G520" s="24" t="s">
        <v>1022</v>
      </c>
      <c r="H520" s="24"/>
      <c r="I520" s="24"/>
      <c r="J520" s="24"/>
      <c r="K520" s="24"/>
      <c r="L520" s="24"/>
      <c r="M520" s="5">
        <f t="shared" si="16"/>
        <v>20.2</v>
      </c>
      <c r="N520" s="5">
        <f t="shared" si="17"/>
        <v>0</v>
      </c>
      <c r="O520" s="25"/>
    </row>
    <row r="521" spans="1:16" hidden="1" x14ac:dyDescent="0.3">
      <c r="A521" s="24"/>
      <c r="B521" s="26" t="s">
        <v>610</v>
      </c>
      <c r="C521" s="29" t="s">
        <v>1568</v>
      </c>
      <c r="D521" s="27">
        <v>36.299999999999997</v>
      </c>
      <c r="E521" s="24"/>
      <c r="F521" s="24"/>
      <c r="G521" s="24" t="s">
        <v>1022</v>
      </c>
      <c r="H521" s="24"/>
      <c r="I521" s="24"/>
      <c r="J521" s="24"/>
      <c r="K521" s="24"/>
      <c r="L521" s="24"/>
      <c r="M521" s="5">
        <f t="shared" si="16"/>
        <v>36.299999999999997</v>
      </c>
      <c r="N521" s="5">
        <f t="shared" si="17"/>
        <v>0</v>
      </c>
      <c r="O521" s="25"/>
    </row>
    <row r="522" spans="1:16" hidden="1" x14ac:dyDescent="0.3">
      <c r="A522" s="24"/>
      <c r="B522" s="26" t="s">
        <v>610</v>
      </c>
      <c r="C522" s="29" t="s">
        <v>1569</v>
      </c>
      <c r="D522" s="27">
        <v>30.1</v>
      </c>
      <c r="E522" s="24"/>
      <c r="F522" s="24"/>
      <c r="G522" s="24" t="s">
        <v>1022</v>
      </c>
      <c r="H522" s="24"/>
      <c r="I522" s="24"/>
      <c r="J522" s="24"/>
      <c r="K522" s="24"/>
      <c r="L522" s="24"/>
      <c r="M522" s="5">
        <f t="shared" si="16"/>
        <v>30.1</v>
      </c>
      <c r="N522" s="5">
        <f t="shared" si="17"/>
        <v>0</v>
      </c>
      <c r="O522" s="25"/>
    </row>
    <row r="523" spans="1:16" hidden="1" x14ac:dyDescent="0.3">
      <c r="A523" s="24"/>
      <c r="B523" s="26" t="s">
        <v>610</v>
      </c>
      <c r="C523" s="29" t="s">
        <v>1570</v>
      </c>
      <c r="D523" s="27">
        <v>30.1</v>
      </c>
      <c r="E523" s="24"/>
      <c r="F523" s="24"/>
      <c r="G523" s="24" t="s">
        <v>1022</v>
      </c>
      <c r="H523" s="24"/>
      <c r="I523" s="24"/>
      <c r="J523" s="24"/>
      <c r="K523" s="24"/>
      <c r="L523" s="24"/>
      <c r="M523" s="5">
        <f t="shared" si="16"/>
        <v>30.1</v>
      </c>
      <c r="N523" s="5">
        <f t="shared" si="17"/>
        <v>0</v>
      </c>
      <c r="O523" s="25"/>
    </row>
    <row r="524" spans="1:16" hidden="1" x14ac:dyDescent="0.3">
      <c r="A524" s="24"/>
      <c r="B524" s="26" t="s">
        <v>610</v>
      </c>
      <c r="C524" s="29" t="s">
        <v>1571</v>
      </c>
      <c r="D524" s="27">
        <v>30.3</v>
      </c>
      <c r="E524" s="24"/>
      <c r="F524" s="24"/>
      <c r="G524" s="24" t="s">
        <v>1022</v>
      </c>
      <c r="H524" s="24"/>
      <c r="I524" s="24"/>
      <c r="J524" s="24"/>
      <c r="K524" s="24"/>
      <c r="L524" s="24"/>
      <c r="M524" s="5">
        <f t="shared" si="16"/>
        <v>30.3</v>
      </c>
      <c r="N524" s="5">
        <f t="shared" si="17"/>
        <v>0</v>
      </c>
      <c r="O524" s="25"/>
    </row>
    <row r="525" spans="1:16" hidden="1" x14ac:dyDescent="0.3">
      <c r="A525" s="24"/>
      <c r="B525" s="26" t="s">
        <v>610</v>
      </c>
      <c r="C525" s="29" t="s">
        <v>1572</v>
      </c>
      <c r="D525" s="27">
        <v>30.3</v>
      </c>
      <c r="E525" s="24"/>
      <c r="F525" s="24"/>
      <c r="G525" s="24" t="s">
        <v>1022</v>
      </c>
      <c r="H525" s="24"/>
      <c r="I525" s="24"/>
      <c r="J525" s="24"/>
      <c r="K525" s="24"/>
      <c r="L525" s="24"/>
      <c r="M525" s="5">
        <f t="shared" si="16"/>
        <v>30.3</v>
      </c>
      <c r="N525" s="5">
        <f t="shared" si="17"/>
        <v>0</v>
      </c>
      <c r="O525" s="25"/>
    </row>
    <row r="526" spans="1:16" hidden="1" x14ac:dyDescent="0.3">
      <c r="A526" s="24"/>
      <c r="B526" s="26" t="s">
        <v>610</v>
      </c>
      <c r="C526" s="29" t="s">
        <v>1573</v>
      </c>
      <c r="D526" s="27">
        <v>30.3</v>
      </c>
      <c r="E526" s="24"/>
      <c r="F526" s="24"/>
      <c r="G526" s="24" t="s">
        <v>1022</v>
      </c>
      <c r="H526" s="24"/>
      <c r="I526" s="24"/>
      <c r="J526" s="24"/>
      <c r="K526" s="24"/>
      <c r="L526" s="24"/>
      <c r="M526" s="5">
        <f t="shared" si="16"/>
        <v>30.3</v>
      </c>
      <c r="N526" s="5">
        <f t="shared" si="17"/>
        <v>0</v>
      </c>
      <c r="O526" s="25"/>
    </row>
    <row r="527" spans="1:16" hidden="1" x14ac:dyDescent="0.3">
      <c r="A527" s="24"/>
      <c r="B527" s="26" t="s">
        <v>610</v>
      </c>
      <c r="C527" s="29" t="s">
        <v>1574</v>
      </c>
      <c r="D527" s="27">
        <v>30.6</v>
      </c>
      <c r="E527" s="24"/>
      <c r="F527" s="24"/>
      <c r="G527" s="24" t="s">
        <v>1022</v>
      </c>
      <c r="H527" s="24"/>
      <c r="I527" s="24"/>
      <c r="J527" s="24"/>
      <c r="K527" s="24"/>
      <c r="L527" s="24"/>
      <c r="M527" s="5">
        <f t="shared" si="16"/>
        <v>30.6</v>
      </c>
      <c r="N527" s="5">
        <f t="shared" si="17"/>
        <v>0</v>
      </c>
      <c r="O527" s="25"/>
    </row>
    <row r="528" spans="1:16" hidden="1" x14ac:dyDescent="0.3">
      <c r="A528" s="24"/>
      <c r="B528" s="26" t="s">
        <v>610</v>
      </c>
      <c r="C528" s="29" t="s">
        <v>1575</v>
      </c>
      <c r="D528" s="27">
        <v>35</v>
      </c>
      <c r="E528" s="24"/>
      <c r="F528" s="24"/>
      <c r="G528" s="24" t="s">
        <v>1022</v>
      </c>
      <c r="H528" s="24"/>
      <c r="I528" s="24"/>
      <c r="J528" s="24"/>
      <c r="K528" s="24"/>
      <c r="L528" s="24"/>
      <c r="M528" s="5">
        <f t="shared" si="16"/>
        <v>35</v>
      </c>
      <c r="N528" s="5">
        <f t="shared" si="17"/>
        <v>0</v>
      </c>
      <c r="O528" s="25"/>
    </row>
    <row r="529" spans="1:15" hidden="1" x14ac:dyDescent="0.3">
      <c r="A529" s="24"/>
      <c r="B529" s="26" t="s">
        <v>610</v>
      </c>
      <c r="C529" s="29" t="s">
        <v>1576</v>
      </c>
      <c r="D529" s="27">
        <v>21.5</v>
      </c>
      <c r="E529" s="24"/>
      <c r="F529" s="24"/>
      <c r="G529" s="24" t="s">
        <v>1022</v>
      </c>
      <c r="H529" s="24"/>
      <c r="I529" s="24"/>
      <c r="J529" s="24"/>
      <c r="K529" s="24"/>
      <c r="L529" s="24"/>
      <c r="M529" s="5">
        <f t="shared" si="16"/>
        <v>21.5</v>
      </c>
      <c r="N529" s="5">
        <f t="shared" si="17"/>
        <v>0</v>
      </c>
      <c r="O529" s="25"/>
    </row>
    <row r="530" spans="1:15" hidden="1" x14ac:dyDescent="0.3">
      <c r="A530" s="24"/>
      <c r="B530" s="26" t="s">
        <v>610</v>
      </c>
      <c r="C530" s="29" t="s">
        <v>1577</v>
      </c>
      <c r="D530" s="27">
        <v>21.3</v>
      </c>
      <c r="E530" s="24"/>
      <c r="F530" s="24"/>
      <c r="G530" s="24" t="s">
        <v>1022</v>
      </c>
      <c r="H530" s="24"/>
      <c r="I530" s="24"/>
      <c r="J530" s="24"/>
      <c r="K530" s="24"/>
      <c r="L530" s="24"/>
      <c r="M530" s="5">
        <f t="shared" si="16"/>
        <v>21.3</v>
      </c>
      <c r="N530" s="5">
        <f t="shared" si="17"/>
        <v>0</v>
      </c>
      <c r="O530" s="25"/>
    </row>
    <row r="531" spans="1:15" hidden="1" x14ac:dyDescent="0.3">
      <c r="A531" s="24"/>
      <c r="B531" s="26" t="s">
        <v>610</v>
      </c>
      <c r="C531" s="29" t="s">
        <v>1578</v>
      </c>
      <c r="D531" s="27">
        <v>16.399999999999999</v>
      </c>
      <c r="E531" s="24"/>
      <c r="F531" s="24"/>
      <c r="G531" s="24" t="s">
        <v>1022</v>
      </c>
      <c r="H531" s="24"/>
      <c r="I531" s="24"/>
      <c r="J531" s="24"/>
      <c r="K531" s="24"/>
      <c r="L531" s="24"/>
      <c r="M531" s="5">
        <f t="shared" si="16"/>
        <v>16.399999999999999</v>
      </c>
      <c r="N531" s="5">
        <f t="shared" si="17"/>
        <v>0</v>
      </c>
      <c r="O531" s="25"/>
    </row>
    <row r="532" spans="1:15" hidden="1" x14ac:dyDescent="0.3">
      <c r="A532" s="24"/>
      <c r="B532" s="26" t="s">
        <v>610</v>
      </c>
      <c r="C532" s="29" t="s">
        <v>1579</v>
      </c>
      <c r="D532" s="27">
        <v>16.399999999999999</v>
      </c>
      <c r="E532" s="24"/>
      <c r="F532" s="24"/>
      <c r="G532" s="24" t="s">
        <v>1022</v>
      </c>
      <c r="H532" s="24"/>
      <c r="I532" s="24"/>
      <c r="J532" s="24"/>
      <c r="K532" s="24"/>
      <c r="L532" s="24"/>
      <c r="M532" s="5">
        <f t="shared" si="16"/>
        <v>16.399999999999999</v>
      </c>
      <c r="N532" s="5">
        <f t="shared" si="17"/>
        <v>0</v>
      </c>
      <c r="O532" s="25"/>
    </row>
    <row r="533" spans="1:15" hidden="1" x14ac:dyDescent="0.3">
      <c r="A533" s="24"/>
      <c r="B533" s="26" t="s">
        <v>610</v>
      </c>
      <c r="C533" s="29" t="s">
        <v>1580</v>
      </c>
      <c r="D533" s="27">
        <v>16.399999999999999</v>
      </c>
      <c r="E533" s="24"/>
      <c r="F533" s="24"/>
      <c r="G533" s="24" t="s">
        <v>1022</v>
      </c>
      <c r="H533" s="24"/>
      <c r="I533" s="24"/>
      <c r="J533" s="24"/>
      <c r="K533" s="24"/>
      <c r="L533" s="24"/>
      <c r="M533" s="5">
        <f t="shared" si="16"/>
        <v>16.399999999999999</v>
      </c>
      <c r="N533" s="5">
        <f t="shared" si="17"/>
        <v>0</v>
      </c>
      <c r="O533" s="25"/>
    </row>
    <row r="534" spans="1:15" hidden="1" x14ac:dyDescent="0.3">
      <c r="A534" s="24"/>
      <c r="B534" s="26" t="s">
        <v>610</v>
      </c>
      <c r="C534" s="29" t="s">
        <v>1581</v>
      </c>
      <c r="D534" s="27">
        <v>16.399999999999999</v>
      </c>
      <c r="E534" s="24"/>
      <c r="F534" s="24"/>
      <c r="G534" s="24" t="s">
        <v>1022</v>
      </c>
      <c r="H534" s="24"/>
      <c r="I534" s="24"/>
      <c r="J534" s="24"/>
      <c r="K534" s="24"/>
      <c r="L534" s="24"/>
      <c r="M534" s="5">
        <f t="shared" si="16"/>
        <v>16.399999999999999</v>
      </c>
      <c r="N534" s="5">
        <f t="shared" si="17"/>
        <v>0</v>
      </c>
      <c r="O534" s="25"/>
    </row>
    <row r="535" spans="1:15" x14ac:dyDescent="0.3">
      <c r="A535" s="24"/>
      <c r="B535" s="26" t="s">
        <v>610</v>
      </c>
      <c r="C535" s="29" t="s">
        <v>1582</v>
      </c>
      <c r="D535" s="27">
        <v>16.399999999999999</v>
      </c>
      <c r="E535" s="34"/>
      <c r="F535" s="34"/>
      <c r="G535" s="34" t="s">
        <v>74</v>
      </c>
      <c r="H535" s="24"/>
      <c r="I535" s="24"/>
      <c r="J535" s="24"/>
      <c r="K535" s="24"/>
      <c r="L535" s="24"/>
      <c r="M535" s="5">
        <f t="shared" si="16"/>
        <v>0</v>
      </c>
      <c r="N535" s="5">
        <f t="shared" si="17"/>
        <v>16.399999999999999</v>
      </c>
      <c r="O535" s="25"/>
    </row>
    <row r="536" spans="1:15" x14ac:dyDescent="0.3">
      <c r="A536" s="24"/>
      <c r="B536" s="26" t="s">
        <v>610</v>
      </c>
      <c r="C536" s="29" t="s">
        <v>1583</v>
      </c>
      <c r="D536" s="27">
        <v>16.7</v>
      </c>
      <c r="E536" s="34"/>
      <c r="F536" s="34"/>
      <c r="G536" s="34" t="s">
        <v>74</v>
      </c>
      <c r="H536" s="24"/>
      <c r="I536" s="24"/>
      <c r="J536" s="24"/>
      <c r="K536" s="24"/>
      <c r="L536" s="24"/>
      <c r="M536" s="5">
        <f t="shared" si="16"/>
        <v>0</v>
      </c>
      <c r="N536" s="5">
        <f t="shared" si="17"/>
        <v>16.7</v>
      </c>
      <c r="O536" s="25"/>
    </row>
    <row r="537" spans="1:15" hidden="1" x14ac:dyDescent="0.3">
      <c r="A537" s="24"/>
      <c r="B537" s="26" t="s">
        <v>610</v>
      </c>
      <c r="C537" s="29" t="s">
        <v>1584</v>
      </c>
      <c r="D537" s="27">
        <v>14.1</v>
      </c>
      <c r="E537" s="24"/>
      <c r="F537" s="24"/>
      <c r="G537" s="24" t="s">
        <v>1022</v>
      </c>
      <c r="H537" s="24"/>
      <c r="I537" s="24"/>
      <c r="J537" s="24"/>
      <c r="K537" s="24"/>
      <c r="L537" s="24"/>
      <c r="M537" s="5">
        <f t="shared" si="16"/>
        <v>14.1</v>
      </c>
      <c r="N537" s="5">
        <f t="shared" si="17"/>
        <v>0</v>
      </c>
      <c r="O537" s="25"/>
    </row>
    <row r="538" spans="1:15" hidden="1" x14ac:dyDescent="0.3">
      <c r="A538" s="24"/>
      <c r="B538" s="26" t="s">
        <v>610</v>
      </c>
      <c r="C538" s="29" t="s">
        <v>1585</v>
      </c>
      <c r="D538" s="27">
        <v>16.399999999999999</v>
      </c>
      <c r="E538" s="24"/>
      <c r="F538" s="24"/>
      <c r="G538" s="24" t="s">
        <v>1022</v>
      </c>
      <c r="H538" s="24"/>
      <c r="I538" s="24"/>
      <c r="J538" s="24"/>
      <c r="K538" s="24"/>
      <c r="L538" s="24"/>
      <c r="M538" s="5">
        <f t="shared" si="16"/>
        <v>16.399999999999999</v>
      </c>
      <c r="N538" s="5">
        <f t="shared" si="17"/>
        <v>0</v>
      </c>
      <c r="O538" s="25"/>
    </row>
    <row r="539" spans="1:15" hidden="1" x14ac:dyDescent="0.3">
      <c r="A539" s="24"/>
      <c r="B539" s="26" t="s">
        <v>610</v>
      </c>
      <c r="C539" s="29" t="s">
        <v>1586</v>
      </c>
      <c r="D539" s="27">
        <v>16.399999999999999</v>
      </c>
      <c r="E539" s="24"/>
      <c r="F539" s="24"/>
      <c r="G539" s="24" t="s">
        <v>1022</v>
      </c>
      <c r="H539" s="24"/>
      <c r="I539" s="24"/>
      <c r="J539" s="24"/>
      <c r="K539" s="24"/>
      <c r="L539" s="24"/>
      <c r="M539" s="5">
        <f t="shared" si="16"/>
        <v>16.399999999999999</v>
      </c>
      <c r="N539" s="5">
        <f t="shared" si="17"/>
        <v>0</v>
      </c>
      <c r="O539" s="25"/>
    </row>
    <row r="540" spans="1:15" hidden="1" x14ac:dyDescent="0.3">
      <c r="A540" s="24"/>
      <c r="B540" s="26" t="s">
        <v>610</v>
      </c>
      <c r="C540" s="29" t="s">
        <v>1587</v>
      </c>
      <c r="D540" s="27">
        <v>16.399999999999999</v>
      </c>
      <c r="E540" s="24"/>
      <c r="F540" s="24"/>
      <c r="G540" s="24" t="s">
        <v>1022</v>
      </c>
      <c r="H540" s="24"/>
      <c r="I540" s="24"/>
      <c r="J540" s="24"/>
      <c r="K540" s="24"/>
      <c r="L540" s="24"/>
      <c r="M540" s="5">
        <f t="shared" si="16"/>
        <v>16.399999999999999</v>
      </c>
      <c r="N540" s="5">
        <f t="shared" si="17"/>
        <v>0</v>
      </c>
      <c r="O540" s="25"/>
    </row>
    <row r="541" spans="1:15" hidden="1" x14ac:dyDescent="0.3">
      <c r="A541" s="24"/>
      <c r="B541" s="26" t="s">
        <v>610</v>
      </c>
      <c r="C541" s="29" t="s">
        <v>1588</v>
      </c>
      <c r="D541" s="27">
        <v>16.8</v>
      </c>
      <c r="E541" s="24"/>
      <c r="F541" s="24"/>
      <c r="G541" s="24" t="s">
        <v>1022</v>
      </c>
      <c r="H541" s="24"/>
      <c r="I541" s="24"/>
      <c r="J541" s="24"/>
      <c r="K541" s="24"/>
      <c r="L541" s="24"/>
      <c r="M541" s="5">
        <f t="shared" si="16"/>
        <v>16.8</v>
      </c>
      <c r="N541" s="5">
        <f t="shared" si="17"/>
        <v>0</v>
      </c>
      <c r="O541" s="25"/>
    </row>
    <row r="542" spans="1:15" hidden="1" x14ac:dyDescent="0.3">
      <c r="A542" s="24"/>
      <c r="B542" s="26" t="s">
        <v>610</v>
      </c>
      <c r="C542" s="29" t="s">
        <v>1589</v>
      </c>
      <c r="D542" s="27">
        <v>15.9</v>
      </c>
      <c r="E542" s="24"/>
      <c r="F542" s="24"/>
      <c r="G542" s="24" t="s">
        <v>1022</v>
      </c>
      <c r="H542" s="24"/>
      <c r="I542" s="24"/>
      <c r="J542" s="24"/>
      <c r="K542" s="24"/>
      <c r="L542" s="24"/>
      <c r="M542" s="5">
        <f t="shared" si="16"/>
        <v>15.9</v>
      </c>
      <c r="N542" s="5">
        <f t="shared" si="17"/>
        <v>0</v>
      </c>
      <c r="O542" s="25"/>
    </row>
    <row r="543" spans="1:15" hidden="1" x14ac:dyDescent="0.3">
      <c r="A543" s="24"/>
      <c r="B543" s="26" t="s">
        <v>610</v>
      </c>
      <c r="C543" s="29" t="s">
        <v>1590</v>
      </c>
      <c r="D543" s="27">
        <v>16.5</v>
      </c>
      <c r="E543" s="24"/>
      <c r="F543" s="24"/>
      <c r="G543" s="24" t="s">
        <v>1022</v>
      </c>
      <c r="H543" s="24"/>
      <c r="I543" s="24"/>
      <c r="J543" s="24"/>
      <c r="K543" s="24"/>
      <c r="L543" s="24"/>
      <c r="M543" s="5">
        <f t="shared" si="16"/>
        <v>16.5</v>
      </c>
      <c r="N543" s="5">
        <f t="shared" si="17"/>
        <v>0</v>
      </c>
      <c r="O543" s="25"/>
    </row>
    <row r="544" spans="1:15" hidden="1" x14ac:dyDescent="0.3">
      <c r="A544" s="24"/>
      <c r="B544" s="26" t="s">
        <v>610</v>
      </c>
      <c r="C544" s="29" t="s">
        <v>1591</v>
      </c>
      <c r="D544" s="27">
        <v>16.3</v>
      </c>
      <c r="E544" s="24"/>
      <c r="F544" s="24"/>
      <c r="G544" s="24" t="s">
        <v>1022</v>
      </c>
      <c r="H544" s="24"/>
      <c r="I544" s="24"/>
      <c r="J544" s="24"/>
      <c r="K544" s="24"/>
      <c r="L544" s="24"/>
      <c r="M544" s="5">
        <f t="shared" si="16"/>
        <v>16.3</v>
      </c>
      <c r="N544" s="5">
        <f t="shared" si="17"/>
        <v>0</v>
      </c>
      <c r="O544" s="25"/>
    </row>
    <row r="545" spans="1:15" hidden="1" x14ac:dyDescent="0.3">
      <c r="A545" s="24"/>
      <c r="B545" s="26" t="s">
        <v>610</v>
      </c>
      <c r="C545" s="29" t="s">
        <v>1592</v>
      </c>
      <c r="D545" s="27">
        <v>21.2</v>
      </c>
      <c r="E545" s="24"/>
      <c r="F545" s="24"/>
      <c r="G545" s="24" t="s">
        <v>1022</v>
      </c>
      <c r="H545" s="24"/>
      <c r="I545" s="24"/>
      <c r="J545" s="24"/>
      <c r="K545" s="24"/>
      <c r="L545" s="24"/>
      <c r="M545" s="5">
        <f t="shared" si="16"/>
        <v>21.2</v>
      </c>
      <c r="N545" s="5">
        <f t="shared" si="17"/>
        <v>0</v>
      </c>
      <c r="O545" s="25"/>
    </row>
    <row r="546" spans="1:15" hidden="1" x14ac:dyDescent="0.3">
      <c r="A546" s="24"/>
      <c r="B546" s="26" t="s">
        <v>610</v>
      </c>
      <c r="C546" s="29" t="s">
        <v>1593</v>
      </c>
      <c r="D546" s="27">
        <v>21.2</v>
      </c>
      <c r="E546" s="24"/>
      <c r="F546" s="24"/>
      <c r="G546" s="24" t="s">
        <v>1022</v>
      </c>
      <c r="H546" s="24"/>
      <c r="I546" s="24"/>
      <c r="J546" s="24"/>
      <c r="K546" s="24"/>
      <c r="L546" s="24"/>
      <c r="M546" s="5">
        <f t="shared" si="16"/>
        <v>21.2</v>
      </c>
      <c r="N546" s="5">
        <f t="shared" si="17"/>
        <v>0</v>
      </c>
      <c r="O546" s="25"/>
    </row>
    <row r="547" spans="1:15" hidden="1" x14ac:dyDescent="0.3">
      <c r="A547" s="24"/>
      <c r="B547" s="26" t="s">
        <v>610</v>
      </c>
      <c r="C547" s="29" t="s">
        <v>1594</v>
      </c>
      <c r="D547" s="27">
        <v>35.299999999999997</v>
      </c>
      <c r="E547" s="24"/>
      <c r="F547" s="24"/>
      <c r="G547" s="24" t="s">
        <v>1022</v>
      </c>
      <c r="H547" s="24"/>
      <c r="I547" s="24"/>
      <c r="J547" s="24"/>
      <c r="K547" s="24"/>
      <c r="L547" s="24"/>
      <c r="M547" s="5">
        <f t="shared" si="16"/>
        <v>35.299999999999997</v>
      </c>
      <c r="N547" s="5">
        <f t="shared" si="17"/>
        <v>0</v>
      </c>
      <c r="O547" s="25"/>
    </row>
    <row r="548" spans="1:15" hidden="1" x14ac:dyDescent="0.3">
      <c r="A548" s="24"/>
      <c r="B548" s="26" t="s">
        <v>610</v>
      </c>
      <c r="C548" s="29" t="s">
        <v>1595</v>
      </c>
      <c r="D548" s="27">
        <v>19.5</v>
      </c>
      <c r="E548" s="24"/>
      <c r="F548" s="24"/>
      <c r="G548" s="24" t="s">
        <v>1022</v>
      </c>
      <c r="H548" s="24"/>
      <c r="I548" s="24"/>
      <c r="J548" s="24"/>
      <c r="K548" s="24"/>
      <c r="L548" s="24"/>
      <c r="M548" s="5">
        <f t="shared" si="16"/>
        <v>19.5</v>
      </c>
      <c r="N548" s="5">
        <f t="shared" si="17"/>
        <v>0</v>
      </c>
      <c r="O548" s="25"/>
    </row>
    <row r="549" spans="1:15" hidden="1" x14ac:dyDescent="0.3">
      <c r="A549" s="24"/>
      <c r="B549" s="26" t="s">
        <v>610</v>
      </c>
      <c r="C549" s="29" t="s">
        <v>1596</v>
      </c>
      <c r="D549" s="27">
        <v>22.6</v>
      </c>
      <c r="E549" s="24"/>
      <c r="F549" s="24"/>
      <c r="G549" s="24" t="s">
        <v>1022</v>
      </c>
      <c r="H549" s="24"/>
      <c r="I549" s="24"/>
      <c r="J549" s="24"/>
      <c r="K549" s="24"/>
      <c r="L549" s="24"/>
      <c r="M549" s="5">
        <f t="shared" si="16"/>
        <v>22.6</v>
      </c>
      <c r="N549" s="5">
        <f t="shared" si="17"/>
        <v>0</v>
      </c>
      <c r="O549" s="25"/>
    </row>
    <row r="550" spans="1:15" hidden="1" x14ac:dyDescent="0.3">
      <c r="A550" s="24"/>
      <c r="B550" s="26" t="s">
        <v>610</v>
      </c>
      <c r="C550" s="29" t="s">
        <v>1597</v>
      </c>
      <c r="D550" s="27">
        <v>15.9</v>
      </c>
      <c r="E550" s="24"/>
      <c r="F550" s="24"/>
      <c r="G550" s="24" t="s">
        <v>1022</v>
      </c>
      <c r="H550" s="24"/>
      <c r="I550" s="24"/>
      <c r="J550" s="24"/>
      <c r="K550" s="24"/>
      <c r="L550" s="24"/>
      <c r="M550" s="5">
        <f t="shared" si="16"/>
        <v>15.9</v>
      </c>
      <c r="N550" s="5">
        <f t="shared" si="17"/>
        <v>0</v>
      </c>
      <c r="O550" s="25"/>
    </row>
    <row r="551" spans="1:15" hidden="1" x14ac:dyDescent="0.3">
      <c r="A551" s="24"/>
      <c r="B551" s="26" t="s">
        <v>610</v>
      </c>
      <c r="C551" s="29" t="s">
        <v>1597</v>
      </c>
      <c r="D551" s="27">
        <v>15.9</v>
      </c>
      <c r="E551" s="24"/>
      <c r="F551" s="24"/>
      <c r="G551" s="24" t="s">
        <v>1022</v>
      </c>
      <c r="H551" s="24"/>
      <c r="I551" s="24"/>
      <c r="J551" s="24"/>
      <c r="K551" s="24"/>
      <c r="L551" s="24"/>
      <c r="M551" s="5">
        <f t="shared" si="16"/>
        <v>15.9</v>
      </c>
      <c r="N551" s="5">
        <f t="shared" si="17"/>
        <v>0</v>
      </c>
      <c r="O551" s="25"/>
    </row>
    <row r="552" spans="1:15" hidden="1" x14ac:dyDescent="0.3">
      <c r="A552" s="24"/>
      <c r="B552" s="26" t="s">
        <v>610</v>
      </c>
      <c r="C552" s="29" t="s">
        <v>1598</v>
      </c>
      <c r="D552" s="27">
        <v>15.9</v>
      </c>
      <c r="E552" s="24"/>
      <c r="F552" s="24"/>
      <c r="G552" s="24" t="s">
        <v>1022</v>
      </c>
      <c r="H552" s="24"/>
      <c r="I552" s="24"/>
      <c r="J552" s="24"/>
      <c r="K552" s="24"/>
      <c r="L552" s="24"/>
      <c r="M552" s="5">
        <f t="shared" si="16"/>
        <v>15.9</v>
      </c>
      <c r="N552" s="5">
        <f t="shared" si="17"/>
        <v>0</v>
      </c>
      <c r="O552" s="25"/>
    </row>
    <row r="553" spans="1:15" hidden="1" x14ac:dyDescent="0.3">
      <c r="A553" s="24"/>
      <c r="B553" s="26" t="s">
        <v>610</v>
      </c>
      <c r="C553" s="29" t="s">
        <v>1599</v>
      </c>
      <c r="D553" s="27">
        <v>17</v>
      </c>
      <c r="E553" s="24"/>
      <c r="F553" s="24"/>
      <c r="G553" s="24" t="s">
        <v>1022</v>
      </c>
      <c r="H553" s="24"/>
      <c r="I553" s="24"/>
      <c r="J553" s="24"/>
      <c r="K553" s="24"/>
      <c r="L553" s="24"/>
      <c r="M553" s="5">
        <f t="shared" si="16"/>
        <v>17</v>
      </c>
      <c r="N553" s="5">
        <f t="shared" si="17"/>
        <v>0</v>
      </c>
      <c r="O553" s="25"/>
    </row>
    <row r="554" spans="1:15" hidden="1" x14ac:dyDescent="0.3">
      <c r="A554" s="24"/>
      <c r="B554" s="26" t="s">
        <v>610</v>
      </c>
      <c r="C554" s="29" t="s">
        <v>1600</v>
      </c>
      <c r="D554" s="27">
        <v>17</v>
      </c>
      <c r="E554" s="24"/>
      <c r="F554" s="24"/>
      <c r="G554" s="24" t="s">
        <v>1022</v>
      </c>
      <c r="H554" s="24"/>
      <c r="I554" s="24"/>
      <c r="J554" s="24"/>
      <c r="K554" s="24"/>
      <c r="L554" s="24"/>
      <c r="M554" s="5">
        <f t="shared" si="16"/>
        <v>17</v>
      </c>
      <c r="N554" s="5">
        <f t="shared" si="17"/>
        <v>0</v>
      </c>
      <c r="O554" s="25"/>
    </row>
    <row r="555" spans="1:15" hidden="1" x14ac:dyDescent="0.3">
      <c r="A555" s="24"/>
      <c r="B555" s="26" t="s">
        <v>610</v>
      </c>
      <c r="C555" s="29" t="s">
        <v>1601</v>
      </c>
      <c r="D555" s="27">
        <v>16.5</v>
      </c>
      <c r="E555" s="24"/>
      <c r="F555" s="24"/>
      <c r="G555" s="24" t="s">
        <v>1022</v>
      </c>
      <c r="H555" s="24"/>
      <c r="I555" s="24"/>
      <c r="J555" s="24"/>
      <c r="K555" s="24"/>
      <c r="L555" s="24"/>
      <c r="M555" s="5">
        <f t="shared" si="16"/>
        <v>16.5</v>
      </c>
      <c r="N555" s="5">
        <f t="shared" si="17"/>
        <v>0</v>
      </c>
      <c r="O555" s="25"/>
    </row>
    <row r="556" spans="1:15" hidden="1" x14ac:dyDescent="0.3">
      <c r="A556" s="24"/>
      <c r="B556" s="26" t="s">
        <v>610</v>
      </c>
      <c r="C556" s="29" t="s">
        <v>1602</v>
      </c>
      <c r="D556" s="27">
        <v>16.5</v>
      </c>
      <c r="E556" s="24"/>
      <c r="F556" s="24"/>
      <c r="G556" s="24" t="s">
        <v>1022</v>
      </c>
      <c r="H556" s="24"/>
      <c r="I556" s="24"/>
      <c r="J556" s="24"/>
      <c r="K556" s="24"/>
      <c r="L556" s="24"/>
      <c r="M556" s="5">
        <f t="shared" si="16"/>
        <v>16.5</v>
      </c>
      <c r="N556" s="5">
        <f t="shared" si="17"/>
        <v>0</v>
      </c>
      <c r="O556" s="25"/>
    </row>
    <row r="557" spans="1:15" hidden="1" x14ac:dyDescent="0.3">
      <c r="A557" s="24"/>
      <c r="B557" s="26" t="s">
        <v>610</v>
      </c>
      <c r="C557" s="29" t="s">
        <v>1603</v>
      </c>
      <c r="D557" s="27">
        <v>14.6</v>
      </c>
      <c r="E557" s="24"/>
      <c r="F557" s="24"/>
      <c r="G557" s="24" t="s">
        <v>1022</v>
      </c>
      <c r="H557" s="24"/>
      <c r="I557" s="24"/>
      <c r="J557" s="24"/>
      <c r="K557" s="24"/>
      <c r="L557" s="24"/>
      <c r="M557" s="5">
        <f t="shared" si="16"/>
        <v>14.6</v>
      </c>
      <c r="N557" s="5">
        <f t="shared" si="17"/>
        <v>0</v>
      </c>
      <c r="O557" s="25"/>
    </row>
    <row r="558" spans="1:15" x14ac:dyDescent="0.3">
      <c r="A558" s="24"/>
      <c r="B558" s="26" t="s">
        <v>610</v>
      </c>
      <c r="C558" s="29" t="s">
        <v>1604</v>
      </c>
      <c r="D558" s="27">
        <v>16.399999999999999</v>
      </c>
      <c r="E558" s="34"/>
      <c r="F558" s="34"/>
      <c r="G558" s="34" t="s">
        <v>74</v>
      </c>
      <c r="H558" s="24"/>
      <c r="I558" s="24"/>
      <c r="J558" s="24"/>
      <c r="K558" s="24"/>
      <c r="L558" s="24"/>
      <c r="M558" s="5">
        <f t="shared" si="16"/>
        <v>0</v>
      </c>
      <c r="N558" s="5">
        <f t="shared" si="17"/>
        <v>16.399999999999999</v>
      </c>
      <c r="O558" s="25"/>
    </row>
    <row r="559" spans="1:15" x14ac:dyDescent="0.3">
      <c r="A559" s="24"/>
      <c r="B559" s="26" t="s">
        <v>610</v>
      </c>
      <c r="C559" s="29" t="s">
        <v>1605</v>
      </c>
      <c r="D559" s="27">
        <v>16.7</v>
      </c>
      <c r="E559" s="34"/>
      <c r="F559" s="34"/>
      <c r="G559" s="34" t="s">
        <v>74</v>
      </c>
      <c r="H559" s="24"/>
      <c r="I559" s="24"/>
      <c r="J559" s="24"/>
      <c r="K559" s="24"/>
      <c r="L559" s="24"/>
      <c r="M559" s="5">
        <f t="shared" si="16"/>
        <v>0</v>
      </c>
      <c r="N559" s="5">
        <f t="shared" si="17"/>
        <v>16.7</v>
      </c>
      <c r="O559" s="25"/>
    </row>
    <row r="560" spans="1:15" hidden="1" x14ac:dyDescent="0.3">
      <c r="A560" s="24"/>
      <c r="B560" s="26" t="s">
        <v>610</v>
      </c>
      <c r="C560" s="29" t="s">
        <v>1606</v>
      </c>
      <c r="D560" s="27">
        <v>16.399999999999999</v>
      </c>
      <c r="E560" s="24"/>
      <c r="F560" s="24"/>
      <c r="G560" s="24" t="s">
        <v>1022</v>
      </c>
      <c r="H560" s="24"/>
      <c r="I560" s="24"/>
      <c r="J560" s="24"/>
      <c r="K560" s="24"/>
      <c r="L560" s="24"/>
      <c r="M560" s="5">
        <f t="shared" si="16"/>
        <v>16.399999999999999</v>
      </c>
      <c r="N560" s="5">
        <f t="shared" si="17"/>
        <v>0</v>
      </c>
      <c r="O560" s="25"/>
    </row>
    <row r="561" spans="1:15" hidden="1" x14ac:dyDescent="0.3">
      <c r="A561" s="24"/>
      <c r="B561" s="26" t="s">
        <v>610</v>
      </c>
      <c r="C561" s="29" t="s">
        <v>1607</v>
      </c>
      <c r="D561" s="27">
        <v>16.399999999999999</v>
      </c>
      <c r="E561" s="24"/>
      <c r="F561" s="24"/>
      <c r="G561" s="24" t="s">
        <v>1022</v>
      </c>
      <c r="H561" s="24"/>
      <c r="I561" s="24"/>
      <c r="J561" s="24"/>
      <c r="K561" s="24"/>
      <c r="L561" s="24"/>
      <c r="M561" s="5">
        <f t="shared" si="16"/>
        <v>16.399999999999999</v>
      </c>
      <c r="N561" s="5">
        <f t="shared" si="17"/>
        <v>0</v>
      </c>
      <c r="O561" s="25"/>
    </row>
    <row r="562" spans="1:15" hidden="1" x14ac:dyDescent="0.3">
      <c r="A562" s="24"/>
      <c r="B562" s="26" t="s">
        <v>610</v>
      </c>
      <c r="C562" s="29" t="s">
        <v>1608</v>
      </c>
      <c r="D562" s="27">
        <v>16.399999999999999</v>
      </c>
      <c r="E562" s="24"/>
      <c r="F562" s="24"/>
      <c r="G562" s="24" t="s">
        <v>1022</v>
      </c>
      <c r="H562" s="24"/>
      <c r="I562" s="24"/>
      <c r="J562" s="24"/>
      <c r="K562" s="24"/>
      <c r="L562" s="24"/>
      <c r="M562" s="5">
        <f t="shared" si="16"/>
        <v>16.399999999999999</v>
      </c>
      <c r="N562" s="5">
        <f t="shared" si="17"/>
        <v>0</v>
      </c>
      <c r="O562" s="25"/>
    </row>
    <row r="563" spans="1:15" hidden="1" x14ac:dyDescent="0.3">
      <c r="A563" s="24"/>
      <c r="B563" s="26" t="s">
        <v>610</v>
      </c>
      <c r="C563" s="29" t="s">
        <v>1609</v>
      </c>
      <c r="D563" s="27">
        <v>16.399999999999999</v>
      </c>
      <c r="E563" s="24"/>
      <c r="F563" s="24"/>
      <c r="G563" s="24" t="s">
        <v>1022</v>
      </c>
      <c r="H563" s="24"/>
      <c r="I563" s="24"/>
      <c r="J563" s="24"/>
      <c r="K563" s="24"/>
      <c r="L563" s="24"/>
      <c r="M563" s="5">
        <f t="shared" si="16"/>
        <v>16.399999999999999</v>
      </c>
      <c r="N563" s="5">
        <f t="shared" si="17"/>
        <v>0</v>
      </c>
      <c r="O563" s="25"/>
    </row>
    <row r="564" spans="1:15" hidden="1" x14ac:dyDescent="0.3">
      <c r="A564" s="24"/>
      <c r="B564" s="26" t="s">
        <v>610</v>
      </c>
      <c r="C564" s="29" t="s">
        <v>1610</v>
      </c>
      <c r="D564" s="27">
        <v>21.4</v>
      </c>
      <c r="E564" s="24"/>
      <c r="F564" s="24"/>
      <c r="G564" s="24" t="s">
        <v>1022</v>
      </c>
      <c r="H564" s="24"/>
      <c r="I564" s="24"/>
      <c r="J564" s="24"/>
      <c r="K564" s="24"/>
      <c r="L564" s="24"/>
      <c r="M564" s="5">
        <f t="shared" si="16"/>
        <v>21.4</v>
      </c>
      <c r="N564" s="5">
        <f t="shared" si="17"/>
        <v>0</v>
      </c>
      <c r="O564" s="37"/>
    </row>
    <row r="565" spans="1:15" hidden="1" x14ac:dyDescent="0.3">
      <c r="A565" s="24"/>
      <c r="B565" s="26" t="s">
        <v>610</v>
      </c>
      <c r="C565" s="29" t="s">
        <v>1611</v>
      </c>
      <c r="D565" s="27">
        <v>21.4</v>
      </c>
      <c r="E565" s="24"/>
      <c r="F565" s="24"/>
      <c r="G565" s="24" t="s">
        <v>1022</v>
      </c>
      <c r="H565" s="24"/>
      <c r="I565" s="24"/>
      <c r="J565" s="24"/>
      <c r="K565" s="24"/>
      <c r="L565" s="24"/>
      <c r="M565" s="5">
        <f t="shared" si="16"/>
        <v>21.4</v>
      </c>
      <c r="N565" s="5">
        <f t="shared" si="17"/>
        <v>0</v>
      </c>
      <c r="O565" s="37"/>
    </row>
    <row r="566" spans="1:15" hidden="1" x14ac:dyDescent="0.3">
      <c r="A566" s="24"/>
      <c r="B566" s="26" t="s">
        <v>610</v>
      </c>
      <c r="C566" s="29" t="s">
        <v>1612</v>
      </c>
      <c r="D566" s="27">
        <v>21.1</v>
      </c>
      <c r="E566" s="24"/>
      <c r="F566" s="24"/>
      <c r="G566" s="24" t="s">
        <v>1022</v>
      </c>
      <c r="H566" s="24"/>
      <c r="I566" s="24"/>
      <c r="J566" s="24"/>
      <c r="K566" s="24"/>
      <c r="L566" s="24"/>
      <c r="M566" s="5">
        <f t="shared" si="16"/>
        <v>21.1</v>
      </c>
      <c r="N566" s="5">
        <f t="shared" si="17"/>
        <v>0</v>
      </c>
      <c r="O566" s="37"/>
    </row>
    <row r="567" spans="1:15" hidden="1" x14ac:dyDescent="0.3">
      <c r="A567" s="24"/>
      <c r="B567" s="26" t="s">
        <v>610</v>
      </c>
      <c r="C567" s="29" t="s">
        <v>1613</v>
      </c>
      <c r="D567" s="27">
        <v>38.4</v>
      </c>
      <c r="E567" s="24"/>
      <c r="F567" s="24"/>
      <c r="G567" s="24" t="s">
        <v>1022</v>
      </c>
      <c r="H567" s="24"/>
      <c r="I567" s="24"/>
      <c r="J567" s="24"/>
      <c r="K567" s="24"/>
      <c r="L567" s="24"/>
      <c r="M567" s="5">
        <f t="shared" si="16"/>
        <v>38.4</v>
      </c>
      <c r="N567" s="5">
        <f t="shared" si="17"/>
        <v>0</v>
      </c>
      <c r="O567" s="37"/>
    </row>
    <row r="568" spans="1:15" x14ac:dyDescent="0.3">
      <c r="A568" s="24"/>
      <c r="B568" s="26" t="s">
        <v>610</v>
      </c>
      <c r="C568" s="29" t="s">
        <v>1614</v>
      </c>
      <c r="D568" s="27">
        <v>33.799999999999997</v>
      </c>
      <c r="E568" s="34"/>
      <c r="F568" s="34"/>
      <c r="G568" s="34" t="s">
        <v>74</v>
      </c>
      <c r="H568" s="24"/>
      <c r="I568" s="24"/>
      <c r="J568" s="24"/>
      <c r="K568" s="24"/>
      <c r="L568" s="24"/>
      <c r="M568" s="5">
        <f t="shared" si="16"/>
        <v>0</v>
      </c>
      <c r="N568" s="5">
        <f t="shared" si="17"/>
        <v>33.799999999999997</v>
      </c>
      <c r="O568" s="37"/>
    </row>
    <row r="569" spans="1:15" hidden="1" x14ac:dyDescent="0.3">
      <c r="A569" s="24"/>
      <c r="B569" s="26" t="s">
        <v>610</v>
      </c>
      <c r="C569" s="29" t="s">
        <v>1615</v>
      </c>
      <c r="D569" s="27">
        <v>25.4</v>
      </c>
      <c r="E569" s="24"/>
      <c r="F569" s="24"/>
      <c r="G569" s="24" t="s">
        <v>1022</v>
      </c>
      <c r="H569" s="24"/>
      <c r="I569" s="24"/>
      <c r="J569" s="24"/>
      <c r="K569" s="24"/>
      <c r="L569" s="24"/>
      <c r="M569" s="5">
        <f t="shared" si="16"/>
        <v>25.4</v>
      </c>
      <c r="N569" s="5">
        <f t="shared" si="17"/>
        <v>0</v>
      </c>
      <c r="O569" s="37"/>
    </row>
    <row r="570" spans="1:15" hidden="1" x14ac:dyDescent="0.3">
      <c r="A570" s="24"/>
      <c r="B570" s="26" t="s">
        <v>610</v>
      </c>
      <c r="C570" s="29"/>
      <c r="D570" s="27">
        <v>25.9</v>
      </c>
      <c r="E570" s="24"/>
      <c r="F570" s="24"/>
      <c r="G570" s="24" t="s">
        <v>1022</v>
      </c>
      <c r="H570" s="24"/>
      <c r="I570" s="24"/>
      <c r="J570" s="24"/>
      <c r="K570" s="24"/>
      <c r="L570" s="24"/>
      <c r="M570" s="5">
        <f t="shared" si="16"/>
        <v>25.9</v>
      </c>
      <c r="N570" s="5">
        <f t="shared" si="17"/>
        <v>0</v>
      </c>
      <c r="O570" s="37"/>
    </row>
    <row r="571" spans="1:15" hidden="1" x14ac:dyDescent="0.3">
      <c r="A571" s="24"/>
      <c r="B571" s="26" t="s">
        <v>610</v>
      </c>
      <c r="C571" s="29"/>
      <c r="D571" s="27">
        <v>25.9</v>
      </c>
      <c r="E571" s="24"/>
      <c r="F571" s="24"/>
      <c r="G571" s="24" t="s">
        <v>1022</v>
      </c>
      <c r="H571" s="24"/>
      <c r="I571" s="24"/>
      <c r="J571" s="24"/>
      <c r="K571" s="24"/>
      <c r="L571" s="24"/>
      <c r="M571" s="5">
        <f t="shared" si="16"/>
        <v>25.9</v>
      </c>
      <c r="N571" s="5">
        <f t="shared" si="17"/>
        <v>0</v>
      </c>
      <c r="O571" s="37"/>
    </row>
    <row r="572" spans="1:15" hidden="1" x14ac:dyDescent="0.3">
      <c r="A572" s="24"/>
      <c r="B572" s="26" t="s">
        <v>610</v>
      </c>
      <c r="C572" s="29"/>
      <c r="D572" s="27">
        <v>25.9</v>
      </c>
      <c r="E572" s="24"/>
      <c r="F572" s="24"/>
      <c r="G572" s="24" t="s">
        <v>1022</v>
      </c>
      <c r="H572" s="24"/>
      <c r="I572" s="24"/>
      <c r="J572" s="24"/>
      <c r="K572" s="24"/>
      <c r="L572" s="24"/>
      <c r="M572" s="5">
        <f t="shared" si="16"/>
        <v>25.9</v>
      </c>
      <c r="N572" s="5">
        <f t="shared" si="17"/>
        <v>0</v>
      </c>
      <c r="O572" s="37"/>
    </row>
    <row r="573" spans="1:15" hidden="1" x14ac:dyDescent="0.3">
      <c r="A573" s="24"/>
      <c r="B573" s="26" t="s">
        <v>610</v>
      </c>
      <c r="C573" s="29"/>
      <c r="D573" s="27">
        <v>20.9</v>
      </c>
      <c r="E573" s="24"/>
      <c r="F573" s="24"/>
      <c r="G573" s="24" t="s">
        <v>1022</v>
      </c>
      <c r="H573" s="24"/>
      <c r="I573" s="24"/>
      <c r="J573" s="24"/>
      <c r="K573" s="24"/>
      <c r="L573" s="24"/>
      <c r="M573" s="5">
        <f t="shared" si="16"/>
        <v>20.9</v>
      </c>
      <c r="N573" s="5">
        <f t="shared" si="17"/>
        <v>0</v>
      </c>
      <c r="O573" s="37"/>
    </row>
    <row r="574" spans="1:15" hidden="1" x14ac:dyDescent="0.3">
      <c r="A574" s="24"/>
      <c r="B574" s="26" t="s">
        <v>610</v>
      </c>
      <c r="C574" s="29" t="s">
        <v>1616</v>
      </c>
      <c r="D574" s="27">
        <v>20.100000000000001</v>
      </c>
      <c r="E574" s="24"/>
      <c r="F574" s="24"/>
      <c r="G574" s="24" t="s">
        <v>1022</v>
      </c>
      <c r="H574" s="24"/>
      <c r="I574" s="24"/>
      <c r="J574" s="24"/>
      <c r="K574" s="24"/>
      <c r="L574" s="24"/>
      <c r="M574" s="5">
        <f t="shared" si="16"/>
        <v>20.100000000000001</v>
      </c>
      <c r="N574" s="5">
        <f t="shared" si="17"/>
        <v>0</v>
      </c>
      <c r="O574" s="37"/>
    </row>
    <row r="575" spans="1:15" x14ac:dyDescent="0.3">
      <c r="A575" s="24"/>
      <c r="B575" s="26" t="s">
        <v>610</v>
      </c>
      <c r="C575" s="29" t="s">
        <v>1617</v>
      </c>
      <c r="D575" s="27">
        <v>28.4</v>
      </c>
      <c r="E575" s="34"/>
      <c r="F575" s="34"/>
      <c r="G575" s="34" t="s">
        <v>74</v>
      </c>
      <c r="H575" s="24"/>
      <c r="I575" s="24"/>
      <c r="J575" s="24"/>
      <c r="K575" s="24"/>
      <c r="L575" s="24"/>
      <c r="M575" s="5">
        <f t="shared" si="16"/>
        <v>0</v>
      </c>
      <c r="N575" s="5">
        <f t="shared" si="17"/>
        <v>28.4</v>
      </c>
      <c r="O575" s="37"/>
    </row>
    <row r="576" spans="1:15" hidden="1" x14ac:dyDescent="0.3">
      <c r="A576" s="24"/>
      <c r="B576" s="26" t="s">
        <v>610</v>
      </c>
      <c r="C576" s="29" t="s">
        <v>1618</v>
      </c>
      <c r="D576" s="27">
        <v>23.8</v>
      </c>
      <c r="E576" s="24"/>
      <c r="F576" s="24"/>
      <c r="G576" s="24" t="s">
        <v>1022</v>
      </c>
      <c r="H576" s="24"/>
      <c r="I576" s="24"/>
      <c r="J576" s="24"/>
      <c r="K576" s="24"/>
      <c r="L576" s="24"/>
      <c r="M576" s="5">
        <f t="shared" si="16"/>
        <v>23.8</v>
      </c>
      <c r="N576" s="5">
        <f t="shared" si="17"/>
        <v>0</v>
      </c>
      <c r="O576" s="37"/>
    </row>
    <row r="577" spans="1:15" hidden="1" x14ac:dyDescent="0.3">
      <c r="A577" s="24"/>
      <c r="B577" s="26" t="s">
        <v>610</v>
      </c>
      <c r="C577" s="29" t="s">
        <v>1619</v>
      </c>
      <c r="D577" s="27">
        <v>22.6</v>
      </c>
      <c r="E577" s="24"/>
      <c r="F577" s="24"/>
      <c r="G577" s="24" t="s">
        <v>1022</v>
      </c>
      <c r="H577" s="24"/>
      <c r="I577" s="24"/>
      <c r="J577" s="24"/>
      <c r="K577" s="24"/>
      <c r="L577" s="24"/>
      <c r="M577" s="5">
        <f t="shared" si="16"/>
        <v>22.6</v>
      </c>
      <c r="N577" s="5">
        <f t="shared" si="17"/>
        <v>0</v>
      </c>
      <c r="O577" s="37"/>
    </row>
    <row r="578" spans="1:15" hidden="1" x14ac:dyDescent="0.3">
      <c r="A578" s="24"/>
      <c r="B578" s="26" t="s">
        <v>610</v>
      </c>
      <c r="C578" s="29" t="s">
        <v>1620</v>
      </c>
      <c r="D578" s="27">
        <v>23.4</v>
      </c>
      <c r="E578" s="24"/>
      <c r="F578" s="24"/>
      <c r="G578" s="24" t="s">
        <v>1022</v>
      </c>
      <c r="H578" s="24"/>
      <c r="I578" s="24"/>
      <c r="J578" s="24"/>
      <c r="K578" s="24"/>
      <c r="L578" s="24"/>
      <c r="M578" s="5">
        <f t="shared" si="16"/>
        <v>23.4</v>
      </c>
      <c r="N578" s="5">
        <f t="shared" si="17"/>
        <v>0</v>
      </c>
      <c r="O578" s="37"/>
    </row>
    <row r="579" spans="1:15" hidden="1" x14ac:dyDescent="0.3">
      <c r="A579" s="24"/>
      <c r="B579" s="26" t="s">
        <v>610</v>
      </c>
      <c r="C579" s="29" t="s">
        <v>1621</v>
      </c>
      <c r="D579" s="27">
        <v>16.3</v>
      </c>
      <c r="E579" s="24"/>
      <c r="F579" s="24"/>
      <c r="G579" s="24" t="s">
        <v>1022</v>
      </c>
      <c r="H579" s="24"/>
      <c r="I579" s="24"/>
      <c r="J579" s="24"/>
      <c r="K579" s="24"/>
      <c r="L579" s="24"/>
      <c r="M579" s="5">
        <f t="shared" ref="M579:M642" si="18">IF(G579="已出租",D579,0)</f>
        <v>16.3</v>
      </c>
      <c r="N579" s="5">
        <f t="shared" ref="N579:N642" si="19">IF(G579="未出租",D579,0)</f>
        <v>0</v>
      </c>
      <c r="O579" s="37"/>
    </row>
    <row r="580" spans="1:15" hidden="1" x14ac:dyDescent="0.3">
      <c r="A580" s="24"/>
      <c r="B580" s="26" t="s">
        <v>610</v>
      </c>
      <c r="C580" s="29" t="s">
        <v>1622</v>
      </c>
      <c r="D580" s="27">
        <v>16.3</v>
      </c>
      <c r="E580" s="24"/>
      <c r="F580" s="24"/>
      <c r="G580" s="24" t="s">
        <v>1022</v>
      </c>
      <c r="H580" s="24"/>
      <c r="I580" s="24"/>
      <c r="J580" s="24"/>
      <c r="K580" s="24"/>
      <c r="L580" s="24"/>
      <c r="M580" s="5">
        <f t="shared" si="18"/>
        <v>16.3</v>
      </c>
      <c r="N580" s="5">
        <f t="shared" si="19"/>
        <v>0</v>
      </c>
      <c r="O580" s="37"/>
    </row>
    <row r="581" spans="1:15" hidden="1" x14ac:dyDescent="0.3">
      <c r="A581" s="24"/>
      <c r="B581" s="26" t="s">
        <v>610</v>
      </c>
      <c r="C581" s="29" t="s">
        <v>1623</v>
      </c>
      <c r="D581" s="27">
        <v>35.9</v>
      </c>
      <c r="E581" s="24"/>
      <c r="F581" s="24"/>
      <c r="G581" s="24" t="s">
        <v>1022</v>
      </c>
      <c r="H581" s="24"/>
      <c r="I581" s="24"/>
      <c r="J581" s="24"/>
      <c r="K581" s="24"/>
      <c r="L581" s="24"/>
      <c r="M581" s="5">
        <f t="shared" si="18"/>
        <v>35.9</v>
      </c>
      <c r="N581" s="5">
        <f t="shared" si="19"/>
        <v>0</v>
      </c>
      <c r="O581" s="37"/>
    </row>
    <row r="582" spans="1:15" hidden="1" x14ac:dyDescent="0.3">
      <c r="A582" s="24"/>
      <c r="B582" s="26" t="s">
        <v>610</v>
      </c>
      <c r="C582" s="29" t="s">
        <v>1624</v>
      </c>
      <c r="D582" s="27">
        <v>86.24</v>
      </c>
      <c r="E582" s="24"/>
      <c r="F582" s="24"/>
      <c r="G582" s="24" t="s">
        <v>1022</v>
      </c>
      <c r="H582" s="24"/>
      <c r="I582" s="24"/>
      <c r="J582" s="24"/>
      <c r="K582" s="24"/>
      <c r="L582" s="24"/>
      <c r="M582" s="5">
        <f t="shared" si="18"/>
        <v>86.24</v>
      </c>
      <c r="N582" s="5">
        <f t="shared" si="19"/>
        <v>0</v>
      </c>
      <c r="O582" s="37"/>
    </row>
    <row r="583" spans="1:15" x14ac:dyDescent="0.3">
      <c r="A583" s="24"/>
      <c r="B583" s="26" t="s">
        <v>610</v>
      </c>
      <c r="C583" s="29" t="s">
        <v>1625</v>
      </c>
      <c r="D583" s="27">
        <v>50.3</v>
      </c>
      <c r="E583" s="34"/>
      <c r="F583" s="34"/>
      <c r="G583" s="34" t="s">
        <v>74</v>
      </c>
      <c r="H583" s="24"/>
      <c r="I583" s="24"/>
      <c r="J583" s="24"/>
      <c r="K583" s="24"/>
      <c r="L583" s="24"/>
      <c r="M583" s="5">
        <f t="shared" si="18"/>
        <v>0</v>
      </c>
      <c r="N583" s="5">
        <f t="shared" si="19"/>
        <v>50.3</v>
      </c>
      <c r="O583" s="37"/>
    </row>
    <row r="584" spans="1:15" hidden="1" x14ac:dyDescent="0.3">
      <c r="A584" s="24"/>
      <c r="B584" s="26" t="s">
        <v>610</v>
      </c>
      <c r="C584" s="29" t="s">
        <v>1626</v>
      </c>
      <c r="D584" s="27">
        <v>35.15</v>
      </c>
      <c r="E584" s="24"/>
      <c r="F584" s="24"/>
      <c r="G584" s="24" t="s">
        <v>1022</v>
      </c>
      <c r="H584" s="24"/>
      <c r="I584" s="24"/>
      <c r="J584" s="24"/>
      <c r="K584" s="24"/>
      <c r="L584" s="24"/>
      <c r="M584" s="5">
        <f t="shared" si="18"/>
        <v>35.15</v>
      </c>
      <c r="N584" s="5">
        <f t="shared" si="19"/>
        <v>0</v>
      </c>
      <c r="O584" s="37"/>
    </row>
    <row r="585" spans="1:15" hidden="1" x14ac:dyDescent="0.3">
      <c r="A585" s="24" t="s">
        <v>1627</v>
      </c>
      <c r="B585" s="26" t="s">
        <v>112</v>
      </c>
      <c r="C585" s="29" t="s">
        <v>1628</v>
      </c>
      <c r="D585" s="30">
        <v>36.799999999999997</v>
      </c>
      <c r="E585" s="24"/>
      <c r="F585" s="24"/>
      <c r="G585" s="24" t="s">
        <v>1022</v>
      </c>
      <c r="H585" s="24"/>
      <c r="I585" s="24"/>
      <c r="J585" s="24"/>
      <c r="K585" s="24"/>
      <c r="L585" s="24"/>
      <c r="M585" s="5">
        <f t="shared" si="18"/>
        <v>36.799999999999997</v>
      </c>
      <c r="N585" s="5">
        <f t="shared" si="19"/>
        <v>0</v>
      </c>
      <c r="O585" s="37"/>
    </row>
    <row r="586" spans="1:15" hidden="1" x14ac:dyDescent="0.3">
      <c r="A586" s="24" t="s">
        <v>1627</v>
      </c>
      <c r="B586" s="26" t="s">
        <v>112</v>
      </c>
      <c r="C586" s="29" t="s">
        <v>1629</v>
      </c>
      <c r="D586" s="30">
        <v>22.19</v>
      </c>
      <c r="E586" s="24"/>
      <c r="F586" s="24"/>
      <c r="G586" s="24" t="s">
        <v>1022</v>
      </c>
      <c r="H586" s="24"/>
      <c r="I586" s="24"/>
      <c r="J586" s="24"/>
      <c r="K586" s="24"/>
      <c r="L586" s="24"/>
      <c r="M586" s="5">
        <f t="shared" si="18"/>
        <v>22.19</v>
      </c>
      <c r="N586" s="5">
        <f t="shared" si="19"/>
        <v>0</v>
      </c>
      <c r="O586" s="37"/>
    </row>
    <row r="587" spans="1:15" hidden="1" x14ac:dyDescent="0.3">
      <c r="A587" s="24" t="s">
        <v>1627</v>
      </c>
      <c r="B587" s="26" t="s">
        <v>112</v>
      </c>
      <c r="C587" s="29" t="s">
        <v>1630</v>
      </c>
      <c r="D587" s="30">
        <v>25</v>
      </c>
      <c r="E587" s="24"/>
      <c r="F587" s="24"/>
      <c r="G587" s="24" t="s">
        <v>1022</v>
      </c>
      <c r="H587" s="24"/>
      <c r="I587" s="24"/>
      <c r="J587" s="24"/>
      <c r="K587" s="24"/>
      <c r="L587" s="24"/>
      <c r="M587" s="5">
        <f t="shared" si="18"/>
        <v>25</v>
      </c>
      <c r="N587" s="5">
        <f t="shared" si="19"/>
        <v>0</v>
      </c>
      <c r="O587" s="37"/>
    </row>
    <row r="588" spans="1:15" hidden="1" x14ac:dyDescent="0.3">
      <c r="A588" s="24" t="s">
        <v>1627</v>
      </c>
      <c r="B588" s="26" t="s">
        <v>112</v>
      </c>
      <c r="C588" s="29" t="s">
        <v>1631</v>
      </c>
      <c r="D588" s="136">
        <v>169.28</v>
      </c>
      <c r="E588" s="24"/>
      <c r="F588" s="24"/>
      <c r="G588" s="24" t="s">
        <v>1022</v>
      </c>
      <c r="H588" s="24"/>
      <c r="I588" s="24"/>
      <c r="J588" s="24"/>
      <c r="K588" s="24"/>
      <c r="L588" s="24"/>
      <c r="M588" s="5">
        <f t="shared" si="18"/>
        <v>169.28</v>
      </c>
      <c r="N588" s="5">
        <f t="shared" si="19"/>
        <v>0</v>
      </c>
      <c r="O588" s="37"/>
    </row>
    <row r="589" spans="1:15" hidden="1" x14ac:dyDescent="0.3">
      <c r="A589" s="24" t="s">
        <v>1627</v>
      </c>
      <c r="B589" s="26" t="s">
        <v>112</v>
      </c>
      <c r="C589" s="29" t="s">
        <v>1632</v>
      </c>
      <c r="D589" s="136"/>
      <c r="E589" s="24"/>
      <c r="F589" s="24"/>
      <c r="G589" s="24" t="s">
        <v>1022</v>
      </c>
      <c r="H589" s="24"/>
      <c r="I589" s="24"/>
      <c r="J589" s="24"/>
      <c r="K589" s="24"/>
      <c r="L589" s="24"/>
      <c r="M589" s="5">
        <f t="shared" si="18"/>
        <v>0</v>
      </c>
      <c r="N589" s="5">
        <f t="shared" si="19"/>
        <v>0</v>
      </c>
      <c r="O589" s="37"/>
    </row>
    <row r="590" spans="1:15" hidden="1" x14ac:dyDescent="0.3">
      <c r="A590" s="24" t="s">
        <v>1627</v>
      </c>
      <c r="B590" s="26" t="s">
        <v>112</v>
      </c>
      <c r="C590" s="29" t="s">
        <v>1633</v>
      </c>
      <c r="D590" s="136"/>
      <c r="E590" s="24"/>
      <c r="F590" s="24"/>
      <c r="G590" s="24" t="s">
        <v>1022</v>
      </c>
      <c r="H590" s="24"/>
      <c r="I590" s="24"/>
      <c r="J590" s="24"/>
      <c r="K590" s="24"/>
      <c r="L590" s="24"/>
      <c r="M590" s="5">
        <f t="shared" si="18"/>
        <v>0</v>
      </c>
      <c r="N590" s="5">
        <f t="shared" si="19"/>
        <v>0</v>
      </c>
      <c r="O590" s="37"/>
    </row>
    <row r="591" spans="1:15" hidden="1" x14ac:dyDescent="0.3">
      <c r="A591" s="24" t="s">
        <v>1627</v>
      </c>
      <c r="B591" s="26" t="s">
        <v>112</v>
      </c>
      <c r="C591" s="29" t="s">
        <v>1634</v>
      </c>
      <c r="D591" s="136"/>
      <c r="E591" s="24"/>
      <c r="F591" s="24"/>
      <c r="G591" s="24" t="s">
        <v>1022</v>
      </c>
      <c r="H591" s="24"/>
      <c r="I591" s="24"/>
      <c r="J591" s="24"/>
      <c r="K591" s="24"/>
      <c r="L591" s="24"/>
      <c r="M591" s="5">
        <f t="shared" si="18"/>
        <v>0</v>
      </c>
      <c r="N591" s="5">
        <f t="shared" si="19"/>
        <v>0</v>
      </c>
      <c r="O591" s="37"/>
    </row>
    <row r="592" spans="1:15" hidden="1" x14ac:dyDescent="0.3">
      <c r="A592" s="24" t="s">
        <v>1627</v>
      </c>
      <c r="B592" s="26" t="s">
        <v>112</v>
      </c>
      <c r="C592" s="29" t="s">
        <v>1635</v>
      </c>
      <c r="D592" s="137">
        <v>264.08999999999997</v>
      </c>
      <c r="E592" s="24"/>
      <c r="F592" s="24"/>
      <c r="G592" s="24" t="s">
        <v>1022</v>
      </c>
      <c r="H592" s="24"/>
      <c r="I592" s="24"/>
      <c r="J592" s="24"/>
      <c r="K592" s="24"/>
      <c r="L592" s="24"/>
      <c r="M592" s="5">
        <f t="shared" si="18"/>
        <v>264.08999999999997</v>
      </c>
      <c r="N592" s="5">
        <f t="shared" si="19"/>
        <v>0</v>
      </c>
      <c r="O592" s="37"/>
    </row>
    <row r="593" spans="1:15" hidden="1" x14ac:dyDescent="0.3">
      <c r="A593" s="24" t="s">
        <v>1627</v>
      </c>
      <c r="B593" s="26" t="s">
        <v>112</v>
      </c>
      <c r="C593" s="29" t="s">
        <v>1636</v>
      </c>
      <c r="D593" s="139"/>
      <c r="E593" s="24"/>
      <c r="F593" s="24"/>
      <c r="G593" s="24" t="s">
        <v>1022</v>
      </c>
      <c r="H593" s="24"/>
      <c r="I593" s="24"/>
      <c r="J593" s="24"/>
      <c r="K593" s="24"/>
      <c r="L593" s="24"/>
      <c r="M593" s="5">
        <f t="shared" si="18"/>
        <v>0</v>
      </c>
      <c r="N593" s="5">
        <f t="shared" si="19"/>
        <v>0</v>
      </c>
      <c r="O593" s="37"/>
    </row>
    <row r="594" spans="1:15" hidden="1" x14ac:dyDescent="0.3">
      <c r="A594" s="24" t="s">
        <v>1627</v>
      </c>
      <c r="B594" s="26" t="s">
        <v>112</v>
      </c>
      <c r="C594" s="29" t="s">
        <v>1637</v>
      </c>
      <c r="D594" s="139"/>
      <c r="E594" s="24"/>
      <c r="F594" s="24"/>
      <c r="G594" s="24" t="s">
        <v>1022</v>
      </c>
      <c r="H594" s="24"/>
      <c r="I594" s="24"/>
      <c r="J594" s="24"/>
      <c r="K594" s="24"/>
      <c r="L594" s="24"/>
      <c r="M594" s="5">
        <f t="shared" si="18"/>
        <v>0</v>
      </c>
      <c r="N594" s="5">
        <f t="shared" si="19"/>
        <v>0</v>
      </c>
      <c r="O594" s="37"/>
    </row>
    <row r="595" spans="1:15" hidden="1" x14ac:dyDescent="0.3">
      <c r="A595" s="24" t="s">
        <v>1627</v>
      </c>
      <c r="B595" s="26" t="s">
        <v>112</v>
      </c>
      <c r="C595" s="29" t="s">
        <v>1638</v>
      </c>
      <c r="D595" s="139"/>
      <c r="E595" s="24"/>
      <c r="F595" s="24"/>
      <c r="G595" s="24" t="s">
        <v>1022</v>
      </c>
      <c r="H595" s="24"/>
      <c r="I595" s="24"/>
      <c r="J595" s="24"/>
      <c r="K595" s="24"/>
      <c r="L595" s="24"/>
      <c r="M595" s="5">
        <f t="shared" si="18"/>
        <v>0</v>
      </c>
      <c r="N595" s="5">
        <f t="shared" si="19"/>
        <v>0</v>
      </c>
      <c r="O595" s="37"/>
    </row>
    <row r="596" spans="1:15" hidden="1" x14ac:dyDescent="0.3">
      <c r="A596" s="24" t="s">
        <v>1627</v>
      </c>
      <c r="B596" s="26" t="s">
        <v>112</v>
      </c>
      <c r="C596" s="29" t="s">
        <v>1639</v>
      </c>
      <c r="D596" s="139"/>
      <c r="E596" s="24"/>
      <c r="F596" s="24"/>
      <c r="G596" s="24" t="s">
        <v>1022</v>
      </c>
      <c r="H596" s="24"/>
      <c r="I596" s="24"/>
      <c r="J596" s="24"/>
      <c r="K596" s="24"/>
      <c r="L596" s="24"/>
      <c r="M596" s="5">
        <f t="shared" si="18"/>
        <v>0</v>
      </c>
      <c r="N596" s="5">
        <f t="shared" si="19"/>
        <v>0</v>
      </c>
      <c r="O596" s="37"/>
    </row>
    <row r="597" spans="1:15" hidden="1" x14ac:dyDescent="0.3">
      <c r="A597" s="24" t="s">
        <v>1627</v>
      </c>
      <c r="B597" s="26" t="s">
        <v>112</v>
      </c>
      <c r="C597" s="29" t="s">
        <v>1640</v>
      </c>
      <c r="D597" s="139"/>
      <c r="E597" s="24"/>
      <c r="F597" s="24"/>
      <c r="G597" s="24" t="s">
        <v>1022</v>
      </c>
      <c r="H597" s="24"/>
      <c r="I597" s="24"/>
      <c r="J597" s="24"/>
      <c r="K597" s="24"/>
      <c r="L597" s="24"/>
      <c r="M597" s="5">
        <f t="shared" si="18"/>
        <v>0</v>
      </c>
      <c r="N597" s="5">
        <f t="shared" si="19"/>
        <v>0</v>
      </c>
      <c r="O597" s="37"/>
    </row>
    <row r="598" spans="1:15" hidden="1" x14ac:dyDescent="0.3">
      <c r="A598" s="24" t="s">
        <v>1627</v>
      </c>
      <c r="B598" s="26" t="s">
        <v>112</v>
      </c>
      <c r="C598" s="29" t="s">
        <v>1641</v>
      </c>
      <c r="D598" s="139"/>
      <c r="E598" s="24"/>
      <c r="F598" s="24"/>
      <c r="G598" s="24" t="s">
        <v>1022</v>
      </c>
      <c r="H598" s="24"/>
      <c r="I598" s="24"/>
      <c r="J598" s="24"/>
      <c r="K598" s="24"/>
      <c r="L598" s="24"/>
      <c r="M598" s="5">
        <f t="shared" si="18"/>
        <v>0</v>
      </c>
      <c r="N598" s="5">
        <f t="shared" si="19"/>
        <v>0</v>
      </c>
      <c r="O598" s="37"/>
    </row>
    <row r="599" spans="1:15" hidden="1" x14ac:dyDescent="0.3">
      <c r="A599" s="24" t="s">
        <v>1627</v>
      </c>
      <c r="B599" s="26" t="s">
        <v>112</v>
      </c>
      <c r="C599" s="29" t="s">
        <v>1642</v>
      </c>
      <c r="D599" s="139"/>
      <c r="E599" s="24"/>
      <c r="F599" s="24"/>
      <c r="G599" s="24" t="s">
        <v>1022</v>
      </c>
      <c r="H599" s="24"/>
      <c r="I599" s="24"/>
      <c r="J599" s="24"/>
      <c r="K599" s="24"/>
      <c r="L599" s="24"/>
      <c r="M599" s="5">
        <f t="shared" si="18"/>
        <v>0</v>
      </c>
      <c r="N599" s="5">
        <f t="shared" si="19"/>
        <v>0</v>
      </c>
      <c r="O599" s="37"/>
    </row>
    <row r="600" spans="1:15" hidden="1" x14ac:dyDescent="0.3">
      <c r="A600" s="24" t="s">
        <v>1627</v>
      </c>
      <c r="B600" s="26" t="s">
        <v>112</v>
      </c>
      <c r="C600" s="29" t="s">
        <v>777</v>
      </c>
      <c r="D600" s="138"/>
      <c r="E600" s="24"/>
      <c r="F600" s="24"/>
      <c r="G600" s="24" t="s">
        <v>1022</v>
      </c>
      <c r="H600" s="24"/>
      <c r="I600" s="24"/>
      <c r="J600" s="24"/>
      <c r="K600" s="24"/>
      <c r="L600" s="24"/>
      <c r="M600" s="5">
        <f t="shared" si="18"/>
        <v>0</v>
      </c>
      <c r="N600" s="5">
        <f t="shared" si="19"/>
        <v>0</v>
      </c>
      <c r="O600" s="37"/>
    </row>
    <row r="601" spans="1:15" hidden="1" x14ac:dyDescent="0.3">
      <c r="A601" s="24" t="s">
        <v>1627</v>
      </c>
      <c r="B601" s="26" t="s">
        <v>112</v>
      </c>
      <c r="C601" s="29" t="s">
        <v>1643</v>
      </c>
      <c r="D601" s="136">
        <v>38.44</v>
      </c>
      <c r="E601" s="24"/>
      <c r="F601" s="24"/>
      <c r="G601" s="24" t="s">
        <v>1022</v>
      </c>
      <c r="H601" s="24"/>
      <c r="I601" s="24"/>
      <c r="J601" s="24"/>
      <c r="K601" s="24"/>
      <c r="L601" s="24"/>
      <c r="M601" s="5">
        <f t="shared" si="18"/>
        <v>38.44</v>
      </c>
      <c r="N601" s="5">
        <f t="shared" si="19"/>
        <v>0</v>
      </c>
      <c r="O601" s="37"/>
    </row>
    <row r="602" spans="1:15" hidden="1" x14ac:dyDescent="0.3">
      <c r="A602" s="24" t="s">
        <v>1627</v>
      </c>
      <c r="B602" s="26" t="s">
        <v>112</v>
      </c>
      <c r="C602" s="29" t="s">
        <v>1644</v>
      </c>
      <c r="D602" s="136"/>
      <c r="E602" s="24"/>
      <c r="F602" s="24"/>
      <c r="G602" s="24" t="s">
        <v>1022</v>
      </c>
      <c r="H602" s="24"/>
      <c r="I602" s="24"/>
      <c r="J602" s="24"/>
      <c r="K602" s="24"/>
      <c r="L602" s="24"/>
      <c r="M602" s="5">
        <f t="shared" si="18"/>
        <v>0</v>
      </c>
      <c r="N602" s="5">
        <f t="shared" si="19"/>
        <v>0</v>
      </c>
      <c r="O602" s="37"/>
    </row>
    <row r="603" spans="1:15" hidden="1" x14ac:dyDescent="0.3">
      <c r="A603" s="24" t="s">
        <v>1645</v>
      </c>
      <c r="B603" s="26" t="s">
        <v>112</v>
      </c>
      <c r="C603" s="29" t="s">
        <v>1646</v>
      </c>
      <c r="D603" s="30">
        <v>115.88</v>
      </c>
      <c r="E603" s="24"/>
      <c r="F603" s="24"/>
      <c r="G603" s="24" t="s">
        <v>1022</v>
      </c>
      <c r="H603" s="24"/>
      <c r="I603" s="24"/>
      <c r="J603" s="24"/>
      <c r="K603" s="24"/>
      <c r="L603" s="24"/>
      <c r="M603" s="5">
        <f t="shared" si="18"/>
        <v>115.88</v>
      </c>
      <c r="N603" s="5">
        <f t="shared" si="19"/>
        <v>0</v>
      </c>
      <c r="O603" s="37"/>
    </row>
    <row r="604" spans="1:15" hidden="1" x14ac:dyDescent="0.3">
      <c r="A604" s="24" t="s">
        <v>1645</v>
      </c>
      <c r="B604" s="26" t="s">
        <v>112</v>
      </c>
      <c r="C604" s="29" t="s">
        <v>1647</v>
      </c>
      <c r="D604" s="136">
        <v>146.82</v>
      </c>
      <c r="E604" s="24"/>
      <c r="F604" s="24"/>
      <c r="G604" s="133" t="s">
        <v>1022</v>
      </c>
      <c r="H604" s="24"/>
      <c r="I604" s="24"/>
      <c r="J604" s="24"/>
      <c r="K604" s="24"/>
      <c r="L604" s="24"/>
      <c r="M604" s="5">
        <f t="shared" si="18"/>
        <v>146.82</v>
      </c>
      <c r="N604" s="5">
        <f t="shared" si="19"/>
        <v>0</v>
      </c>
      <c r="O604" s="37"/>
    </row>
    <row r="605" spans="1:15" hidden="1" x14ac:dyDescent="0.3">
      <c r="A605" s="24" t="s">
        <v>1627</v>
      </c>
      <c r="B605" s="26" t="s">
        <v>112</v>
      </c>
      <c r="C605" s="29" t="s">
        <v>1648</v>
      </c>
      <c r="D605" s="136"/>
      <c r="E605" s="24"/>
      <c r="F605" s="24"/>
      <c r="G605" s="134"/>
      <c r="H605" s="24"/>
      <c r="I605" s="24"/>
      <c r="J605" s="24"/>
      <c r="K605" s="24"/>
      <c r="L605" s="24"/>
      <c r="M605" s="5">
        <f t="shared" si="18"/>
        <v>0</v>
      </c>
      <c r="N605" s="5">
        <f t="shared" si="19"/>
        <v>0</v>
      </c>
      <c r="O605" s="37"/>
    </row>
    <row r="606" spans="1:15" hidden="1" x14ac:dyDescent="0.3">
      <c r="A606" s="24" t="s">
        <v>1645</v>
      </c>
      <c r="B606" s="26" t="s">
        <v>112</v>
      </c>
      <c r="C606" s="29" t="s">
        <v>1649</v>
      </c>
      <c r="D606" s="136"/>
      <c r="E606" s="40"/>
      <c r="F606" s="40"/>
      <c r="G606" s="134"/>
      <c r="H606" s="24"/>
      <c r="I606" s="24"/>
      <c r="J606" s="24"/>
      <c r="K606" s="24"/>
      <c r="L606" s="24"/>
      <c r="M606" s="5">
        <f t="shared" si="18"/>
        <v>0</v>
      </c>
      <c r="N606" s="5">
        <f t="shared" si="19"/>
        <v>0</v>
      </c>
      <c r="O606" s="37"/>
    </row>
    <row r="607" spans="1:15" hidden="1" x14ac:dyDescent="0.3">
      <c r="A607" s="24" t="s">
        <v>1645</v>
      </c>
      <c r="B607" s="26" t="s">
        <v>112</v>
      </c>
      <c r="C607" s="29" t="s">
        <v>1650</v>
      </c>
      <c r="D607" s="136"/>
      <c r="E607" s="41"/>
      <c r="F607" s="41"/>
      <c r="G607" s="134"/>
      <c r="H607" s="24"/>
      <c r="I607" s="24"/>
      <c r="J607" s="24"/>
      <c r="K607" s="24"/>
      <c r="L607" s="24"/>
      <c r="M607" s="5">
        <f t="shared" si="18"/>
        <v>0</v>
      </c>
      <c r="N607" s="5">
        <f t="shared" si="19"/>
        <v>0</v>
      </c>
      <c r="O607" s="37"/>
    </row>
    <row r="608" spans="1:15" hidden="1" x14ac:dyDescent="0.3">
      <c r="A608" s="24" t="s">
        <v>1645</v>
      </c>
      <c r="B608" s="26" t="s">
        <v>112</v>
      </c>
      <c r="C608" s="29" t="s">
        <v>1651</v>
      </c>
      <c r="D608" s="136"/>
      <c r="E608" s="41"/>
      <c r="F608" s="41"/>
      <c r="G608" s="135"/>
      <c r="H608" s="24"/>
      <c r="I608" s="24"/>
      <c r="J608" s="24"/>
      <c r="K608" s="24"/>
      <c r="L608" s="24"/>
      <c r="M608" s="5">
        <f t="shared" si="18"/>
        <v>0</v>
      </c>
      <c r="N608" s="5">
        <f t="shared" si="19"/>
        <v>0</v>
      </c>
      <c r="O608" s="37"/>
    </row>
    <row r="609" spans="1:15" hidden="1" x14ac:dyDescent="0.3">
      <c r="A609" s="24" t="s">
        <v>1645</v>
      </c>
      <c r="B609" s="26" t="s">
        <v>112</v>
      </c>
      <c r="C609" s="29" t="s">
        <v>1652</v>
      </c>
      <c r="D609" s="30">
        <v>30.82</v>
      </c>
      <c r="E609" s="42"/>
      <c r="F609" s="42"/>
      <c r="G609" s="24" t="s">
        <v>1022</v>
      </c>
      <c r="H609" s="24"/>
      <c r="I609" s="24"/>
      <c r="J609" s="24"/>
      <c r="K609" s="24"/>
      <c r="L609" s="24"/>
      <c r="M609" s="5">
        <f t="shared" si="18"/>
        <v>30.82</v>
      </c>
      <c r="N609" s="5">
        <f t="shared" si="19"/>
        <v>0</v>
      </c>
      <c r="O609" s="37"/>
    </row>
    <row r="610" spans="1:15" hidden="1" x14ac:dyDescent="0.3">
      <c r="A610" s="24" t="s">
        <v>1645</v>
      </c>
      <c r="B610" s="26" t="s">
        <v>112</v>
      </c>
      <c r="C610" s="29" t="s">
        <v>1653</v>
      </c>
      <c r="D610" s="30">
        <v>46</v>
      </c>
      <c r="E610" s="40"/>
      <c r="F610" s="40"/>
      <c r="G610" s="24" t="s">
        <v>1022</v>
      </c>
      <c r="H610" s="24"/>
      <c r="I610" s="24"/>
      <c r="J610" s="24"/>
      <c r="K610" s="24"/>
      <c r="L610" s="24"/>
      <c r="M610" s="5">
        <f t="shared" si="18"/>
        <v>46</v>
      </c>
      <c r="N610" s="5">
        <f t="shared" si="19"/>
        <v>0</v>
      </c>
      <c r="O610" s="37"/>
    </row>
    <row r="611" spans="1:15" hidden="1" x14ac:dyDescent="0.3">
      <c r="A611" s="24" t="s">
        <v>1645</v>
      </c>
      <c r="B611" s="26" t="s">
        <v>112</v>
      </c>
      <c r="C611" s="29" t="s">
        <v>1654</v>
      </c>
      <c r="D611" s="30">
        <v>43.35</v>
      </c>
      <c r="E611" s="41"/>
      <c r="F611" s="41"/>
      <c r="G611" s="24" t="s">
        <v>1022</v>
      </c>
      <c r="H611" s="24"/>
      <c r="I611" s="24"/>
      <c r="J611" s="24"/>
      <c r="K611" s="24"/>
      <c r="L611" s="24"/>
      <c r="M611" s="5">
        <f t="shared" si="18"/>
        <v>43.35</v>
      </c>
      <c r="N611" s="5">
        <f t="shared" si="19"/>
        <v>0</v>
      </c>
      <c r="O611" s="37"/>
    </row>
    <row r="612" spans="1:15" hidden="1" x14ac:dyDescent="0.3">
      <c r="A612" s="24" t="s">
        <v>1645</v>
      </c>
      <c r="B612" s="26" t="s">
        <v>112</v>
      </c>
      <c r="C612" s="29" t="s">
        <v>1655</v>
      </c>
      <c r="D612" s="30">
        <v>43.35</v>
      </c>
      <c r="E612" s="42"/>
      <c r="F612" s="42"/>
      <c r="G612" s="24" t="s">
        <v>1022</v>
      </c>
      <c r="H612" s="24"/>
      <c r="I612" s="24"/>
      <c r="J612" s="24"/>
      <c r="K612" s="24"/>
      <c r="L612" s="24"/>
      <c r="M612" s="5">
        <f t="shared" si="18"/>
        <v>43.35</v>
      </c>
      <c r="N612" s="5">
        <f t="shared" si="19"/>
        <v>0</v>
      </c>
      <c r="O612" s="37"/>
    </row>
    <row r="613" spans="1:15" hidden="1" x14ac:dyDescent="0.3">
      <c r="A613" s="24" t="s">
        <v>1645</v>
      </c>
      <c r="B613" s="26" t="s">
        <v>112</v>
      </c>
      <c r="C613" s="29" t="s">
        <v>1656</v>
      </c>
      <c r="D613" s="30">
        <v>43.68</v>
      </c>
      <c r="E613" s="40"/>
      <c r="F613" s="40"/>
      <c r="G613" s="24" t="s">
        <v>1022</v>
      </c>
      <c r="H613" s="24"/>
      <c r="I613" s="24"/>
      <c r="J613" s="24"/>
      <c r="K613" s="24"/>
      <c r="L613" s="24"/>
      <c r="M613" s="5">
        <f t="shared" si="18"/>
        <v>43.68</v>
      </c>
      <c r="N613" s="5">
        <f t="shared" si="19"/>
        <v>0</v>
      </c>
      <c r="O613" s="37"/>
    </row>
    <row r="614" spans="1:15" hidden="1" x14ac:dyDescent="0.3">
      <c r="A614" s="24" t="s">
        <v>1645</v>
      </c>
      <c r="B614" s="26" t="s">
        <v>112</v>
      </c>
      <c r="C614" s="29" t="s">
        <v>1657</v>
      </c>
      <c r="D614" s="30">
        <v>60.52</v>
      </c>
      <c r="E614" s="41"/>
      <c r="F614" s="41"/>
      <c r="G614" s="24" t="s">
        <v>1022</v>
      </c>
      <c r="H614" s="24"/>
      <c r="I614" s="24"/>
      <c r="J614" s="24"/>
      <c r="K614" s="24"/>
      <c r="L614" s="24"/>
      <c r="M614" s="5">
        <f t="shared" si="18"/>
        <v>60.52</v>
      </c>
      <c r="N614" s="5">
        <f t="shared" si="19"/>
        <v>0</v>
      </c>
      <c r="O614" s="37"/>
    </row>
    <row r="615" spans="1:15" hidden="1" x14ac:dyDescent="0.3">
      <c r="A615" s="24" t="s">
        <v>1645</v>
      </c>
      <c r="B615" s="26" t="s">
        <v>112</v>
      </c>
      <c r="C615" s="29" t="s">
        <v>1658</v>
      </c>
      <c r="D615" s="30">
        <v>20.2</v>
      </c>
      <c r="E615" s="41"/>
      <c r="F615" s="41"/>
      <c r="G615" s="24" t="s">
        <v>1022</v>
      </c>
      <c r="H615" s="24"/>
      <c r="I615" s="24"/>
      <c r="J615" s="24"/>
      <c r="K615" s="24"/>
      <c r="L615" s="24"/>
      <c r="M615" s="5">
        <f t="shared" si="18"/>
        <v>20.2</v>
      </c>
      <c r="N615" s="5">
        <f t="shared" si="19"/>
        <v>0</v>
      </c>
      <c r="O615" s="37"/>
    </row>
    <row r="616" spans="1:15" hidden="1" x14ac:dyDescent="0.3">
      <c r="A616" s="24" t="s">
        <v>1645</v>
      </c>
      <c r="B616" s="26" t="s">
        <v>112</v>
      </c>
      <c r="C616" s="29" t="s">
        <v>1659</v>
      </c>
      <c r="D616" s="30">
        <v>17.3</v>
      </c>
      <c r="E616" s="41"/>
      <c r="F616" s="41"/>
      <c r="G616" s="24" t="s">
        <v>1022</v>
      </c>
      <c r="H616" s="24"/>
      <c r="I616" s="24"/>
      <c r="J616" s="24"/>
      <c r="K616" s="24"/>
      <c r="L616" s="24"/>
      <c r="M616" s="5">
        <f t="shared" si="18"/>
        <v>17.3</v>
      </c>
      <c r="N616" s="5">
        <f t="shared" si="19"/>
        <v>0</v>
      </c>
      <c r="O616" s="37"/>
    </row>
    <row r="617" spans="1:15" hidden="1" x14ac:dyDescent="0.3">
      <c r="A617" s="24" t="s">
        <v>1645</v>
      </c>
      <c r="B617" s="26" t="s">
        <v>112</v>
      </c>
      <c r="C617" s="29" t="s">
        <v>1660</v>
      </c>
      <c r="D617" s="30">
        <v>32.76</v>
      </c>
      <c r="E617" s="41"/>
      <c r="F617" s="41"/>
      <c r="G617" s="24" t="s">
        <v>1022</v>
      </c>
      <c r="H617" s="24"/>
      <c r="I617" s="24"/>
      <c r="J617" s="24"/>
      <c r="K617" s="24"/>
      <c r="L617" s="24"/>
      <c r="M617" s="5">
        <f t="shared" si="18"/>
        <v>32.76</v>
      </c>
      <c r="N617" s="5">
        <f t="shared" si="19"/>
        <v>0</v>
      </c>
      <c r="O617" s="37"/>
    </row>
    <row r="618" spans="1:15" x14ac:dyDescent="0.3">
      <c r="A618" s="24" t="s">
        <v>1645</v>
      </c>
      <c r="B618" s="26" t="s">
        <v>112</v>
      </c>
      <c r="C618" s="29" t="s">
        <v>1661</v>
      </c>
      <c r="D618" s="30">
        <v>33.4</v>
      </c>
      <c r="E618" s="41"/>
      <c r="F618" s="41"/>
      <c r="G618" s="34" t="s">
        <v>74</v>
      </c>
      <c r="H618" s="24"/>
      <c r="I618" s="24"/>
      <c r="J618" s="24"/>
      <c r="K618" s="24"/>
      <c r="L618" s="24"/>
      <c r="M618" s="5">
        <f t="shared" si="18"/>
        <v>0</v>
      </c>
      <c r="N618" s="5">
        <f t="shared" si="19"/>
        <v>33.4</v>
      </c>
      <c r="O618" s="37"/>
    </row>
    <row r="619" spans="1:15" hidden="1" x14ac:dyDescent="0.3">
      <c r="A619" s="24" t="s">
        <v>1645</v>
      </c>
      <c r="B619" s="26" t="s">
        <v>112</v>
      </c>
      <c r="C619" s="29" t="s">
        <v>1662</v>
      </c>
      <c r="D619" s="30">
        <v>28.22</v>
      </c>
      <c r="E619" s="42"/>
      <c r="F619" s="42"/>
      <c r="G619" s="24" t="s">
        <v>1022</v>
      </c>
      <c r="H619" s="24"/>
      <c r="I619" s="24"/>
      <c r="J619" s="24"/>
      <c r="K619" s="24"/>
      <c r="L619" s="24"/>
      <c r="M619" s="5">
        <f t="shared" si="18"/>
        <v>28.22</v>
      </c>
      <c r="N619" s="5">
        <f t="shared" si="19"/>
        <v>0</v>
      </c>
      <c r="O619" s="37"/>
    </row>
    <row r="620" spans="1:15" hidden="1" x14ac:dyDescent="0.3">
      <c r="A620" s="24" t="s">
        <v>1627</v>
      </c>
      <c r="B620" s="26" t="s">
        <v>112</v>
      </c>
      <c r="C620" s="29" t="s">
        <v>1663</v>
      </c>
      <c r="D620" s="30">
        <v>28.22</v>
      </c>
      <c r="E620" s="40"/>
      <c r="F620" s="40"/>
      <c r="G620" s="24" t="s">
        <v>1022</v>
      </c>
      <c r="H620" s="24"/>
      <c r="I620" s="24"/>
      <c r="J620" s="24"/>
      <c r="K620" s="24"/>
      <c r="L620" s="24"/>
      <c r="M620" s="5">
        <f t="shared" si="18"/>
        <v>28.22</v>
      </c>
      <c r="N620" s="5">
        <f t="shared" si="19"/>
        <v>0</v>
      </c>
      <c r="O620" s="37"/>
    </row>
    <row r="621" spans="1:15" hidden="1" x14ac:dyDescent="0.3">
      <c r="A621" s="24" t="s">
        <v>1627</v>
      </c>
      <c r="B621" s="26" t="s">
        <v>112</v>
      </c>
      <c r="C621" s="29" t="s">
        <v>1664</v>
      </c>
      <c r="D621" s="30">
        <v>28.56</v>
      </c>
      <c r="E621" s="41"/>
      <c r="F621" s="41"/>
      <c r="G621" s="24" t="s">
        <v>1022</v>
      </c>
      <c r="H621" s="24"/>
      <c r="I621" s="24"/>
      <c r="J621" s="24"/>
      <c r="K621" s="24"/>
      <c r="L621" s="24"/>
      <c r="M621" s="5">
        <f t="shared" si="18"/>
        <v>28.56</v>
      </c>
      <c r="N621" s="5">
        <f t="shared" si="19"/>
        <v>0</v>
      </c>
      <c r="O621" s="37"/>
    </row>
    <row r="622" spans="1:15" hidden="1" x14ac:dyDescent="0.3">
      <c r="A622" s="24" t="s">
        <v>1627</v>
      </c>
      <c r="B622" s="26" t="s">
        <v>112</v>
      </c>
      <c r="C622" s="29" t="s">
        <v>1665</v>
      </c>
      <c r="D622" s="30">
        <v>24.82</v>
      </c>
      <c r="E622" s="41"/>
      <c r="F622" s="41"/>
      <c r="G622" s="24" t="s">
        <v>1022</v>
      </c>
      <c r="H622" s="24"/>
      <c r="I622" s="24"/>
      <c r="J622" s="24"/>
      <c r="K622" s="24"/>
      <c r="L622" s="24"/>
      <c r="M622" s="5">
        <f t="shared" si="18"/>
        <v>24.82</v>
      </c>
      <c r="N622" s="5">
        <f t="shared" si="19"/>
        <v>0</v>
      </c>
      <c r="O622" s="37"/>
    </row>
    <row r="623" spans="1:15" hidden="1" x14ac:dyDescent="0.3">
      <c r="A623" s="24" t="s">
        <v>1627</v>
      </c>
      <c r="B623" s="26" t="s">
        <v>112</v>
      </c>
      <c r="C623" s="29" t="s">
        <v>779</v>
      </c>
      <c r="D623" s="30">
        <v>30.94</v>
      </c>
      <c r="E623" s="41"/>
      <c r="F623" s="41"/>
      <c r="G623" s="24" t="s">
        <v>1022</v>
      </c>
      <c r="H623" s="24"/>
      <c r="I623" s="24"/>
      <c r="J623" s="24"/>
      <c r="K623" s="24"/>
      <c r="L623" s="24"/>
      <c r="M623" s="5">
        <f t="shared" si="18"/>
        <v>30.94</v>
      </c>
      <c r="N623" s="5">
        <f t="shared" si="19"/>
        <v>0</v>
      </c>
      <c r="O623" s="37"/>
    </row>
    <row r="624" spans="1:15" hidden="1" x14ac:dyDescent="0.3">
      <c r="A624" s="24" t="s">
        <v>1627</v>
      </c>
      <c r="B624" s="26" t="s">
        <v>112</v>
      </c>
      <c r="C624" s="29" t="s">
        <v>780</v>
      </c>
      <c r="D624" s="30">
        <v>38.049999999999997</v>
      </c>
      <c r="E624" s="42"/>
      <c r="F624" s="42"/>
      <c r="G624" s="24" t="s">
        <v>1022</v>
      </c>
      <c r="H624" s="24"/>
      <c r="I624" s="24"/>
      <c r="J624" s="24"/>
      <c r="K624" s="24"/>
      <c r="L624" s="24"/>
      <c r="M624" s="5">
        <f t="shared" si="18"/>
        <v>38.049999999999997</v>
      </c>
      <c r="N624" s="5">
        <f t="shared" si="19"/>
        <v>0</v>
      </c>
      <c r="O624" s="37"/>
    </row>
    <row r="625" spans="1:15" hidden="1" x14ac:dyDescent="0.3">
      <c r="A625" s="24" t="s">
        <v>1627</v>
      </c>
      <c r="B625" s="26" t="s">
        <v>112</v>
      </c>
      <c r="C625" s="29" t="s">
        <v>781</v>
      </c>
      <c r="D625" s="30">
        <v>35.78</v>
      </c>
      <c r="E625" s="24"/>
      <c r="F625" s="24"/>
      <c r="G625" s="24" t="s">
        <v>1022</v>
      </c>
      <c r="H625" s="24"/>
      <c r="I625" s="24"/>
      <c r="J625" s="24"/>
      <c r="K625" s="24"/>
      <c r="L625" s="24"/>
      <c r="M625" s="5">
        <f t="shared" si="18"/>
        <v>35.78</v>
      </c>
      <c r="N625" s="5">
        <f t="shared" si="19"/>
        <v>0</v>
      </c>
      <c r="O625" s="37"/>
    </row>
    <row r="626" spans="1:15" hidden="1" x14ac:dyDescent="0.3">
      <c r="A626" s="24" t="s">
        <v>1645</v>
      </c>
      <c r="B626" s="26" t="s">
        <v>112</v>
      </c>
      <c r="C626" s="29" t="s">
        <v>1666</v>
      </c>
      <c r="D626" s="30">
        <v>126.7</v>
      </c>
      <c r="E626" s="24"/>
      <c r="F626" s="24"/>
      <c r="G626" s="24" t="s">
        <v>1022</v>
      </c>
      <c r="H626" s="24"/>
      <c r="I626" s="24"/>
      <c r="J626" s="24"/>
      <c r="K626" s="24"/>
      <c r="L626" s="24"/>
      <c r="M626" s="5">
        <f t="shared" si="18"/>
        <v>126.7</v>
      </c>
      <c r="N626" s="5">
        <f t="shared" si="19"/>
        <v>0</v>
      </c>
      <c r="O626" s="37"/>
    </row>
    <row r="627" spans="1:15" hidden="1" x14ac:dyDescent="0.3">
      <c r="A627" s="24" t="s">
        <v>1627</v>
      </c>
      <c r="B627" s="26" t="s">
        <v>112</v>
      </c>
      <c r="C627" s="29"/>
      <c r="D627" s="30"/>
      <c r="E627" s="24"/>
      <c r="F627" s="24"/>
      <c r="G627" s="24" t="s">
        <v>1022</v>
      </c>
      <c r="H627" s="24"/>
      <c r="I627" s="24"/>
      <c r="J627" s="24"/>
      <c r="K627" s="24"/>
      <c r="L627" s="24"/>
      <c r="M627" s="5">
        <f t="shared" si="18"/>
        <v>0</v>
      </c>
      <c r="N627" s="5">
        <f t="shared" si="19"/>
        <v>0</v>
      </c>
      <c r="O627" s="37"/>
    </row>
    <row r="628" spans="1:15" hidden="1" x14ac:dyDescent="0.3">
      <c r="A628" s="24" t="s">
        <v>1627</v>
      </c>
      <c r="B628" s="26" t="s">
        <v>112</v>
      </c>
      <c r="C628" s="29"/>
      <c r="D628" s="30"/>
      <c r="E628" s="24"/>
      <c r="F628" s="24"/>
      <c r="G628" s="24" t="s">
        <v>1022</v>
      </c>
      <c r="H628" s="24"/>
      <c r="I628" s="24"/>
      <c r="J628" s="24"/>
      <c r="K628" s="24"/>
      <c r="L628" s="24"/>
      <c r="M628" s="5">
        <f t="shared" si="18"/>
        <v>0</v>
      </c>
      <c r="N628" s="5">
        <f t="shared" si="19"/>
        <v>0</v>
      </c>
      <c r="O628" s="37"/>
    </row>
    <row r="629" spans="1:15" hidden="1" x14ac:dyDescent="0.3">
      <c r="A629" s="24" t="s">
        <v>1627</v>
      </c>
      <c r="B629" s="26" t="s">
        <v>112</v>
      </c>
      <c r="C629" s="29" t="s">
        <v>1667</v>
      </c>
      <c r="D629" s="30">
        <v>182.1</v>
      </c>
      <c r="E629" s="24"/>
      <c r="F629" s="24"/>
      <c r="G629" s="24" t="s">
        <v>1022</v>
      </c>
      <c r="H629" s="24"/>
      <c r="I629" s="24"/>
      <c r="J629" s="24"/>
      <c r="K629" s="24"/>
      <c r="L629" s="24"/>
      <c r="M629" s="5">
        <f t="shared" si="18"/>
        <v>182.1</v>
      </c>
      <c r="N629" s="5">
        <f t="shared" si="19"/>
        <v>0</v>
      </c>
      <c r="O629" s="37"/>
    </row>
    <row r="630" spans="1:15" hidden="1" x14ac:dyDescent="0.3">
      <c r="A630" s="24" t="s">
        <v>1627</v>
      </c>
      <c r="B630" s="26" t="s">
        <v>112</v>
      </c>
      <c r="C630" s="29"/>
      <c r="D630" s="30"/>
      <c r="E630" s="24"/>
      <c r="F630" s="24"/>
      <c r="G630" s="24" t="s">
        <v>1022</v>
      </c>
      <c r="H630" s="24"/>
      <c r="I630" s="24"/>
      <c r="J630" s="24"/>
      <c r="K630" s="24"/>
      <c r="L630" s="24"/>
      <c r="M630" s="5">
        <f t="shared" si="18"/>
        <v>0</v>
      </c>
      <c r="N630" s="5">
        <f t="shared" si="19"/>
        <v>0</v>
      </c>
      <c r="O630" s="37"/>
    </row>
    <row r="631" spans="1:15" hidden="1" x14ac:dyDescent="0.3">
      <c r="A631" s="24" t="s">
        <v>1627</v>
      </c>
      <c r="B631" s="26" t="s">
        <v>112</v>
      </c>
      <c r="C631" s="29"/>
      <c r="D631" s="30"/>
      <c r="E631" s="24"/>
      <c r="F631" s="24"/>
      <c r="G631" s="24" t="s">
        <v>1022</v>
      </c>
      <c r="H631" s="24"/>
      <c r="I631" s="24"/>
      <c r="J631" s="24"/>
      <c r="K631" s="24"/>
      <c r="L631" s="24"/>
      <c r="M631" s="5">
        <f t="shared" si="18"/>
        <v>0</v>
      </c>
      <c r="N631" s="5">
        <f t="shared" si="19"/>
        <v>0</v>
      </c>
      <c r="O631" s="37"/>
    </row>
    <row r="632" spans="1:15" hidden="1" x14ac:dyDescent="0.3">
      <c r="A632" s="24" t="s">
        <v>1627</v>
      </c>
      <c r="B632" s="26" t="s">
        <v>112</v>
      </c>
      <c r="C632" s="29"/>
      <c r="D632" s="30"/>
      <c r="E632" s="24"/>
      <c r="F632" s="24"/>
      <c r="G632" s="24" t="s">
        <v>1022</v>
      </c>
      <c r="H632" s="24"/>
      <c r="I632" s="24"/>
      <c r="J632" s="24"/>
      <c r="K632" s="24"/>
      <c r="L632" s="24"/>
      <c r="M632" s="5">
        <f t="shared" si="18"/>
        <v>0</v>
      </c>
      <c r="N632" s="5">
        <f t="shared" si="19"/>
        <v>0</v>
      </c>
      <c r="O632" s="37"/>
    </row>
    <row r="633" spans="1:15" hidden="1" x14ac:dyDescent="0.3">
      <c r="A633" s="24" t="s">
        <v>1627</v>
      </c>
      <c r="B633" s="26" t="s">
        <v>112</v>
      </c>
      <c r="C633" s="29"/>
      <c r="D633" s="30"/>
      <c r="E633" s="24"/>
      <c r="F633" s="24"/>
      <c r="G633" s="24" t="s">
        <v>1022</v>
      </c>
      <c r="H633" s="24"/>
      <c r="I633" s="24"/>
      <c r="J633" s="24"/>
      <c r="K633" s="24"/>
      <c r="L633" s="24"/>
      <c r="M633" s="5">
        <f t="shared" si="18"/>
        <v>0</v>
      </c>
      <c r="N633" s="5">
        <f t="shared" si="19"/>
        <v>0</v>
      </c>
      <c r="O633" s="37"/>
    </row>
    <row r="634" spans="1:15" hidden="1" x14ac:dyDescent="0.3">
      <c r="A634" s="24" t="s">
        <v>1627</v>
      </c>
      <c r="B634" s="26" t="s">
        <v>112</v>
      </c>
      <c r="C634" s="29"/>
      <c r="D634" s="30"/>
      <c r="E634" s="24"/>
      <c r="F634" s="24"/>
      <c r="G634" s="24" t="s">
        <v>1022</v>
      </c>
      <c r="H634" s="24"/>
      <c r="I634" s="24"/>
      <c r="J634" s="24"/>
      <c r="K634" s="24"/>
      <c r="L634" s="24"/>
      <c r="M634" s="5">
        <f t="shared" si="18"/>
        <v>0</v>
      </c>
      <c r="N634" s="5">
        <f t="shared" si="19"/>
        <v>0</v>
      </c>
      <c r="O634" s="37"/>
    </row>
    <row r="635" spans="1:15" hidden="1" x14ac:dyDescent="0.3">
      <c r="A635" s="24" t="s">
        <v>1627</v>
      </c>
      <c r="B635" s="26" t="s">
        <v>112</v>
      </c>
      <c r="C635" s="29"/>
      <c r="D635" s="30"/>
      <c r="E635" s="34"/>
      <c r="F635" s="34"/>
      <c r="G635" s="24" t="s">
        <v>1022</v>
      </c>
      <c r="H635" s="24"/>
      <c r="I635" s="24"/>
      <c r="J635" s="24"/>
      <c r="K635" s="24"/>
      <c r="L635" s="24"/>
      <c r="M635" s="5">
        <f t="shared" si="18"/>
        <v>0</v>
      </c>
      <c r="N635" s="5">
        <f t="shared" si="19"/>
        <v>0</v>
      </c>
      <c r="O635" s="37"/>
    </row>
    <row r="636" spans="1:15" hidden="1" x14ac:dyDescent="0.3">
      <c r="A636" s="24" t="s">
        <v>1645</v>
      </c>
      <c r="B636" s="26" t="s">
        <v>112</v>
      </c>
      <c r="C636" s="29"/>
      <c r="D636" s="30"/>
      <c r="E636" s="24"/>
      <c r="F636" s="24"/>
      <c r="G636" s="24" t="s">
        <v>1022</v>
      </c>
      <c r="H636" s="24"/>
      <c r="I636" s="24"/>
      <c r="J636" s="24"/>
      <c r="K636" s="24"/>
      <c r="L636" s="24"/>
      <c r="M636" s="5">
        <f t="shared" si="18"/>
        <v>0</v>
      </c>
      <c r="N636" s="5">
        <f t="shared" si="19"/>
        <v>0</v>
      </c>
      <c r="O636" s="37"/>
    </row>
    <row r="637" spans="1:15" hidden="1" x14ac:dyDescent="0.3">
      <c r="A637" s="24" t="s">
        <v>1645</v>
      </c>
      <c r="B637" s="26" t="s">
        <v>112</v>
      </c>
      <c r="C637" s="29"/>
      <c r="D637" s="30"/>
      <c r="E637" s="24"/>
      <c r="F637" s="24"/>
      <c r="G637" s="24" t="s">
        <v>1022</v>
      </c>
      <c r="H637" s="24"/>
      <c r="I637" s="24"/>
      <c r="J637" s="24"/>
      <c r="K637" s="24"/>
      <c r="L637" s="24"/>
      <c r="M637" s="5">
        <f t="shared" si="18"/>
        <v>0</v>
      </c>
      <c r="N637" s="5">
        <f t="shared" si="19"/>
        <v>0</v>
      </c>
      <c r="O637" s="37"/>
    </row>
    <row r="638" spans="1:15" hidden="1" x14ac:dyDescent="0.3">
      <c r="A638" s="24" t="s">
        <v>1645</v>
      </c>
      <c r="B638" s="26" t="s">
        <v>112</v>
      </c>
      <c r="C638" s="29"/>
      <c r="D638" s="30"/>
      <c r="E638" s="24"/>
      <c r="F638" s="24"/>
      <c r="G638" s="24" t="s">
        <v>1022</v>
      </c>
      <c r="H638" s="24"/>
      <c r="I638" s="24"/>
      <c r="J638" s="24"/>
      <c r="K638" s="24"/>
      <c r="L638" s="24"/>
      <c r="M638" s="5">
        <f t="shared" si="18"/>
        <v>0</v>
      </c>
      <c r="N638" s="5">
        <f t="shared" si="19"/>
        <v>0</v>
      </c>
      <c r="O638" s="37"/>
    </row>
    <row r="639" spans="1:15" hidden="1" x14ac:dyDescent="0.3">
      <c r="A639" s="24" t="s">
        <v>1645</v>
      </c>
      <c r="B639" s="26" t="s">
        <v>112</v>
      </c>
      <c r="C639" s="29"/>
      <c r="D639" s="30"/>
      <c r="E639" s="24"/>
      <c r="F639" s="24"/>
      <c r="G639" s="24" t="s">
        <v>1022</v>
      </c>
      <c r="H639" s="24"/>
      <c r="I639" s="24"/>
      <c r="J639" s="24"/>
      <c r="K639" s="24"/>
      <c r="L639" s="24"/>
      <c r="M639" s="5">
        <f t="shared" si="18"/>
        <v>0</v>
      </c>
      <c r="N639" s="5">
        <f t="shared" si="19"/>
        <v>0</v>
      </c>
      <c r="O639" s="37"/>
    </row>
    <row r="640" spans="1:15" hidden="1" x14ac:dyDescent="0.3">
      <c r="A640" s="24" t="s">
        <v>1645</v>
      </c>
      <c r="B640" s="26" t="s">
        <v>112</v>
      </c>
      <c r="C640" s="29" t="s">
        <v>1668</v>
      </c>
      <c r="D640" s="30">
        <v>74.650000000000006</v>
      </c>
      <c r="E640" s="24"/>
      <c r="F640" s="24"/>
      <c r="G640" s="24" t="s">
        <v>1022</v>
      </c>
      <c r="H640" s="24"/>
      <c r="I640" s="24"/>
      <c r="J640" s="24"/>
      <c r="K640" s="24"/>
      <c r="L640" s="24"/>
      <c r="M640" s="5">
        <f t="shared" si="18"/>
        <v>74.650000000000006</v>
      </c>
      <c r="N640" s="5">
        <f t="shared" si="19"/>
        <v>0</v>
      </c>
      <c r="O640" s="37"/>
    </row>
    <row r="641" spans="1:15" hidden="1" x14ac:dyDescent="0.3">
      <c r="A641" s="24" t="s">
        <v>1645</v>
      </c>
      <c r="B641" s="26" t="s">
        <v>112</v>
      </c>
      <c r="C641" s="29" t="s">
        <v>1669</v>
      </c>
      <c r="D641" s="30">
        <v>71.86</v>
      </c>
      <c r="E641" s="24"/>
      <c r="F641" s="24"/>
      <c r="G641" s="24" t="s">
        <v>1022</v>
      </c>
      <c r="H641" s="24"/>
      <c r="I641" s="24"/>
      <c r="J641" s="24"/>
      <c r="K641" s="24"/>
      <c r="L641" s="24"/>
      <c r="M641" s="5">
        <f t="shared" si="18"/>
        <v>71.86</v>
      </c>
      <c r="N641" s="5">
        <f t="shared" si="19"/>
        <v>0</v>
      </c>
      <c r="O641" s="37"/>
    </row>
    <row r="642" spans="1:15" hidden="1" x14ac:dyDescent="0.3">
      <c r="A642" s="24" t="s">
        <v>1645</v>
      </c>
      <c r="B642" s="26" t="s">
        <v>112</v>
      </c>
      <c r="C642" s="29" t="s">
        <v>1670</v>
      </c>
      <c r="D642" s="137">
        <v>118.37</v>
      </c>
      <c r="E642" s="24"/>
      <c r="F642" s="24"/>
      <c r="G642" s="24" t="s">
        <v>1022</v>
      </c>
      <c r="H642" s="24"/>
      <c r="I642" s="24"/>
      <c r="J642" s="24"/>
      <c r="K642" s="24"/>
      <c r="L642" s="24"/>
      <c r="M642" s="5">
        <f t="shared" si="18"/>
        <v>118.37</v>
      </c>
      <c r="N642" s="5">
        <f t="shared" si="19"/>
        <v>0</v>
      </c>
      <c r="O642" s="37"/>
    </row>
    <row r="643" spans="1:15" hidden="1" x14ac:dyDescent="0.3">
      <c r="A643" s="24" t="s">
        <v>1627</v>
      </c>
      <c r="B643" s="26" t="s">
        <v>112</v>
      </c>
      <c r="C643" s="29" t="s">
        <v>1671</v>
      </c>
      <c r="D643" s="138"/>
      <c r="E643" s="24"/>
      <c r="F643" s="24"/>
      <c r="G643" s="24" t="s">
        <v>1022</v>
      </c>
      <c r="H643" s="24"/>
      <c r="I643" s="24"/>
      <c r="J643" s="24"/>
      <c r="K643" s="24"/>
      <c r="L643" s="24"/>
      <c r="M643" s="5">
        <f t="shared" ref="M643:M706" si="20">IF(G643="已出租",D643,0)</f>
        <v>0</v>
      </c>
      <c r="N643" s="5">
        <f t="shared" ref="N643:N706" si="21">IF(G643="未出租",D643,0)</f>
        <v>0</v>
      </c>
      <c r="O643" s="37"/>
    </row>
    <row r="644" spans="1:15" hidden="1" x14ac:dyDescent="0.3">
      <c r="A644" s="24" t="s">
        <v>1627</v>
      </c>
      <c r="B644" s="26" t="s">
        <v>112</v>
      </c>
      <c r="C644" s="29"/>
      <c r="D644" s="30"/>
      <c r="E644" s="24"/>
      <c r="F644" s="24"/>
      <c r="G644" s="24" t="s">
        <v>1022</v>
      </c>
      <c r="H644" s="24"/>
      <c r="I644" s="24"/>
      <c r="J644" s="24"/>
      <c r="K644" s="24"/>
      <c r="L644" s="24"/>
      <c r="M644" s="5">
        <f t="shared" si="20"/>
        <v>0</v>
      </c>
      <c r="N644" s="5">
        <f t="shared" si="21"/>
        <v>0</v>
      </c>
      <c r="O644" s="37"/>
    </row>
    <row r="645" spans="1:15" hidden="1" x14ac:dyDescent="0.3">
      <c r="A645" s="24" t="s">
        <v>1627</v>
      </c>
      <c r="B645" s="26" t="s">
        <v>112</v>
      </c>
      <c r="C645" s="29"/>
      <c r="D645" s="30"/>
      <c r="E645" s="24"/>
      <c r="F645" s="24"/>
      <c r="G645" s="24" t="s">
        <v>1022</v>
      </c>
      <c r="H645" s="24"/>
      <c r="I645" s="24"/>
      <c r="J645" s="24"/>
      <c r="K645" s="24"/>
      <c r="L645" s="24"/>
      <c r="M645" s="5">
        <f t="shared" si="20"/>
        <v>0</v>
      </c>
      <c r="N645" s="5">
        <f t="shared" si="21"/>
        <v>0</v>
      </c>
      <c r="O645" s="37"/>
    </row>
    <row r="646" spans="1:15" hidden="1" x14ac:dyDescent="0.3">
      <c r="A646" s="24" t="s">
        <v>1627</v>
      </c>
      <c r="B646" s="26" t="s">
        <v>112</v>
      </c>
      <c r="C646" s="29"/>
      <c r="D646" s="30"/>
      <c r="E646" s="24"/>
      <c r="F646" s="24"/>
      <c r="G646" s="24" t="s">
        <v>1022</v>
      </c>
      <c r="H646" s="24"/>
      <c r="I646" s="24"/>
      <c r="J646" s="24"/>
      <c r="K646" s="24"/>
      <c r="L646" s="24"/>
      <c r="M646" s="5">
        <f t="shared" si="20"/>
        <v>0</v>
      </c>
      <c r="N646" s="5">
        <f t="shared" si="21"/>
        <v>0</v>
      </c>
      <c r="O646" s="37"/>
    </row>
    <row r="647" spans="1:15" hidden="1" x14ac:dyDescent="0.3">
      <c r="A647" s="24" t="s">
        <v>1627</v>
      </c>
      <c r="B647" s="26" t="s">
        <v>112</v>
      </c>
      <c r="C647" s="29" t="s">
        <v>1672</v>
      </c>
      <c r="D647" s="30">
        <v>24.08</v>
      </c>
      <c r="E647" s="24"/>
      <c r="F647" s="24"/>
      <c r="G647" s="24" t="s">
        <v>1022</v>
      </c>
      <c r="H647" s="24"/>
      <c r="I647" s="24"/>
      <c r="J647" s="24"/>
      <c r="K647" s="24"/>
      <c r="L647" s="24"/>
      <c r="M647" s="5">
        <f t="shared" si="20"/>
        <v>24.08</v>
      </c>
      <c r="N647" s="5">
        <f t="shared" si="21"/>
        <v>0</v>
      </c>
      <c r="O647" s="37"/>
    </row>
    <row r="648" spans="1:15" hidden="1" x14ac:dyDescent="0.3">
      <c r="A648" s="24" t="s">
        <v>1627</v>
      </c>
      <c r="B648" s="26" t="s">
        <v>112</v>
      </c>
      <c r="C648" s="29" t="s">
        <v>1673</v>
      </c>
      <c r="D648" s="30">
        <v>26.19</v>
      </c>
      <c r="E648" s="24"/>
      <c r="F648" s="24"/>
      <c r="G648" s="24" t="s">
        <v>1022</v>
      </c>
      <c r="H648" s="24"/>
      <c r="I648" s="24"/>
      <c r="J648" s="24"/>
      <c r="K648" s="24"/>
      <c r="L648" s="24"/>
      <c r="M648" s="5">
        <f t="shared" si="20"/>
        <v>26.19</v>
      </c>
      <c r="N648" s="5">
        <f t="shared" si="21"/>
        <v>0</v>
      </c>
      <c r="O648" s="37"/>
    </row>
    <row r="649" spans="1:15" hidden="1" x14ac:dyDescent="0.3">
      <c r="A649" s="24" t="s">
        <v>1627</v>
      </c>
      <c r="B649" s="26" t="s">
        <v>112</v>
      </c>
      <c r="C649" s="29" t="s">
        <v>1674</v>
      </c>
      <c r="D649" s="30">
        <v>23.76</v>
      </c>
      <c r="E649" s="24"/>
      <c r="F649" s="24"/>
      <c r="G649" s="24" t="s">
        <v>1022</v>
      </c>
      <c r="H649" s="24"/>
      <c r="I649" s="24"/>
      <c r="J649" s="24"/>
      <c r="K649" s="24"/>
      <c r="L649" s="24"/>
      <c r="M649" s="5">
        <f t="shared" si="20"/>
        <v>23.76</v>
      </c>
      <c r="N649" s="5">
        <f t="shared" si="21"/>
        <v>0</v>
      </c>
      <c r="O649" s="37"/>
    </row>
    <row r="650" spans="1:15" hidden="1" x14ac:dyDescent="0.3">
      <c r="A650" s="24" t="s">
        <v>1645</v>
      </c>
      <c r="B650" s="26" t="s">
        <v>112</v>
      </c>
      <c r="C650" s="29" t="s">
        <v>1675</v>
      </c>
      <c r="D650" s="30">
        <v>10.8</v>
      </c>
      <c r="E650" s="24"/>
      <c r="F650" s="24"/>
      <c r="G650" s="24" t="s">
        <v>1022</v>
      </c>
      <c r="H650" s="24"/>
      <c r="I650" s="24"/>
      <c r="J650" s="24"/>
      <c r="K650" s="24"/>
      <c r="L650" s="24"/>
      <c r="M650" s="5">
        <f t="shared" si="20"/>
        <v>10.8</v>
      </c>
      <c r="N650" s="5">
        <f t="shared" si="21"/>
        <v>0</v>
      </c>
      <c r="O650" s="37"/>
    </row>
    <row r="651" spans="1:15" hidden="1" x14ac:dyDescent="0.3">
      <c r="A651" s="24" t="s">
        <v>1645</v>
      </c>
      <c r="B651" s="26" t="s">
        <v>112</v>
      </c>
      <c r="C651" s="29" t="s">
        <v>1676</v>
      </c>
      <c r="D651" s="30">
        <v>22</v>
      </c>
      <c r="E651" s="24"/>
      <c r="F651" s="24"/>
      <c r="G651" s="24" t="s">
        <v>1022</v>
      </c>
      <c r="H651" s="24"/>
      <c r="I651" s="24"/>
      <c r="J651" s="24"/>
      <c r="K651" s="24"/>
      <c r="L651" s="24"/>
      <c r="M651" s="5">
        <f t="shared" si="20"/>
        <v>22</v>
      </c>
      <c r="N651" s="5">
        <f t="shared" si="21"/>
        <v>0</v>
      </c>
      <c r="O651" s="37"/>
    </row>
    <row r="652" spans="1:15" hidden="1" x14ac:dyDescent="0.3">
      <c r="A652" s="24" t="s">
        <v>1645</v>
      </c>
      <c r="B652" s="26" t="s">
        <v>112</v>
      </c>
      <c r="C652" s="29" t="s">
        <v>1677</v>
      </c>
      <c r="D652" s="30">
        <v>22.8</v>
      </c>
      <c r="E652" s="24"/>
      <c r="F652" s="24"/>
      <c r="G652" s="24" t="s">
        <v>1022</v>
      </c>
      <c r="H652" s="24"/>
      <c r="I652" s="24"/>
      <c r="J652" s="24"/>
      <c r="K652" s="24"/>
      <c r="L652" s="24"/>
      <c r="M652" s="5">
        <f t="shared" si="20"/>
        <v>22.8</v>
      </c>
      <c r="N652" s="5">
        <f t="shared" si="21"/>
        <v>0</v>
      </c>
      <c r="O652" s="37"/>
    </row>
    <row r="653" spans="1:15" x14ac:dyDescent="0.3">
      <c r="A653" s="24" t="s">
        <v>1645</v>
      </c>
      <c r="B653" s="26" t="s">
        <v>112</v>
      </c>
      <c r="C653" s="29" t="s">
        <v>1678</v>
      </c>
      <c r="D653" s="30">
        <v>38.03</v>
      </c>
      <c r="E653" s="24"/>
      <c r="F653" s="24"/>
      <c r="G653" s="34" t="s">
        <v>74</v>
      </c>
      <c r="H653" s="24"/>
      <c r="I653" s="24"/>
      <c r="J653" s="24"/>
      <c r="K653" s="24"/>
      <c r="L653" s="24"/>
      <c r="M653" s="5">
        <f t="shared" si="20"/>
        <v>0</v>
      </c>
      <c r="N653" s="5">
        <f t="shared" si="21"/>
        <v>38.03</v>
      </c>
      <c r="O653" s="37"/>
    </row>
    <row r="654" spans="1:15" hidden="1" x14ac:dyDescent="0.3">
      <c r="A654" s="24" t="s">
        <v>1645</v>
      </c>
      <c r="B654" s="26" t="s">
        <v>112</v>
      </c>
      <c r="C654" s="29" t="s">
        <v>1679</v>
      </c>
      <c r="D654" s="30">
        <v>26.11</v>
      </c>
      <c r="E654" s="24"/>
      <c r="F654" s="24"/>
      <c r="G654" s="24" t="s">
        <v>1022</v>
      </c>
      <c r="H654" s="24"/>
      <c r="I654" s="24"/>
      <c r="J654" s="24"/>
      <c r="K654" s="24"/>
      <c r="L654" s="24"/>
      <c r="M654" s="5">
        <f t="shared" si="20"/>
        <v>26.11</v>
      </c>
      <c r="N654" s="5">
        <f t="shared" si="21"/>
        <v>0</v>
      </c>
      <c r="O654" s="37"/>
    </row>
    <row r="655" spans="1:15" hidden="1" x14ac:dyDescent="0.3">
      <c r="A655" s="24" t="s">
        <v>1645</v>
      </c>
      <c r="B655" s="26" t="s">
        <v>112</v>
      </c>
      <c r="C655" s="29" t="s">
        <v>1680</v>
      </c>
      <c r="D655" s="30">
        <v>27.3</v>
      </c>
      <c r="E655" s="24"/>
      <c r="F655" s="24"/>
      <c r="G655" s="24" t="s">
        <v>1022</v>
      </c>
      <c r="H655" s="24"/>
      <c r="I655" s="24"/>
      <c r="J655" s="24"/>
      <c r="K655" s="24"/>
      <c r="L655" s="24"/>
      <c r="M655" s="5">
        <f t="shared" si="20"/>
        <v>27.3</v>
      </c>
      <c r="N655" s="5">
        <f t="shared" si="21"/>
        <v>0</v>
      </c>
      <c r="O655" s="37"/>
    </row>
    <row r="656" spans="1:15" hidden="1" x14ac:dyDescent="0.3">
      <c r="A656" s="24" t="s">
        <v>1645</v>
      </c>
      <c r="B656" s="26" t="s">
        <v>112</v>
      </c>
      <c r="C656" s="29" t="s">
        <v>1681</v>
      </c>
      <c r="D656" s="30">
        <v>31.16</v>
      </c>
      <c r="E656" s="24"/>
      <c r="F656" s="24"/>
      <c r="G656" s="24" t="s">
        <v>1022</v>
      </c>
      <c r="H656" s="24"/>
      <c r="I656" s="24"/>
      <c r="J656" s="24"/>
      <c r="K656" s="24"/>
      <c r="L656" s="24"/>
      <c r="M656" s="5">
        <f t="shared" si="20"/>
        <v>31.16</v>
      </c>
      <c r="N656" s="5">
        <f t="shared" si="21"/>
        <v>0</v>
      </c>
      <c r="O656" s="37"/>
    </row>
    <row r="657" spans="1:15" hidden="1" x14ac:dyDescent="0.3">
      <c r="A657" s="24" t="s">
        <v>1645</v>
      </c>
      <c r="B657" s="26" t="s">
        <v>112</v>
      </c>
      <c r="C657" s="29" t="s">
        <v>1682</v>
      </c>
      <c r="D657" s="30">
        <v>35.64</v>
      </c>
      <c r="E657" s="24"/>
      <c r="F657" s="24"/>
      <c r="G657" s="24" t="s">
        <v>1022</v>
      </c>
      <c r="H657" s="24"/>
      <c r="I657" s="24"/>
      <c r="J657" s="24"/>
      <c r="K657" s="24"/>
      <c r="L657" s="24"/>
      <c r="M657" s="5">
        <f t="shared" si="20"/>
        <v>35.64</v>
      </c>
      <c r="N657" s="5">
        <f t="shared" si="21"/>
        <v>0</v>
      </c>
      <c r="O657" s="37"/>
    </row>
    <row r="658" spans="1:15" x14ac:dyDescent="0.3">
      <c r="A658" s="24" t="s">
        <v>1645</v>
      </c>
      <c r="B658" s="26" t="s">
        <v>112</v>
      </c>
      <c r="C658" s="29" t="s">
        <v>1683</v>
      </c>
      <c r="D658" s="30">
        <v>35.75</v>
      </c>
      <c r="E658" s="24"/>
      <c r="F658" s="24"/>
      <c r="G658" s="34" t="s">
        <v>74</v>
      </c>
      <c r="H658" s="24"/>
      <c r="I658" s="24"/>
      <c r="J658" s="24"/>
      <c r="K658" s="24"/>
      <c r="L658" s="24"/>
      <c r="M658" s="5">
        <f t="shared" si="20"/>
        <v>0</v>
      </c>
      <c r="N658" s="5">
        <f t="shared" si="21"/>
        <v>35.75</v>
      </c>
      <c r="O658" s="37"/>
    </row>
    <row r="659" spans="1:15" hidden="1" x14ac:dyDescent="0.3">
      <c r="A659" s="24" t="s">
        <v>1645</v>
      </c>
      <c r="B659" s="26" t="s">
        <v>112</v>
      </c>
      <c r="C659" s="29" t="s">
        <v>1684</v>
      </c>
      <c r="D659" s="30">
        <v>52.26</v>
      </c>
      <c r="E659" s="24"/>
      <c r="F659" s="24"/>
      <c r="G659" s="24" t="s">
        <v>1022</v>
      </c>
      <c r="H659" s="24"/>
      <c r="I659" s="24"/>
      <c r="J659" s="24"/>
      <c r="K659" s="24"/>
      <c r="L659" s="24"/>
      <c r="M659" s="5">
        <f t="shared" si="20"/>
        <v>52.26</v>
      </c>
      <c r="N659" s="5">
        <f t="shared" si="21"/>
        <v>0</v>
      </c>
      <c r="O659" s="37"/>
    </row>
    <row r="660" spans="1:15" hidden="1" x14ac:dyDescent="0.3">
      <c r="A660" s="24" t="s">
        <v>1645</v>
      </c>
      <c r="B660" s="26" t="s">
        <v>112</v>
      </c>
      <c r="C660" s="29" t="s">
        <v>1685</v>
      </c>
      <c r="D660" s="30">
        <v>48.24</v>
      </c>
      <c r="E660" s="24"/>
      <c r="F660" s="24"/>
      <c r="G660" s="24" t="s">
        <v>1022</v>
      </c>
      <c r="H660" s="24"/>
      <c r="I660" s="24"/>
      <c r="J660" s="24"/>
      <c r="K660" s="24"/>
      <c r="L660" s="24"/>
      <c r="M660" s="5">
        <f t="shared" si="20"/>
        <v>48.24</v>
      </c>
      <c r="N660" s="5">
        <f t="shared" si="21"/>
        <v>0</v>
      </c>
      <c r="O660" s="37"/>
    </row>
    <row r="661" spans="1:15" hidden="1" x14ac:dyDescent="0.3">
      <c r="A661" s="24" t="s">
        <v>1627</v>
      </c>
      <c r="B661" s="26" t="s">
        <v>112</v>
      </c>
      <c r="C661" s="29" t="s">
        <v>1686</v>
      </c>
      <c r="D661" s="30">
        <v>47.7</v>
      </c>
      <c r="E661" s="24"/>
      <c r="F661" s="24"/>
      <c r="G661" s="24" t="s">
        <v>1022</v>
      </c>
      <c r="H661" s="24"/>
      <c r="I661" s="24"/>
      <c r="J661" s="24"/>
      <c r="K661" s="24"/>
      <c r="L661" s="24"/>
      <c r="M661" s="5">
        <f t="shared" si="20"/>
        <v>47.7</v>
      </c>
      <c r="N661" s="5">
        <f t="shared" si="21"/>
        <v>0</v>
      </c>
      <c r="O661" s="37"/>
    </row>
    <row r="662" spans="1:15" hidden="1" x14ac:dyDescent="0.3">
      <c r="A662" s="24" t="s">
        <v>1627</v>
      </c>
      <c r="B662" s="26" t="s">
        <v>112</v>
      </c>
      <c r="C662" s="29" t="s">
        <v>1687</v>
      </c>
      <c r="D662" s="30">
        <v>26.2</v>
      </c>
      <c r="E662" s="24"/>
      <c r="F662" s="24"/>
      <c r="G662" s="24" t="s">
        <v>1022</v>
      </c>
      <c r="H662" s="24"/>
      <c r="I662" s="24"/>
      <c r="J662" s="24"/>
      <c r="K662" s="24"/>
      <c r="L662" s="24"/>
      <c r="M662" s="5">
        <f t="shared" si="20"/>
        <v>26.2</v>
      </c>
      <c r="N662" s="5">
        <f t="shared" si="21"/>
        <v>0</v>
      </c>
      <c r="O662" s="37"/>
    </row>
    <row r="663" spans="1:15" x14ac:dyDescent="0.3">
      <c r="A663" s="24" t="s">
        <v>1627</v>
      </c>
      <c r="B663" s="26" t="s">
        <v>112</v>
      </c>
      <c r="C663" s="29" t="s">
        <v>1688</v>
      </c>
      <c r="D663" s="30">
        <v>29.66</v>
      </c>
      <c r="E663" s="24"/>
      <c r="F663" s="24"/>
      <c r="G663" s="34" t="s">
        <v>74</v>
      </c>
      <c r="H663" s="24"/>
      <c r="I663" s="24"/>
      <c r="J663" s="24"/>
      <c r="K663" s="24"/>
      <c r="L663" s="24"/>
      <c r="M663" s="5">
        <f t="shared" si="20"/>
        <v>0</v>
      </c>
      <c r="N663" s="5">
        <f t="shared" si="21"/>
        <v>29.66</v>
      </c>
      <c r="O663" s="37"/>
    </row>
    <row r="664" spans="1:15" hidden="1" x14ac:dyDescent="0.3">
      <c r="A664" s="24" t="s">
        <v>1627</v>
      </c>
      <c r="B664" s="26" t="s">
        <v>112</v>
      </c>
      <c r="C664" s="29" t="s">
        <v>1689</v>
      </c>
      <c r="D664" s="30">
        <v>41.76</v>
      </c>
      <c r="E664" s="24"/>
      <c r="F664" s="24"/>
      <c r="G664" s="24" t="s">
        <v>1022</v>
      </c>
      <c r="H664" s="24"/>
      <c r="I664" s="24"/>
      <c r="J664" s="24"/>
      <c r="K664" s="24"/>
      <c r="L664" s="24"/>
      <c r="M664" s="5">
        <f t="shared" si="20"/>
        <v>41.76</v>
      </c>
      <c r="N664" s="5">
        <f t="shared" si="21"/>
        <v>0</v>
      </c>
      <c r="O664" s="37"/>
    </row>
    <row r="665" spans="1:15" hidden="1" x14ac:dyDescent="0.3">
      <c r="A665" s="24" t="s">
        <v>1627</v>
      </c>
      <c r="B665" s="26" t="s">
        <v>112</v>
      </c>
      <c r="C665" s="29" t="s">
        <v>1690</v>
      </c>
      <c r="D665" s="30">
        <v>37.119999999999997</v>
      </c>
      <c r="E665" s="24"/>
      <c r="F665" s="24"/>
      <c r="G665" s="24" t="s">
        <v>1022</v>
      </c>
      <c r="H665" s="24"/>
      <c r="I665" s="24"/>
      <c r="J665" s="24"/>
      <c r="K665" s="24"/>
      <c r="L665" s="24"/>
      <c r="M665" s="5">
        <f t="shared" si="20"/>
        <v>37.119999999999997</v>
      </c>
      <c r="N665" s="5">
        <f t="shared" si="21"/>
        <v>0</v>
      </c>
      <c r="O665" s="37"/>
    </row>
    <row r="666" spans="1:15" hidden="1" x14ac:dyDescent="0.3">
      <c r="A666" s="24" t="s">
        <v>1627</v>
      </c>
      <c r="B666" s="26" t="s">
        <v>112</v>
      </c>
      <c r="C666" s="29" t="s">
        <v>1691</v>
      </c>
      <c r="D666" s="30">
        <v>47.15</v>
      </c>
      <c r="E666" s="24"/>
      <c r="F666" s="24"/>
      <c r="G666" s="24" t="s">
        <v>1022</v>
      </c>
      <c r="H666" s="24"/>
      <c r="I666" s="24"/>
      <c r="J666" s="24"/>
      <c r="K666" s="24"/>
      <c r="L666" s="24"/>
      <c r="M666" s="5">
        <f t="shared" si="20"/>
        <v>47.15</v>
      </c>
      <c r="N666" s="5">
        <f t="shared" si="21"/>
        <v>0</v>
      </c>
      <c r="O666" s="37"/>
    </row>
    <row r="667" spans="1:15" hidden="1" x14ac:dyDescent="0.3">
      <c r="A667" s="24" t="s">
        <v>1627</v>
      </c>
      <c r="B667" s="26" t="s">
        <v>112</v>
      </c>
      <c r="C667" s="29" t="s">
        <v>1692</v>
      </c>
      <c r="D667" s="137">
        <v>77.930000000000007</v>
      </c>
      <c r="E667" s="24"/>
      <c r="F667" s="24"/>
      <c r="G667" s="24" t="s">
        <v>1022</v>
      </c>
      <c r="H667" s="24"/>
      <c r="I667" s="24"/>
      <c r="J667" s="24"/>
      <c r="K667" s="24"/>
      <c r="L667" s="24"/>
      <c r="M667" s="5">
        <f t="shared" si="20"/>
        <v>77.930000000000007</v>
      </c>
      <c r="N667" s="5">
        <f t="shared" si="21"/>
        <v>0</v>
      </c>
      <c r="O667" s="37"/>
    </row>
    <row r="668" spans="1:15" hidden="1" x14ac:dyDescent="0.3">
      <c r="A668" s="24" t="s">
        <v>1627</v>
      </c>
      <c r="B668" s="26" t="s">
        <v>112</v>
      </c>
      <c r="C668" s="29" t="s">
        <v>1693</v>
      </c>
      <c r="D668" s="139"/>
      <c r="E668" s="24"/>
      <c r="F668" s="24"/>
      <c r="G668" s="24" t="s">
        <v>1022</v>
      </c>
      <c r="H668" s="24"/>
      <c r="I668" s="24"/>
      <c r="J668" s="24"/>
      <c r="K668" s="24"/>
      <c r="L668" s="24"/>
      <c r="M668" s="5">
        <f t="shared" si="20"/>
        <v>0</v>
      </c>
      <c r="N668" s="5">
        <f t="shared" si="21"/>
        <v>0</v>
      </c>
      <c r="O668" s="37"/>
    </row>
    <row r="669" spans="1:15" hidden="1" x14ac:dyDescent="0.3">
      <c r="A669" s="24" t="s">
        <v>1627</v>
      </c>
      <c r="B669" s="26" t="s">
        <v>112</v>
      </c>
      <c r="C669" s="29" t="s">
        <v>1694</v>
      </c>
      <c r="D669" s="139"/>
      <c r="E669" s="24"/>
      <c r="F669" s="24"/>
      <c r="G669" s="24" t="s">
        <v>1022</v>
      </c>
      <c r="H669" s="24"/>
      <c r="I669" s="24"/>
      <c r="J669" s="24"/>
      <c r="K669" s="24"/>
      <c r="L669" s="24"/>
      <c r="M669" s="5">
        <f t="shared" si="20"/>
        <v>0</v>
      </c>
      <c r="N669" s="5">
        <f t="shared" si="21"/>
        <v>0</v>
      </c>
      <c r="O669" s="37"/>
    </row>
    <row r="670" spans="1:15" hidden="1" x14ac:dyDescent="0.3">
      <c r="A670" s="24" t="s">
        <v>1627</v>
      </c>
      <c r="B670" s="26" t="s">
        <v>112</v>
      </c>
      <c r="C670" s="29" t="s">
        <v>1695</v>
      </c>
      <c r="D670" s="138"/>
      <c r="E670" s="24"/>
      <c r="F670" s="24"/>
      <c r="G670" s="24" t="s">
        <v>1022</v>
      </c>
      <c r="H670" s="24"/>
      <c r="I670" s="24"/>
      <c r="J670" s="24"/>
      <c r="K670" s="24"/>
      <c r="L670" s="24"/>
      <c r="M670" s="5">
        <f t="shared" si="20"/>
        <v>0</v>
      </c>
      <c r="N670" s="5">
        <f t="shared" si="21"/>
        <v>0</v>
      </c>
      <c r="O670" s="37"/>
    </row>
    <row r="671" spans="1:15" hidden="1" x14ac:dyDescent="0.3">
      <c r="A671" s="24" t="s">
        <v>1627</v>
      </c>
      <c r="B671" s="26" t="s">
        <v>112</v>
      </c>
      <c r="C671" s="29" t="s">
        <v>1696</v>
      </c>
      <c r="D671" s="30">
        <v>28.59</v>
      </c>
      <c r="E671" s="24"/>
      <c r="F671" s="24"/>
      <c r="G671" s="24" t="s">
        <v>1022</v>
      </c>
      <c r="H671" s="24"/>
      <c r="I671" s="24"/>
      <c r="J671" s="24"/>
      <c r="K671" s="24"/>
      <c r="L671" s="24"/>
      <c r="M671" s="5">
        <f t="shared" si="20"/>
        <v>28.59</v>
      </c>
      <c r="N671" s="5">
        <f t="shared" si="21"/>
        <v>0</v>
      </c>
      <c r="O671" s="37"/>
    </row>
    <row r="672" spans="1:15" hidden="1" x14ac:dyDescent="0.3">
      <c r="A672" s="24" t="s">
        <v>1627</v>
      </c>
      <c r="B672" s="26" t="s">
        <v>112</v>
      </c>
      <c r="C672" s="29" t="s">
        <v>1697</v>
      </c>
      <c r="D672" s="136">
        <v>71.2</v>
      </c>
      <c r="E672" s="24"/>
      <c r="F672" s="24"/>
      <c r="G672" s="24" t="s">
        <v>1022</v>
      </c>
      <c r="H672" s="24"/>
      <c r="I672" s="24"/>
      <c r="J672" s="24"/>
      <c r="K672" s="24"/>
      <c r="L672" s="24"/>
      <c r="M672" s="5">
        <f t="shared" si="20"/>
        <v>71.2</v>
      </c>
      <c r="N672" s="5">
        <f t="shared" si="21"/>
        <v>0</v>
      </c>
      <c r="O672" s="37"/>
    </row>
    <row r="673" spans="1:15" hidden="1" x14ac:dyDescent="0.3">
      <c r="A673" s="24" t="s">
        <v>1627</v>
      </c>
      <c r="B673" s="26" t="s">
        <v>112</v>
      </c>
      <c r="C673" s="29" t="s">
        <v>1698</v>
      </c>
      <c r="D673" s="136"/>
      <c r="E673" s="24"/>
      <c r="F673" s="24"/>
      <c r="G673" s="24" t="s">
        <v>1022</v>
      </c>
      <c r="H673" s="24"/>
      <c r="I673" s="24"/>
      <c r="J673" s="24"/>
      <c r="K673" s="24"/>
      <c r="L673" s="24"/>
      <c r="M673" s="5">
        <f t="shared" si="20"/>
        <v>0</v>
      </c>
      <c r="N673" s="5">
        <f t="shared" si="21"/>
        <v>0</v>
      </c>
      <c r="O673" s="37"/>
    </row>
    <row r="674" spans="1:15" hidden="1" x14ac:dyDescent="0.3">
      <c r="A674" s="24" t="s">
        <v>1627</v>
      </c>
      <c r="B674" s="26" t="s">
        <v>112</v>
      </c>
      <c r="C674" s="29" t="s">
        <v>1699</v>
      </c>
      <c r="D674" s="136"/>
      <c r="E674" s="24"/>
      <c r="F674" s="24"/>
      <c r="G674" s="24" t="s">
        <v>1022</v>
      </c>
      <c r="H674" s="24"/>
      <c r="I674" s="24"/>
      <c r="J674" s="24"/>
      <c r="K674" s="24"/>
      <c r="L674" s="24"/>
      <c r="M674" s="5">
        <f t="shared" si="20"/>
        <v>0</v>
      </c>
      <c r="N674" s="5">
        <f t="shared" si="21"/>
        <v>0</v>
      </c>
      <c r="O674" s="37"/>
    </row>
    <row r="675" spans="1:15" hidden="1" x14ac:dyDescent="0.3">
      <c r="A675" s="24" t="s">
        <v>1627</v>
      </c>
      <c r="B675" s="26" t="s">
        <v>112</v>
      </c>
      <c r="C675" s="29" t="s">
        <v>1700</v>
      </c>
      <c r="D675" s="30">
        <v>50.47</v>
      </c>
      <c r="E675" s="34"/>
      <c r="F675" s="34"/>
      <c r="G675" s="24" t="s">
        <v>1022</v>
      </c>
      <c r="H675" s="24"/>
      <c r="I675" s="24"/>
      <c r="J675" s="24"/>
      <c r="K675" s="24"/>
      <c r="L675" s="24"/>
      <c r="M675" s="5">
        <f t="shared" si="20"/>
        <v>50.47</v>
      </c>
      <c r="N675" s="5">
        <f t="shared" si="21"/>
        <v>0</v>
      </c>
      <c r="O675" s="37"/>
    </row>
    <row r="676" spans="1:15" hidden="1" x14ac:dyDescent="0.3">
      <c r="A676" s="24" t="s">
        <v>1627</v>
      </c>
      <c r="B676" s="26" t="s">
        <v>112</v>
      </c>
      <c r="C676" s="29" t="s">
        <v>1701</v>
      </c>
      <c r="D676" s="136">
        <v>59.59</v>
      </c>
      <c r="E676" s="34"/>
      <c r="F676" s="34"/>
      <c r="G676" s="24" t="s">
        <v>1022</v>
      </c>
      <c r="H676" s="24"/>
      <c r="I676" s="24"/>
      <c r="J676" s="24"/>
      <c r="K676" s="24"/>
      <c r="L676" s="24"/>
      <c r="M676" s="5">
        <f t="shared" si="20"/>
        <v>59.59</v>
      </c>
      <c r="N676" s="5">
        <f t="shared" si="21"/>
        <v>0</v>
      </c>
      <c r="O676" s="37"/>
    </row>
    <row r="677" spans="1:15" hidden="1" x14ac:dyDescent="0.3">
      <c r="A677" s="24" t="s">
        <v>1627</v>
      </c>
      <c r="B677" s="26" t="s">
        <v>112</v>
      </c>
      <c r="C677" s="29" t="s">
        <v>1702</v>
      </c>
      <c r="D677" s="136"/>
      <c r="E677" s="24"/>
      <c r="F677" s="24"/>
      <c r="G677" s="24" t="s">
        <v>1022</v>
      </c>
      <c r="H677" s="24"/>
      <c r="I677" s="24"/>
      <c r="J677" s="24"/>
      <c r="K677" s="24"/>
      <c r="L677" s="24"/>
      <c r="M677" s="5">
        <f t="shared" si="20"/>
        <v>0</v>
      </c>
      <c r="N677" s="5">
        <f t="shared" si="21"/>
        <v>0</v>
      </c>
      <c r="O677" s="37"/>
    </row>
    <row r="678" spans="1:15" hidden="1" x14ac:dyDescent="0.3">
      <c r="A678" s="24" t="s">
        <v>1627</v>
      </c>
      <c r="B678" s="26" t="s">
        <v>112</v>
      </c>
      <c r="C678" s="29" t="s">
        <v>1703</v>
      </c>
      <c r="D678" s="136"/>
      <c r="E678" s="24"/>
      <c r="F678" s="24"/>
      <c r="G678" s="24" t="s">
        <v>1022</v>
      </c>
      <c r="H678" s="24"/>
      <c r="I678" s="24"/>
      <c r="J678" s="24"/>
      <c r="K678" s="24"/>
      <c r="L678" s="24"/>
      <c r="M678" s="5">
        <f t="shared" si="20"/>
        <v>0</v>
      </c>
      <c r="N678" s="5">
        <f t="shared" si="21"/>
        <v>0</v>
      </c>
      <c r="O678" s="37"/>
    </row>
    <row r="679" spans="1:15" hidden="1" x14ac:dyDescent="0.3">
      <c r="A679" s="24" t="s">
        <v>1627</v>
      </c>
      <c r="B679" s="26" t="s">
        <v>112</v>
      </c>
      <c r="C679" s="29" t="s">
        <v>1704</v>
      </c>
      <c r="D679" s="30">
        <v>29.5</v>
      </c>
      <c r="E679" s="24"/>
      <c r="F679" s="24"/>
      <c r="G679" s="24" t="s">
        <v>1022</v>
      </c>
      <c r="H679" s="24"/>
      <c r="I679" s="24"/>
      <c r="J679" s="24"/>
      <c r="K679" s="24"/>
      <c r="L679" s="24"/>
      <c r="M679" s="5">
        <f t="shared" si="20"/>
        <v>29.5</v>
      </c>
      <c r="N679" s="5">
        <f t="shared" si="21"/>
        <v>0</v>
      </c>
      <c r="O679" s="37"/>
    </row>
    <row r="680" spans="1:15" hidden="1" x14ac:dyDescent="0.3">
      <c r="A680" s="24" t="s">
        <v>1627</v>
      </c>
      <c r="B680" s="26" t="s">
        <v>112</v>
      </c>
      <c r="C680" s="29" t="s">
        <v>1705</v>
      </c>
      <c r="D680" s="136">
        <v>53</v>
      </c>
      <c r="E680" s="24"/>
      <c r="F680" s="24"/>
      <c r="G680" s="133" t="s">
        <v>1022</v>
      </c>
      <c r="H680" s="24"/>
      <c r="I680" s="24"/>
      <c r="J680" s="24"/>
      <c r="K680" s="24"/>
      <c r="L680" s="24"/>
      <c r="M680" s="5">
        <f t="shared" si="20"/>
        <v>53</v>
      </c>
      <c r="N680" s="5">
        <f t="shared" si="21"/>
        <v>0</v>
      </c>
      <c r="O680" s="37"/>
    </row>
    <row r="681" spans="1:15" hidden="1" x14ac:dyDescent="0.3">
      <c r="A681" s="24" t="s">
        <v>1627</v>
      </c>
      <c r="B681" s="26" t="s">
        <v>112</v>
      </c>
      <c r="C681" s="29" t="s">
        <v>1706</v>
      </c>
      <c r="D681" s="136"/>
      <c r="E681" s="24"/>
      <c r="F681" s="24"/>
      <c r="G681" s="135"/>
      <c r="H681" s="24"/>
      <c r="I681" s="24"/>
      <c r="J681" s="24"/>
      <c r="K681" s="24"/>
      <c r="L681" s="24"/>
      <c r="M681" s="5">
        <f t="shared" si="20"/>
        <v>0</v>
      </c>
      <c r="N681" s="5">
        <f t="shared" si="21"/>
        <v>0</v>
      </c>
      <c r="O681" s="37"/>
    </row>
    <row r="682" spans="1:15" x14ac:dyDescent="0.3">
      <c r="A682" s="24" t="s">
        <v>1707</v>
      </c>
      <c r="B682" s="26" t="s">
        <v>112</v>
      </c>
      <c r="C682" s="29" t="s">
        <v>1708</v>
      </c>
      <c r="D682" s="30">
        <v>23.2</v>
      </c>
      <c r="E682" s="24"/>
      <c r="F682" s="24"/>
      <c r="G682" s="34" t="s">
        <v>74</v>
      </c>
      <c r="H682" s="24"/>
      <c r="I682" s="24"/>
      <c r="J682" s="24"/>
      <c r="K682" s="24"/>
      <c r="L682" s="24"/>
      <c r="M682" s="5">
        <f t="shared" si="20"/>
        <v>0</v>
      </c>
      <c r="N682" s="5">
        <f t="shared" si="21"/>
        <v>23.2</v>
      </c>
      <c r="O682" s="37"/>
    </row>
    <row r="683" spans="1:15" x14ac:dyDescent="0.3">
      <c r="A683" s="24" t="s">
        <v>1707</v>
      </c>
      <c r="B683" s="26" t="s">
        <v>112</v>
      </c>
      <c r="C683" s="29" t="s">
        <v>1709</v>
      </c>
      <c r="D683" s="30">
        <v>23.2</v>
      </c>
      <c r="E683" s="24"/>
      <c r="F683" s="24"/>
      <c r="G683" s="34" t="s">
        <v>74</v>
      </c>
      <c r="H683" s="24"/>
      <c r="I683" s="24"/>
      <c r="J683" s="24"/>
      <c r="K683" s="24"/>
      <c r="L683" s="24"/>
      <c r="M683" s="5">
        <f t="shared" si="20"/>
        <v>0</v>
      </c>
      <c r="N683" s="5">
        <f t="shared" si="21"/>
        <v>23.2</v>
      </c>
      <c r="O683" s="37"/>
    </row>
    <row r="684" spans="1:15" x14ac:dyDescent="0.3">
      <c r="A684" s="24" t="s">
        <v>1707</v>
      </c>
      <c r="B684" s="26" t="s">
        <v>112</v>
      </c>
      <c r="C684" s="29" t="s">
        <v>1710</v>
      </c>
      <c r="D684" s="30">
        <v>23.2</v>
      </c>
      <c r="E684" s="24"/>
      <c r="F684" s="24"/>
      <c r="G684" s="34" t="s">
        <v>74</v>
      </c>
      <c r="H684" s="24"/>
      <c r="I684" s="24"/>
      <c r="J684" s="24"/>
      <c r="K684" s="24"/>
      <c r="L684" s="24"/>
      <c r="M684" s="5">
        <f t="shared" si="20"/>
        <v>0</v>
      </c>
      <c r="N684" s="5">
        <f t="shared" si="21"/>
        <v>23.2</v>
      </c>
      <c r="O684" s="37"/>
    </row>
    <row r="685" spans="1:15" x14ac:dyDescent="0.3">
      <c r="A685" s="24" t="s">
        <v>1707</v>
      </c>
      <c r="B685" s="26" t="s">
        <v>112</v>
      </c>
      <c r="C685" s="29" t="s">
        <v>1711</v>
      </c>
      <c r="D685" s="30">
        <v>21.6</v>
      </c>
      <c r="E685" s="24"/>
      <c r="F685" s="24"/>
      <c r="G685" s="34" t="s">
        <v>74</v>
      </c>
      <c r="H685" s="24"/>
      <c r="I685" s="24"/>
      <c r="J685" s="24"/>
      <c r="K685" s="24"/>
      <c r="L685" s="24"/>
      <c r="M685" s="5">
        <f t="shared" si="20"/>
        <v>0</v>
      </c>
      <c r="N685" s="5">
        <f t="shared" si="21"/>
        <v>21.6</v>
      </c>
      <c r="O685" s="37"/>
    </row>
    <row r="686" spans="1:15" hidden="1" x14ac:dyDescent="0.3">
      <c r="A686" s="24" t="s">
        <v>1707</v>
      </c>
      <c r="B686" s="26" t="s">
        <v>112</v>
      </c>
      <c r="C686" s="29" t="s">
        <v>1712</v>
      </c>
      <c r="D686" s="136">
        <v>65</v>
      </c>
      <c r="E686" s="24"/>
      <c r="F686" s="24"/>
      <c r="G686" s="133" t="s">
        <v>1022</v>
      </c>
      <c r="H686" s="24"/>
      <c r="I686" s="24"/>
      <c r="J686" s="24"/>
      <c r="K686" s="24"/>
      <c r="L686" s="24"/>
      <c r="M686" s="5">
        <f t="shared" si="20"/>
        <v>65</v>
      </c>
      <c r="N686" s="5">
        <f t="shared" si="21"/>
        <v>0</v>
      </c>
      <c r="O686" s="37"/>
    </row>
    <row r="687" spans="1:15" hidden="1" x14ac:dyDescent="0.3">
      <c r="A687" s="24" t="s">
        <v>1713</v>
      </c>
      <c r="B687" s="26" t="s">
        <v>112</v>
      </c>
      <c r="C687" s="29" t="s">
        <v>1714</v>
      </c>
      <c r="D687" s="136"/>
      <c r="E687" s="24"/>
      <c r="F687" s="24"/>
      <c r="G687" s="134"/>
      <c r="H687" s="24"/>
      <c r="I687" s="24"/>
      <c r="J687" s="24"/>
      <c r="K687" s="24"/>
      <c r="L687" s="24"/>
      <c r="M687" s="5">
        <f t="shared" si="20"/>
        <v>0</v>
      </c>
      <c r="N687" s="5">
        <f t="shared" si="21"/>
        <v>0</v>
      </c>
      <c r="O687" s="37"/>
    </row>
    <row r="688" spans="1:15" hidden="1" x14ac:dyDescent="0.3">
      <c r="A688" s="24" t="s">
        <v>1713</v>
      </c>
      <c r="B688" s="26" t="s">
        <v>112</v>
      </c>
      <c r="C688" s="29" t="s">
        <v>1715</v>
      </c>
      <c r="D688" s="136"/>
      <c r="E688" s="34"/>
      <c r="F688" s="34"/>
      <c r="G688" s="134"/>
      <c r="H688" s="24"/>
      <c r="I688" s="24"/>
      <c r="J688" s="24"/>
      <c r="K688" s="24"/>
      <c r="L688" s="24"/>
      <c r="M688" s="5">
        <f t="shared" si="20"/>
        <v>0</v>
      </c>
      <c r="N688" s="5">
        <f t="shared" si="21"/>
        <v>0</v>
      </c>
      <c r="O688" s="37"/>
    </row>
    <row r="689" spans="1:15" hidden="1" x14ac:dyDescent="0.3">
      <c r="A689" s="24" t="s">
        <v>1713</v>
      </c>
      <c r="B689" s="26" t="s">
        <v>112</v>
      </c>
      <c r="C689" s="29" t="s">
        <v>1716</v>
      </c>
      <c r="D689" s="136"/>
      <c r="E689" s="24"/>
      <c r="F689" s="24"/>
      <c r="G689" s="135"/>
      <c r="H689" s="24"/>
      <c r="I689" s="24"/>
      <c r="J689" s="24"/>
      <c r="K689" s="24"/>
      <c r="L689" s="24"/>
      <c r="M689" s="5">
        <f t="shared" si="20"/>
        <v>0</v>
      </c>
      <c r="N689" s="5">
        <f t="shared" si="21"/>
        <v>0</v>
      </c>
      <c r="O689" s="37"/>
    </row>
    <row r="690" spans="1:15" hidden="1" x14ac:dyDescent="0.3">
      <c r="A690" s="24" t="s">
        <v>1713</v>
      </c>
      <c r="B690" s="26" t="s">
        <v>112</v>
      </c>
      <c r="C690" s="29" t="s">
        <v>1717</v>
      </c>
      <c r="D690" s="136">
        <v>67</v>
      </c>
      <c r="E690" s="24"/>
      <c r="F690" s="24"/>
      <c r="G690" s="133" t="s">
        <v>1022</v>
      </c>
      <c r="H690" s="24"/>
      <c r="I690" s="24"/>
      <c r="J690" s="24"/>
      <c r="K690" s="24"/>
      <c r="L690" s="24"/>
      <c r="M690" s="5">
        <f t="shared" si="20"/>
        <v>67</v>
      </c>
      <c r="N690" s="5">
        <f t="shared" si="21"/>
        <v>0</v>
      </c>
      <c r="O690" s="37"/>
    </row>
    <row r="691" spans="1:15" hidden="1" x14ac:dyDescent="0.3">
      <c r="A691" s="24" t="s">
        <v>1713</v>
      </c>
      <c r="B691" s="26" t="s">
        <v>112</v>
      </c>
      <c r="C691" s="29" t="s">
        <v>1718</v>
      </c>
      <c r="D691" s="136"/>
      <c r="E691" s="24"/>
      <c r="F691" s="24"/>
      <c r="G691" s="134"/>
      <c r="H691" s="24"/>
      <c r="I691" s="24"/>
      <c r="J691" s="24"/>
      <c r="K691" s="24"/>
      <c r="L691" s="24"/>
      <c r="M691" s="5">
        <f t="shared" si="20"/>
        <v>0</v>
      </c>
      <c r="N691" s="5">
        <f t="shared" si="21"/>
        <v>0</v>
      </c>
      <c r="O691" s="37"/>
    </row>
    <row r="692" spans="1:15" hidden="1" x14ac:dyDescent="0.3">
      <c r="A692" s="24" t="s">
        <v>1707</v>
      </c>
      <c r="B692" s="26" t="s">
        <v>112</v>
      </c>
      <c r="C692" s="29" t="s">
        <v>1719</v>
      </c>
      <c r="D692" s="136"/>
      <c r="E692" s="24"/>
      <c r="F692" s="24"/>
      <c r="G692" s="135"/>
      <c r="H692" s="24"/>
      <c r="I692" s="24"/>
      <c r="J692" s="24"/>
      <c r="K692" s="24"/>
      <c r="L692" s="24"/>
      <c r="M692" s="5">
        <f t="shared" si="20"/>
        <v>0</v>
      </c>
      <c r="N692" s="5">
        <f t="shared" si="21"/>
        <v>0</v>
      </c>
      <c r="O692" s="37"/>
    </row>
    <row r="693" spans="1:15" hidden="1" x14ac:dyDescent="0.3">
      <c r="A693" s="24" t="s">
        <v>1707</v>
      </c>
      <c r="B693" s="26" t="s">
        <v>112</v>
      </c>
      <c r="C693" s="29" t="s">
        <v>1720</v>
      </c>
      <c r="D693" s="30">
        <v>123.72</v>
      </c>
      <c r="E693" s="34"/>
      <c r="F693" s="34"/>
      <c r="G693" s="24" t="s">
        <v>1022</v>
      </c>
      <c r="H693" s="24"/>
      <c r="I693" s="24"/>
      <c r="J693" s="24"/>
      <c r="K693" s="24"/>
      <c r="L693" s="24"/>
      <c r="M693" s="5">
        <f t="shared" si="20"/>
        <v>123.72</v>
      </c>
      <c r="N693" s="5">
        <f t="shared" si="21"/>
        <v>0</v>
      </c>
      <c r="O693" s="37"/>
    </row>
    <row r="694" spans="1:15" hidden="1" x14ac:dyDescent="0.3">
      <c r="A694" s="24" t="s">
        <v>1707</v>
      </c>
      <c r="B694" s="26" t="s">
        <v>112</v>
      </c>
      <c r="C694" s="29" t="s">
        <v>1721</v>
      </c>
      <c r="D694" s="30">
        <v>172.66</v>
      </c>
      <c r="E694" s="24"/>
      <c r="F694" s="24"/>
      <c r="G694" s="24" t="s">
        <v>1022</v>
      </c>
      <c r="H694" s="24"/>
      <c r="I694" s="24"/>
      <c r="J694" s="24"/>
      <c r="K694" s="24"/>
      <c r="L694" s="24"/>
      <c r="M694" s="5">
        <f t="shared" si="20"/>
        <v>172.66</v>
      </c>
      <c r="N694" s="5">
        <f t="shared" si="21"/>
        <v>0</v>
      </c>
      <c r="O694" s="37"/>
    </row>
    <row r="695" spans="1:15" hidden="1" x14ac:dyDescent="0.3">
      <c r="A695" s="24" t="s">
        <v>1707</v>
      </c>
      <c r="B695" s="26" t="s">
        <v>112</v>
      </c>
      <c r="C695" s="29" t="s">
        <v>1722</v>
      </c>
      <c r="D695" s="30">
        <v>172.66</v>
      </c>
      <c r="E695" s="24"/>
      <c r="F695" s="24"/>
      <c r="G695" s="24" t="s">
        <v>1022</v>
      </c>
      <c r="H695" s="24"/>
      <c r="I695" s="24"/>
      <c r="J695" s="24"/>
      <c r="K695" s="24"/>
      <c r="L695" s="24"/>
      <c r="M695" s="5">
        <f t="shared" si="20"/>
        <v>172.66</v>
      </c>
      <c r="N695" s="5">
        <f t="shared" si="21"/>
        <v>0</v>
      </c>
      <c r="O695" s="37"/>
    </row>
    <row r="696" spans="1:15" hidden="1" x14ac:dyDescent="0.3">
      <c r="A696" s="24" t="s">
        <v>1707</v>
      </c>
      <c r="B696" s="26" t="s">
        <v>112</v>
      </c>
      <c r="C696" s="29" t="s">
        <v>1723</v>
      </c>
      <c r="D696" s="30">
        <v>172.66</v>
      </c>
      <c r="E696" s="24"/>
      <c r="F696" s="24"/>
      <c r="G696" s="24" t="s">
        <v>1022</v>
      </c>
      <c r="H696" s="24"/>
      <c r="I696" s="24"/>
      <c r="J696" s="24"/>
      <c r="K696" s="24"/>
      <c r="L696" s="24"/>
      <c r="M696" s="5">
        <f t="shared" si="20"/>
        <v>172.66</v>
      </c>
      <c r="N696" s="5">
        <f t="shared" si="21"/>
        <v>0</v>
      </c>
      <c r="O696" s="37"/>
    </row>
    <row r="697" spans="1:15" x14ac:dyDescent="0.3">
      <c r="A697" s="24" t="s">
        <v>1707</v>
      </c>
      <c r="B697" s="26" t="s">
        <v>112</v>
      </c>
      <c r="C697" s="29" t="s">
        <v>1724</v>
      </c>
      <c r="D697" s="30">
        <v>203.3</v>
      </c>
      <c r="E697" s="24"/>
      <c r="F697" s="24"/>
      <c r="G697" s="34" t="s">
        <v>74</v>
      </c>
      <c r="H697" s="24"/>
      <c r="I697" s="24"/>
      <c r="J697" s="24"/>
      <c r="K697" s="24"/>
      <c r="L697" s="24"/>
      <c r="M697" s="5">
        <f t="shared" si="20"/>
        <v>0</v>
      </c>
      <c r="N697" s="5">
        <f t="shared" si="21"/>
        <v>203.3</v>
      </c>
      <c r="O697" s="37"/>
    </row>
    <row r="698" spans="1:15" x14ac:dyDescent="0.3">
      <c r="A698" s="24" t="s">
        <v>1707</v>
      </c>
      <c r="B698" s="26" t="s">
        <v>112</v>
      </c>
      <c r="C698" s="29" t="s">
        <v>1725</v>
      </c>
      <c r="D698" s="30">
        <v>203.29</v>
      </c>
      <c r="E698" s="34"/>
      <c r="F698" s="34"/>
      <c r="G698" s="34" t="s">
        <v>74</v>
      </c>
      <c r="H698" s="24"/>
      <c r="I698" s="24"/>
      <c r="J698" s="24"/>
      <c r="K698" s="24"/>
      <c r="L698" s="24"/>
      <c r="M698" s="5">
        <f t="shared" si="20"/>
        <v>0</v>
      </c>
      <c r="N698" s="5">
        <f t="shared" si="21"/>
        <v>203.29</v>
      </c>
      <c r="O698" s="37"/>
    </row>
    <row r="699" spans="1:15" x14ac:dyDescent="0.3">
      <c r="A699" s="24" t="s">
        <v>1707</v>
      </c>
      <c r="B699" s="26" t="s">
        <v>112</v>
      </c>
      <c r="C699" s="29" t="s">
        <v>1726</v>
      </c>
      <c r="D699" s="30">
        <v>203.29</v>
      </c>
      <c r="E699" s="24"/>
      <c r="F699" s="24"/>
      <c r="G699" s="34" t="s">
        <v>74</v>
      </c>
      <c r="H699" s="24"/>
      <c r="I699" s="24"/>
      <c r="J699" s="24"/>
      <c r="K699" s="24"/>
      <c r="L699" s="24"/>
      <c r="M699" s="5">
        <f t="shared" si="20"/>
        <v>0</v>
      </c>
      <c r="N699" s="5">
        <f t="shared" si="21"/>
        <v>203.29</v>
      </c>
      <c r="O699" s="37"/>
    </row>
    <row r="700" spans="1:15" hidden="1" x14ac:dyDescent="0.3">
      <c r="A700" s="24" t="s">
        <v>1707</v>
      </c>
      <c r="B700" s="26" t="s">
        <v>112</v>
      </c>
      <c r="C700" s="29" t="s">
        <v>1727</v>
      </c>
      <c r="D700" s="30">
        <v>104.35</v>
      </c>
      <c r="E700" s="24"/>
      <c r="F700" s="24"/>
      <c r="G700" s="24" t="s">
        <v>1022</v>
      </c>
      <c r="H700" s="24"/>
      <c r="I700" s="24"/>
      <c r="J700" s="24"/>
      <c r="K700" s="24"/>
      <c r="L700" s="24"/>
      <c r="M700" s="5">
        <f t="shared" si="20"/>
        <v>104.35</v>
      </c>
      <c r="N700" s="5">
        <f t="shared" si="21"/>
        <v>0</v>
      </c>
      <c r="O700" s="37"/>
    </row>
    <row r="701" spans="1:15" hidden="1" x14ac:dyDescent="0.3">
      <c r="A701" s="24" t="s">
        <v>1707</v>
      </c>
      <c r="B701" s="26" t="s">
        <v>112</v>
      </c>
      <c r="C701" s="29" t="s">
        <v>1728</v>
      </c>
      <c r="D701" s="30">
        <v>119.26</v>
      </c>
      <c r="E701" s="24"/>
      <c r="F701" s="24"/>
      <c r="G701" s="24" t="s">
        <v>1022</v>
      </c>
      <c r="H701" s="24"/>
      <c r="I701" s="24"/>
      <c r="J701" s="24"/>
      <c r="K701" s="24"/>
      <c r="L701" s="24"/>
      <c r="M701" s="5">
        <f t="shared" si="20"/>
        <v>119.26</v>
      </c>
      <c r="N701" s="5">
        <f t="shared" si="21"/>
        <v>0</v>
      </c>
      <c r="O701" s="37"/>
    </row>
    <row r="702" spans="1:15" hidden="1" x14ac:dyDescent="0.3">
      <c r="A702" s="24" t="s">
        <v>1713</v>
      </c>
      <c r="B702" s="26" t="s">
        <v>112</v>
      </c>
      <c r="C702" s="29" t="s">
        <v>1729</v>
      </c>
      <c r="D702" s="30">
        <v>201.6</v>
      </c>
      <c r="E702" s="24"/>
      <c r="F702" s="24"/>
      <c r="G702" s="24" t="s">
        <v>1022</v>
      </c>
      <c r="H702" s="24"/>
      <c r="I702" s="24"/>
      <c r="J702" s="24"/>
      <c r="K702" s="24"/>
      <c r="L702" s="24"/>
      <c r="M702" s="5">
        <f t="shared" si="20"/>
        <v>201.6</v>
      </c>
      <c r="N702" s="5">
        <f t="shared" si="21"/>
        <v>0</v>
      </c>
      <c r="O702" s="37"/>
    </row>
    <row r="703" spans="1:15" hidden="1" x14ac:dyDescent="0.3">
      <c r="A703" s="24" t="s">
        <v>1713</v>
      </c>
      <c r="B703" s="26" t="s">
        <v>112</v>
      </c>
      <c r="C703" s="29">
        <v>501</v>
      </c>
      <c r="D703" s="132">
        <v>323</v>
      </c>
      <c r="E703" s="24"/>
      <c r="F703" s="24"/>
      <c r="G703" s="133" t="s">
        <v>1022</v>
      </c>
      <c r="H703" s="24"/>
      <c r="I703" s="24"/>
      <c r="J703" s="24"/>
      <c r="K703" s="24"/>
      <c r="L703" s="24"/>
      <c r="M703" s="5">
        <f t="shared" si="20"/>
        <v>323</v>
      </c>
      <c r="N703" s="5">
        <f t="shared" si="21"/>
        <v>0</v>
      </c>
      <c r="O703" s="37"/>
    </row>
    <row r="704" spans="1:15" hidden="1" x14ac:dyDescent="0.3">
      <c r="A704" s="24" t="s">
        <v>1713</v>
      </c>
      <c r="B704" s="26" t="s">
        <v>112</v>
      </c>
      <c r="C704" s="29">
        <v>502</v>
      </c>
      <c r="D704" s="132"/>
      <c r="E704" s="24"/>
      <c r="F704" s="24"/>
      <c r="G704" s="135"/>
      <c r="H704" s="24"/>
      <c r="I704" s="24"/>
      <c r="J704" s="24"/>
      <c r="K704" s="24"/>
      <c r="L704" s="24"/>
      <c r="M704" s="5">
        <f t="shared" si="20"/>
        <v>0</v>
      </c>
      <c r="N704" s="5">
        <f t="shared" si="21"/>
        <v>0</v>
      </c>
      <c r="O704" s="37"/>
    </row>
    <row r="705" spans="1:15" hidden="1" x14ac:dyDescent="0.3">
      <c r="A705" s="24" t="s">
        <v>1713</v>
      </c>
      <c r="B705" s="26" t="s">
        <v>112</v>
      </c>
      <c r="C705" s="29">
        <v>503</v>
      </c>
      <c r="D705" s="27">
        <v>280.60000000000002</v>
      </c>
      <c r="E705" s="24"/>
      <c r="F705" s="24"/>
      <c r="G705" s="24" t="s">
        <v>1022</v>
      </c>
      <c r="H705" s="24"/>
      <c r="I705" s="24"/>
      <c r="J705" s="24"/>
      <c r="K705" s="24"/>
      <c r="L705" s="24"/>
      <c r="M705" s="5">
        <f t="shared" si="20"/>
        <v>280.60000000000002</v>
      </c>
      <c r="N705" s="5">
        <f t="shared" si="21"/>
        <v>0</v>
      </c>
      <c r="O705" s="37"/>
    </row>
    <row r="706" spans="1:15" hidden="1" x14ac:dyDescent="0.3">
      <c r="A706" s="24" t="s">
        <v>1713</v>
      </c>
      <c r="B706" s="26" t="s">
        <v>112</v>
      </c>
      <c r="C706" s="29">
        <v>505</v>
      </c>
      <c r="D706" s="43">
        <v>362.05200000000002</v>
      </c>
      <c r="E706" s="24"/>
      <c r="F706" s="24"/>
      <c r="G706" s="24" t="s">
        <v>1022</v>
      </c>
      <c r="H706" s="24"/>
      <c r="I706" s="24"/>
      <c r="J706" s="24"/>
      <c r="K706" s="24"/>
      <c r="L706" s="24"/>
      <c r="M706" s="5">
        <f t="shared" si="20"/>
        <v>362.05200000000002</v>
      </c>
      <c r="N706" s="5">
        <f t="shared" si="21"/>
        <v>0</v>
      </c>
      <c r="O706" s="37"/>
    </row>
    <row r="707" spans="1:15" hidden="1" x14ac:dyDescent="0.3">
      <c r="A707" s="24" t="s">
        <v>1713</v>
      </c>
      <c r="B707" s="26" t="s">
        <v>112</v>
      </c>
      <c r="C707" s="29">
        <v>506</v>
      </c>
      <c r="D707" s="27">
        <v>104.15</v>
      </c>
      <c r="E707" s="24"/>
      <c r="F707" s="24"/>
      <c r="G707" s="24" t="s">
        <v>1022</v>
      </c>
      <c r="H707" s="24"/>
      <c r="I707" s="24"/>
      <c r="J707" s="24"/>
      <c r="K707" s="24"/>
      <c r="L707" s="24"/>
      <c r="M707" s="5">
        <f t="shared" ref="M707:M770" si="22">IF(G707="已出租",D707,0)</f>
        <v>104.15</v>
      </c>
      <c r="N707" s="5">
        <f t="shared" ref="N707:N770" si="23">IF(G707="未出租",D707,0)</f>
        <v>0</v>
      </c>
      <c r="O707" s="37"/>
    </row>
    <row r="708" spans="1:15" x14ac:dyDescent="0.3">
      <c r="A708" s="24" t="s">
        <v>1713</v>
      </c>
      <c r="B708" s="26" t="s">
        <v>112</v>
      </c>
      <c r="C708" s="29">
        <v>508</v>
      </c>
      <c r="D708" s="27">
        <v>103.87</v>
      </c>
      <c r="E708" s="24"/>
      <c r="F708" s="24"/>
      <c r="G708" s="34" t="s">
        <v>74</v>
      </c>
      <c r="H708" s="24"/>
      <c r="I708" s="24"/>
      <c r="J708" s="24"/>
      <c r="K708" s="24"/>
      <c r="L708" s="24"/>
      <c r="M708" s="5">
        <f t="shared" si="22"/>
        <v>0</v>
      </c>
      <c r="N708" s="5">
        <f t="shared" si="23"/>
        <v>103.87</v>
      </c>
      <c r="O708" s="37"/>
    </row>
    <row r="709" spans="1:15" hidden="1" x14ac:dyDescent="0.3">
      <c r="A709" s="24" t="s">
        <v>1713</v>
      </c>
      <c r="B709" s="26" t="s">
        <v>112</v>
      </c>
      <c r="C709" s="29">
        <v>509</v>
      </c>
      <c r="D709" s="27">
        <v>178.5</v>
      </c>
      <c r="E709" s="24"/>
      <c r="F709" s="24"/>
      <c r="G709" s="24" t="s">
        <v>1022</v>
      </c>
      <c r="H709" s="24"/>
      <c r="I709" s="24"/>
      <c r="J709" s="24"/>
      <c r="K709" s="24"/>
      <c r="L709" s="24"/>
      <c r="M709" s="5">
        <f t="shared" si="22"/>
        <v>178.5</v>
      </c>
      <c r="N709" s="5">
        <f t="shared" si="23"/>
        <v>0</v>
      </c>
      <c r="O709" s="37"/>
    </row>
    <row r="710" spans="1:15" hidden="1" x14ac:dyDescent="0.3">
      <c r="A710" s="24" t="s">
        <v>1713</v>
      </c>
      <c r="B710" s="26" t="s">
        <v>112</v>
      </c>
      <c r="C710" s="29">
        <v>510</v>
      </c>
      <c r="D710" s="27">
        <v>180.14</v>
      </c>
      <c r="E710" s="24"/>
      <c r="F710" s="24"/>
      <c r="G710" s="24" t="s">
        <v>1022</v>
      </c>
      <c r="H710" s="24"/>
      <c r="I710" s="24"/>
      <c r="J710" s="24"/>
      <c r="K710" s="24"/>
      <c r="L710" s="24"/>
      <c r="M710" s="5">
        <f t="shared" si="22"/>
        <v>180.14</v>
      </c>
      <c r="N710" s="5">
        <f t="shared" si="23"/>
        <v>0</v>
      </c>
      <c r="O710" s="37"/>
    </row>
    <row r="711" spans="1:15" hidden="1" x14ac:dyDescent="0.3">
      <c r="A711" s="24" t="s">
        <v>1713</v>
      </c>
      <c r="B711" s="26" t="s">
        <v>112</v>
      </c>
      <c r="C711" s="29">
        <v>511</v>
      </c>
      <c r="D711" s="27">
        <v>118.53</v>
      </c>
      <c r="E711" s="24"/>
      <c r="F711" s="24"/>
      <c r="G711" s="24" t="s">
        <v>1022</v>
      </c>
      <c r="H711" s="24"/>
      <c r="I711" s="24"/>
      <c r="J711" s="24"/>
      <c r="K711" s="24"/>
      <c r="L711" s="24"/>
      <c r="M711" s="5">
        <f t="shared" si="22"/>
        <v>118.53</v>
      </c>
      <c r="N711" s="5">
        <f t="shared" si="23"/>
        <v>0</v>
      </c>
      <c r="O711" s="37"/>
    </row>
    <row r="712" spans="1:15" hidden="1" x14ac:dyDescent="0.3">
      <c r="A712" s="24" t="s">
        <v>1713</v>
      </c>
      <c r="B712" s="26" t="s">
        <v>112</v>
      </c>
      <c r="C712" s="29">
        <v>512</v>
      </c>
      <c r="D712" s="27">
        <v>222.77</v>
      </c>
      <c r="E712" s="24"/>
      <c r="F712" s="24"/>
      <c r="G712" s="24" t="s">
        <v>1022</v>
      </c>
      <c r="H712" s="24"/>
      <c r="I712" s="24"/>
      <c r="J712" s="24"/>
      <c r="K712" s="24"/>
      <c r="L712" s="24"/>
      <c r="M712" s="5">
        <f t="shared" si="22"/>
        <v>222.77</v>
      </c>
      <c r="N712" s="5">
        <f t="shared" si="23"/>
        <v>0</v>
      </c>
      <c r="O712" s="37"/>
    </row>
    <row r="713" spans="1:15" hidden="1" x14ac:dyDescent="0.3">
      <c r="A713" s="24" t="s">
        <v>1713</v>
      </c>
      <c r="B713" s="26" t="s">
        <v>112</v>
      </c>
      <c r="C713" s="29">
        <v>512</v>
      </c>
      <c r="D713" s="27">
        <v>73.45</v>
      </c>
      <c r="E713" s="24"/>
      <c r="F713" s="24"/>
      <c r="G713" s="24" t="s">
        <v>1022</v>
      </c>
      <c r="H713" s="24"/>
      <c r="I713" s="24"/>
      <c r="J713" s="24"/>
      <c r="K713" s="24"/>
      <c r="L713" s="24"/>
      <c r="M713" s="5">
        <f t="shared" si="22"/>
        <v>73.45</v>
      </c>
      <c r="N713" s="5">
        <f t="shared" si="23"/>
        <v>0</v>
      </c>
      <c r="O713" s="37"/>
    </row>
    <row r="714" spans="1:15" hidden="1" x14ac:dyDescent="0.3">
      <c r="A714" s="24" t="s">
        <v>1713</v>
      </c>
      <c r="B714" s="26" t="s">
        <v>112</v>
      </c>
      <c r="C714" s="29">
        <v>513</v>
      </c>
      <c r="D714" s="27">
        <v>278.73</v>
      </c>
      <c r="E714" s="24"/>
      <c r="F714" s="24"/>
      <c r="G714" s="24" t="s">
        <v>1022</v>
      </c>
      <c r="H714" s="24"/>
      <c r="I714" s="24"/>
      <c r="J714" s="24"/>
      <c r="K714" s="24"/>
      <c r="L714" s="24"/>
      <c r="M714" s="5">
        <f t="shared" si="22"/>
        <v>278.73</v>
      </c>
      <c r="N714" s="5">
        <f t="shared" si="23"/>
        <v>0</v>
      </c>
      <c r="O714" s="37"/>
    </row>
    <row r="715" spans="1:15" hidden="1" x14ac:dyDescent="0.3">
      <c r="A715" s="24" t="s">
        <v>1713</v>
      </c>
      <c r="B715" s="26" t="s">
        <v>112</v>
      </c>
      <c r="C715" s="29" t="s">
        <v>1730</v>
      </c>
      <c r="D715" s="27">
        <v>443</v>
      </c>
      <c r="E715" s="40"/>
      <c r="F715" s="40"/>
      <c r="G715" s="24" t="s">
        <v>1022</v>
      </c>
      <c r="H715" s="24"/>
      <c r="I715" s="24"/>
      <c r="J715" s="24"/>
      <c r="K715" s="24"/>
      <c r="L715" s="24"/>
      <c r="M715" s="5">
        <f t="shared" si="22"/>
        <v>443</v>
      </c>
      <c r="N715" s="5">
        <f t="shared" si="23"/>
        <v>0</v>
      </c>
      <c r="O715" s="37"/>
    </row>
    <row r="716" spans="1:15" hidden="1" x14ac:dyDescent="0.3">
      <c r="A716" s="24" t="s">
        <v>1713</v>
      </c>
      <c r="B716" s="26" t="s">
        <v>112</v>
      </c>
      <c r="C716" s="29">
        <v>515</v>
      </c>
      <c r="D716" s="27">
        <v>106.14</v>
      </c>
      <c r="E716" s="42"/>
      <c r="F716" s="42"/>
      <c r="G716" s="24" t="s">
        <v>1022</v>
      </c>
      <c r="H716" s="24"/>
      <c r="I716" s="24"/>
      <c r="J716" s="24"/>
      <c r="K716" s="24"/>
      <c r="L716" s="24"/>
      <c r="M716" s="5">
        <f t="shared" si="22"/>
        <v>106.14</v>
      </c>
      <c r="N716" s="5">
        <f t="shared" si="23"/>
        <v>0</v>
      </c>
      <c r="O716" s="37"/>
    </row>
    <row r="717" spans="1:15" x14ac:dyDescent="0.3">
      <c r="A717" s="24" t="s">
        <v>1713</v>
      </c>
      <c r="B717" s="26" t="s">
        <v>112</v>
      </c>
      <c r="C717" s="29">
        <v>516</v>
      </c>
      <c r="D717" s="27">
        <v>129.75</v>
      </c>
      <c r="E717" s="34"/>
      <c r="F717" s="34"/>
      <c r="G717" s="34" t="s">
        <v>74</v>
      </c>
      <c r="H717" s="24"/>
      <c r="I717" s="24"/>
      <c r="J717" s="24"/>
      <c r="K717" s="24"/>
      <c r="L717" s="24"/>
      <c r="M717" s="5">
        <f t="shared" si="22"/>
        <v>0</v>
      </c>
      <c r="N717" s="5">
        <f t="shared" si="23"/>
        <v>129.75</v>
      </c>
      <c r="O717" s="37"/>
    </row>
    <row r="718" spans="1:15" hidden="1" x14ac:dyDescent="0.3">
      <c r="A718" s="24" t="s">
        <v>1713</v>
      </c>
      <c r="B718" s="26" t="s">
        <v>112</v>
      </c>
      <c r="C718" s="29" t="s">
        <v>1731</v>
      </c>
      <c r="D718" s="27">
        <v>130.85</v>
      </c>
      <c r="E718" s="34"/>
      <c r="F718" s="34"/>
      <c r="G718" s="24" t="s">
        <v>1022</v>
      </c>
      <c r="H718" s="24"/>
      <c r="I718" s="24"/>
      <c r="J718" s="24"/>
      <c r="K718" s="24"/>
      <c r="L718" s="24"/>
      <c r="M718" s="5">
        <f t="shared" si="22"/>
        <v>130.85</v>
      </c>
      <c r="N718" s="5">
        <f t="shared" si="23"/>
        <v>0</v>
      </c>
      <c r="O718" s="37"/>
    </row>
    <row r="719" spans="1:15" hidden="1" x14ac:dyDescent="0.3">
      <c r="A719" s="24" t="s">
        <v>1713</v>
      </c>
      <c r="B719" s="26" t="s">
        <v>112</v>
      </c>
      <c r="C719" s="29">
        <v>518</v>
      </c>
      <c r="D719" s="27">
        <v>214.87</v>
      </c>
      <c r="E719" s="34"/>
      <c r="F719" s="34"/>
      <c r="G719" s="24" t="s">
        <v>1022</v>
      </c>
      <c r="H719" s="24"/>
      <c r="I719" s="24"/>
      <c r="J719" s="24"/>
      <c r="K719" s="24"/>
      <c r="L719" s="24"/>
      <c r="M719" s="5">
        <f t="shared" si="22"/>
        <v>214.87</v>
      </c>
      <c r="N719" s="5">
        <f t="shared" si="23"/>
        <v>0</v>
      </c>
      <c r="O719" s="37"/>
    </row>
    <row r="720" spans="1:15" hidden="1" x14ac:dyDescent="0.3">
      <c r="A720" s="24" t="s">
        <v>1713</v>
      </c>
      <c r="B720" s="26" t="s">
        <v>112</v>
      </c>
      <c r="C720" s="29">
        <v>519</v>
      </c>
      <c r="D720" s="27">
        <v>335</v>
      </c>
      <c r="E720" s="34"/>
      <c r="F720" s="34"/>
      <c r="G720" s="24" t="s">
        <v>1022</v>
      </c>
      <c r="H720" s="24"/>
      <c r="I720" s="24"/>
      <c r="J720" s="24"/>
      <c r="K720" s="24"/>
      <c r="L720" s="24"/>
      <c r="M720" s="5">
        <f t="shared" si="22"/>
        <v>335</v>
      </c>
      <c r="N720" s="5">
        <f t="shared" si="23"/>
        <v>0</v>
      </c>
      <c r="O720" s="37"/>
    </row>
    <row r="721" spans="1:15" hidden="1" x14ac:dyDescent="0.3">
      <c r="A721" s="24" t="s">
        <v>1713</v>
      </c>
      <c r="B721" s="26" t="s">
        <v>112</v>
      </c>
      <c r="C721" s="29" t="s">
        <v>1732</v>
      </c>
      <c r="D721" s="27">
        <v>14.86</v>
      </c>
      <c r="E721" s="24"/>
      <c r="F721" s="24"/>
      <c r="G721" s="24" t="s">
        <v>1022</v>
      </c>
      <c r="H721" s="24"/>
      <c r="I721" s="24"/>
      <c r="J721" s="24"/>
      <c r="K721" s="24"/>
      <c r="L721" s="24"/>
      <c r="M721" s="5">
        <f t="shared" si="22"/>
        <v>14.86</v>
      </c>
      <c r="N721" s="5">
        <f t="shared" si="23"/>
        <v>0</v>
      </c>
      <c r="O721" s="37"/>
    </row>
    <row r="722" spans="1:15" x14ac:dyDescent="0.3">
      <c r="A722" s="24" t="s">
        <v>1713</v>
      </c>
      <c r="B722" s="26" t="s">
        <v>112</v>
      </c>
      <c r="C722" s="29" t="s">
        <v>1733</v>
      </c>
      <c r="D722" s="27">
        <v>235.76</v>
      </c>
      <c r="E722" s="24"/>
      <c r="F722" s="24"/>
      <c r="G722" s="34" t="s">
        <v>74</v>
      </c>
      <c r="H722" s="24"/>
      <c r="I722" s="24"/>
      <c r="J722" s="24"/>
      <c r="K722" s="24"/>
      <c r="L722" s="24"/>
      <c r="M722" s="5">
        <f t="shared" si="22"/>
        <v>0</v>
      </c>
      <c r="N722" s="5">
        <f t="shared" si="23"/>
        <v>235.76</v>
      </c>
      <c r="O722" s="37"/>
    </row>
    <row r="723" spans="1:15" hidden="1" x14ac:dyDescent="0.3">
      <c r="A723" s="24" t="s">
        <v>1713</v>
      </c>
      <c r="B723" s="26" t="s">
        <v>112</v>
      </c>
      <c r="C723" s="29" t="s">
        <v>1734</v>
      </c>
      <c r="D723" s="132">
        <v>55.65</v>
      </c>
      <c r="E723" s="24"/>
      <c r="F723" s="24"/>
      <c r="G723" s="133" t="s">
        <v>1022</v>
      </c>
      <c r="H723" s="24"/>
      <c r="I723" s="24"/>
      <c r="J723" s="24"/>
      <c r="K723" s="24"/>
      <c r="L723" s="24"/>
      <c r="M723" s="5">
        <f t="shared" si="22"/>
        <v>55.65</v>
      </c>
      <c r="N723" s="5">
        <f t="shared" si="23"/>
        <v>0</v>
      </c>
      <c r="O723" s="37"/>
    </row>
    <row r="724" spans="1:15" hidden="1" x14ac:dyDescent="0.3">
      <c r="A724" s="24" t="s">
        <v>1713</v>
      </c>
      <c r="B724" s="26" t="s">
        <v>112</v>
      </c>
      <c r="C724" s="29" t="s">
        <v>1735</v>
      </c>
      <c r="D724" s="132"/>
      <c r="E724" s="24"/>
      <c r="F724" s="24"/>
      <c r="G724" s="135"/>
      <c r="H724" s="24"/>
      <c r="I724" s="24"/>
      <c r="J724" s="24"/>
      <c r="K724" s="24"/>
      <c r="L724" s="24"/>
      <c r="M724" s="5">
        <f t="shared" si="22"/>
        <v>0</v>
      </c>
      <c r="N724" s="5">
        <f t="shared" si="23"/>
        <v>0</v>
      </c>
      <c r="O724" s="37"/>
    </row>
    <row r="725" spans="1:15" hidden="1" x14ac:dyDescent="0.3">
      <c r="A725" s="24" t="s">
        <v>1713</v>
      </c>
      <c r="B725" s="26" t="s">
        <v>112</v>
      </c>
      <c r="C725" s="29" t="s">
        <v>1736</v>
      </c>
      <c r="D725" s="27">
        <v>86.66</v>
      </c>
      <c r="E725" s="24"/>
      <c r="F725" s="24"/>
      <c r="G725" s="24" t="s">
        <v>1022</v>
      </c>
      <c r="H725" s="24"/>
      <c r="I725" s="24"/>
      <c r="J725" s="24"/>
      <c r="K725" s="24"/>
      <c r="L725" s="24"/>
      <c r="M725" s="5">
        <f t="shared" si="22"/>
        <v>86.66</v>
      </c>
      <c r="N725" s="5">
        <f t="shared" si="23"/>
        <v>0</v>
      </c>
      <c r="O725" s="37"/>
    </row>
    <row r="726" spans="1:15" x14ac:dyDescent="0.3">
      <c r="A726" s="24" t="s">
        <v>1713</v>
      </c>
      <c r="B726" s="26" t="s">
        <v>112</v>
      </c>
      <c r="C726" s="29">
        <v>520</v>
      </c>
      <c r="D726" s="27">
        <v>33.51</v>
      </c>
      <c r="E726" s="24"/>
      <c r="F726" s="24"/>
      <c r="G726" s="34" t="s">
        <v>74</v>
      </c>
      <c r="H726" s="24"/>
      <c r="I726" s="24"/>
      <c r="J726" s="24"/>
      <c r="K726" s="24"/>
      <c r="L726" s="24"/>
      <c r="M726" s="5">
        <f t="shared" si="22"/>
        <v>0</v>
      </c>
      <c r="N726" s="5">
        <f t="shared" si="23"/>
        <v>33.51</v>
      </c>
      <c r="O726" s="37"/>
    </row>
    <row r="727" spans="1:15" hidden="1" x14ac:dyDescent="0.3">
      <c r="A727" s="24" t="s">
        <v>1713</v>
      </c>
      <c r="B727" s="26" t="s">
        <v>112</v>
      </c>
      <c r="C727" s="29" t="s">
        <v>1719</v>
      </c>
      <c r="D727" s="30"/>
      <c r="E727" s="24"/>
      <c r="F727" s="24"/>
      <c r="G727" s="42"/>
      <c r="H727" s="24"/>
      <c r="I727" s="24"/>
      <c r="J727" s="24"/>
      <c r="K727" s="24"/>
      <c r="L727" s="24"/>
      <c r="M727" s="5">
        <f t="shared" si="22"/>
        <v>0</v>
      </c>
      <c r="N727" s="5">
        <f t="shared" si="23"/>
        <v>0</v>
      </c>
      <c r="O727" s="37"/>
    </row>
    <row r="728" spans="1:15" hidden="1" x14ac:dyDescent="0.3">
      <c r="A728" s="24" t="s">
        <v>1737</v>
      </c>
      <c r="B728" s="26" t="s">
        <v>112</v>
      </c>
      <c r="C728" s="29" t="s">
        <v>1720</v>
      </c>
      <c r="D728" s="30">
        <v>123.72</v>
      </c>
      <c r="E728" s="24"/>
      <c r="F728" s="24"/>
      <c r="G728" s="24" t="s">
        <v>1022</v>
      </c>
      <c r="H728" s="24"/>
      <c r="I728" s="24"/>
      <c r="J728" s="24"/>
      <c r="K728" s="24"/>
      <c r="L728" s="24"/>
      <c r="M728" s="5">
        <f t="shared" si="22"/>
        <v>123.72</v>
      </c>
      <c r="N728" s="5">
        <f t="shared" si="23"/>
        <v>0</v>
      </c>
      <c r="O728" s="37"/>
    </row>
    <row r="729" spans="1:15" hidden="1" x14ac:dyDescent="0.3">
      <c r="A729" s="24" t="s">
        <v>1737</v>
      </c>
      <c r="B729" s="26" t="s">
        <v>112</v>
      </c>
      <c r="C729" s="29" t="s">
        <v>1721</v>
      </c>
      <c r="D729" s="30">
        <v>172.66</v>
      </c>
      <c r="E729" s="24"/>
      <c r="F729" s="24"/>
      <c r="G729" s="24" t="s">
        <v>1022</v>
      </c>
      <c r="H729" s="24"/>
      <c r="I729" s="24"/>
      <c r="J729" s="24"/>
      <c r="K729" s="24"/>
      <c r="L729" s="24"/>
      <c r="M729" s="5">
        <f t="shared" si="22"/>
        <v>172.66</v>
      </c>
      <c r="N729" s="5">
        <f t="shared" si="23"/>
        <v>0</v>
      </c>
      <c r="O729" s="37"/>
    </row>
    <row r="730" spans="1:15" hidden="1" x14ac:dyDescent="0.3">
      <c r="A730" s="24" t="s">
        <v>1737</v>
      </c>
      <c r="B730" s="26" t="s">
        <v>112</v>
      </c>
      <c r="C730" s="29" t="s">
        <v>1722</v>
      </c>
      <c r="D730" s="30">
        <v>172.66</v>
      </c>
      <c r="E730" s="24"/>
      <c r="F730" s="24"/>
      <c r="G730" s="24" t="s">
        <v>1022</v>
      </c>
      <c r="H730" s="24"/>
      <c r="I730" s="24"/>
      <c r="J730" s="24"/>
      <c r="K730" s="24"/>
      <c r="L730" s="24"/>
      <c r="M730" s="5">
        <f t="shared" si="22"/>
        <v>172.66</v>
      </c>
      <c r="N730" s="5">
        <f t="shared" si="23"/>
        <v>0</v>
      </c>
      <c r="O730" s="37"/>
    </row>
    <row r="731" spans="1:15" hidden="1" x14ac:dyDescent="0.3">
      <c r="A731" s="24" t="s">
        <v>1737</v>
      </c>
      <c r="B731" s="26" t="s">
        <v>112</v>
      </c>
      <c r="C731" s="29" t="s">
        <v>1723</v>
      </c>
      <c r="D731" s="30">
        <v>172.66</v>
      </c>
      <c r="E731" s="24"/>
      <c r="F731" s="24"/>
      <c r="G731" s="24" t="s">
        <v>1022</v>
      </c>
      <c r="H731" s="24"/>
      <c r="I731" s="24"/>
      <c r="J731" s="24"/>
      <c r="K731" s="24"/>
      <c r="L731" s="24"/>
      <c r="M731" s="5">
        <f t="shared" si="22"/>
        <v>172.66</v>
      </c>
      <c r="N731" s="5">
        <f t="shared" si="23"/>
        <v>0</v>
      </c>
      <c r="O731" s="37"/>
    </row>
    <row r="732" spans="1:15" x14ac:dyDescent="0.3">
      <c r="A732" s="24" t="s">
        <v>1737</v>
      </c>
      <c r="B732" s="26" t="s">
        <v>112</v>
      </c>
      <c r="C732" s="29" t="s">
        <v>1724</v>
      </c>
      <c r="D732" s="30">
        <v>203.3</v>
      </c>
      <c r="E732" s="34"/>
      <c r="F732" s="34"/>
      <c r="G732" s="34" t="s">
        <v>74</v>
      </c>
      <c r="H732" s="24"/>
      <c r="I732" s="24"/>
      <c r="J732" s="24"/>
      <c r="K732" s="24"/>
      <c r="L732" s="24"/>
      <c r="M732" s="5">
        <f t="shared" si="22"/>
        <v>0</v>
      </c>
      <c r="N732" s="5">
        <f t="shared" si="23"/>
        <v>203.3</v>
      </c>
      <c r="O732" s="37"/>
    </row>
    <row r="733" spans="1:15" x14ac:dyDescent="0.3">
      <c r="A733" s="24" t="s">
        <v>1737</v>
      </c>
      <c r="B733" s="26" t="s">
        <v>112</v>
      </c>
      <c r="C733" s="29" t="s">
        <v>1725</v>
      </c>
      <c r="D733" s="30">
        <v>203.29</v>
      </c>
      <c r="E733" s="34"/>
      <c r="F733" s="34"/>
      <c r="G733" s="34" t="s">
        <v>74</v>
      </c>
      <c r="H733" s="24"/>
      <c r="I733" s="24"/>
      <c r="J733" s="24"/>
      <c r="K733" s="24"/>
      <c r="L733" s="24"/>
      <c r="M733" s="5">
        <f t="shared" si="22"/>
        <v>0</v>
      </c>
      <c r="N733" s="5">
        <f t="shared" si="23"/>
        <v>203.29</v>
      </c>
      <c r="O733" s="37"/>
    </row>
    <row r="734" spans="1:15" x14ac:dyDescent="0.3">
      <c r="A734" s="24" t="s">
        <v>1737</v>
      </c>
      <c r="B734" s="26" t="s">
        <v>112</v>
      </c>
      <c r="C734" s="29" t="s">
        <v>1726</v>
      </c>
      <c r="D734" s="30">
        <v>203.29</v>
      </c>
      <c r="E734" s="34"/>
      <c r="F734" s="34"/>
      <c r="G734" s="34" t="s">
        <v>74</v>
      </c>
      <c r="H734" s="24"/>
      <c r="I734" s="24"/>
      <c r="J734" s="24"/>
      <c r="K734" s="24"/>
      <c r="L734" s="24"/>
      <c r="M734" s="5">
        <f t="shared" si="22"/>
        <v>0</v>
      </c>
      <c r="N734" s="5">
        <f t="shared" si="23"/>
        <v>203.29</v>
      </c>
      <c r="O734" s="37"/>
    </row>
    <row r="735" spans="1:15" hidden="1" x14ac:dyDescent="0.3">
      <c r="A735" s="24" t="s">
        <v>1737</v>
      </c>
      <c r="B735" s="26" t="s">
        <v>112</v>
      </c>
      <c r="C735" s="29" t="s">
        <v>1727</v>
      </c>
      <c r="D735" s="30">
        <v>104.35</v>
      </c>
      <c r="E735" s="24"/>
      <c r="F735" s="24"/>
      <c r="G735" s="24" t="s">
        <v>1022</v>
      </c>
      <c r="H735" s="24"/>
      <c r="I735" s="24"/>
      <c r="J735" s="24"/>
      <c r="K735" s="24"/>
      <c r="L735" s="24"/>
      <c r="M735" s="5">
        <f t="shared" si="22"/>
        <v>104.35</v>
      </c>
      <c r="N735" s="5">
        <f t="shared" si="23"/>
        <v>0</v>
      </c>
      <c r="O735" s="37"/>
    </row>
    <row r="736" spans="1:15" hidden="1" x14ac:dyDescent="0.3">
      <c r="A736" s="24" t="s">
        <v>1737</v>
      </c>
      <c r="B736" s="26" t="s">
        <v>112</v>
      </c>
      <c r="C736" s="29" t="s">
        <v>1728</v>
      </c>
      <c r="D736" s="30">
        <f>223.61-104.35</f>
        <v>119.26</v>
      </c>
      <c r="E736" s="24"/>
      <c r="F736" s="24"/>
      <c r="G736" s="24" t="s">
        <v>1022</v>
      </c>
      <c r="H736" s="24"/>
      <c r="I736" s="24"/>
      <c r="J736" s="24"/>
      <c r="K736" s="24"/>
      <c r="L736" s="24"/>
      <c r="M736" s="5">
        <f t="shared" si="22"/>
        <v>119.26</v>
      </c>
      <c r="N736" s="5">
        <f t="shared" si="23"/>
        <v>0</v>
      </c>
      <c r="O736" s="37"/>
    </row>
    <row r="737" spans="1:15" hidden="1" x14ac:dyDescent="0.3">
      <c r="A737" s="24" t="s">
        <v>1737</v>
      </c>
      <c r="B737" s="26" t="s">
        <v>112</v>
      </c>
      <c r="C737" s="29" t="s">
        <v>1729</v>
      </c>
      <c r="D737" s="30">
        <v>201.6</v>
      </c>
      <c r="E737" s="24"/>
      <c r="F737" s="24"/>
      <c r="G737" s="24" t="s">
        <v>1022</v>
      </c>
      <c r="H737" s="24"/>
      <c r="I737" s="24"/>
      <c r="J737" s="24"/>
      <c r="K737" s="24"/>
      <c r="L737" s="24"/>
      <c r="M737" s="5">
        <f t="shared" si="22"/>
        <v>201.6</v>
      </c>
      <c r="N737" s="5">
        <f t="shared" si="23"/>
        <v>0</v>
      </c>
      <c r="O737" s="37"/>
    </row>
    <row r="738" spans="1:15" ht="14" hidden="1" x14ac:dyDescent="0.3">
      <c r="A738" s="24" t="s">
        <v>1737</v>
      </c>
      <c r="B738" s="29" t="s">
        <v>114</v>
      </c>
      <c r="C738" s="29">
        <v>501</v>
      </c>
      <c r="D738" s="132">
        <v>323</v>
      </c>
      <c r="E738" s="40"/>
      <c r="F738" s="40"/>
      <c r="G738" s="133" t="s">
        <v>1022</v>
      </c>
      <c r="H738" s="24"/>
      <c r="I738" s="24"/>
      <c r="J738" s="24"/>
      <c r="K738" s="24"/>
      <c r="L738" s="24"/>
      <c r="M738" s="5">
        <f t="shared" si="22"/>
        <v>323</v>
      </c>
      <c r="N738" s="5">
        <f t="shared" si="23"/>
        <v>0</v>
      </c>
      <c r="O738" s="37"/>
    </row>
    <row r="739" spans="1:15" ht="14" hidden="1" x14ac:dyDescent="0.3">
      <c r="A739" s="24" t="s">
        <v>1737</v>
      </c>
      <c r="B739" s="29" t="s">
        <v>114</v>
      </c>
      <c r="C739" s="29">
        <v>502</v>
      </c>
      <c r="D739" s="132"/>
      <c r="E739" s="42"/>
      <c r="F739" s="42"/>
      <c r="G739" s="135"/>
      <c r="H739" s="24"/>
      <c r="I739" s="24"/>
      <c r="J739" s="24"/>
      <c r="K739" s="24"/>
      <c r="L739" s="24"/>
      <c r="M739" s="5">
        <f t="shared" si="22"/>
        <v>0</v>
      </c>
      <c r="N739" s="5">
        <f t="shared" si="23"/>
        <v>0</v>
      </c>
      <c r="O739" s="37"/>
    </row>
    <row r="740" spans="1:15" ht="14" hidden="1" x14ac:dyDescent="0.3">
      <c r="A740" s="24" t="s">
        <v>1737</v>
      </c>
      <c r="B740" s="29" t="s">
        <v>114</v>
      </c>
      <c r="C740" s="29">
        <v>503</v>
      </c>
      <c r="D740" s="27">
        <v>280.60000000000002</v>
      </c>
      <c r="E740" s="24"/>
      <c r="F740" s="24"/>
      <c r="G740" s="24" t="s">
        <v>1022</v>
      </c>
      <c r="H740" s="24"/>
      <c r="I740" s="24"/>
      <c r="J740" s="24"/>
      <c r="K740" s="24"/>
      <c r="L740" s="24"/>
      <c r="M740" s="5">
        <f t="shared" si="22"/>
        <v>280.60000000000002</v>
      </c>
      <c r="N740" s="5">
        <f t="shared" si="23"/>
        <v>0</v>
      </c>
      <c r="O740" s="37"/>
    </row>
    <row r="741" spans="1:15" ht="14" hidden="1" x14ac:dyDescent="0.3">
      <c r="A741" s="24" t="s">
        <v>1737</v>
      </c>
      <c r="B741" s="29" t="s">
        <v>114</v>
      </c>
      <c r="C741" s="29">
        <v>505</v>
      </c>
      <c r="D741" s="43">
        <v>362.05200000000002</v>
      </c>
      <c r="E741" s="24"/>
      <c r="F741" s="24"/>
      <c r="G741" s="24" t="s">
        <v>1022</v>
      </c>
      <c r="H741" s="24"/>
      <c r="I741" s="24"/>
      <c r="J741" s="24"/>
      <c r="K741" s="24"/>
      <c r="L741" s="24"/>
      <c r="M741" s="5">
        <f t="shared" si="22"/>
        <v>362.05200000000002</v>
      </c>
      <c r="N741" s="5">
        <f t="shared" si="23"/>
        <v>0</v>
      </c>
      <c r="O741" s="37"/>
    </row>
    <row r="742" spans="1:15" ht="14" hidden="1" x14ac:dyDescent="0.3">
      <c r="A742" s="24" t="s">
        <v>1737</v>
      </c>
      <c r="B742" s="29" t="s">
        <v>114</v>
      </c>
      <c r="C742" s="29">
        <v>506</v>
      </c>
      <c r="D742" s="27">
        <v>104.15</v>
      </c>
      <c r="E742" s="24"/>
      <c r="F742" s="24"/>
      <c r="G742" s="24" t="s">
        <v>1022</v>
      </c>
      <c r="H742" s="24"/>
      <c r="I742" s="24"/>
      <c r="J742" s="24"/>
      <c r="K742" s="24"/>
      <c r="L742" s="24"/>
      <c r="M742" s="5">
        <f t="shared" si="22"/>
        <v>104.15</v>
      </c>
      <c r="N742" s="5">
        <f t="shared" si="23"/>
        <v>0</v>
      </c>
      <c r="O742" s="37"/>
    </row>
    <row r="743" spans="1:15" ht="14" x14ac:dyDescent="0.3">
      <c r="A743" s="24" t="s">
        <v>1737</v>
      </c>
      <c r="B743" s="29" t="s">
        <v>114</v>
      </c>
      <c r="C743" s="29">
        <v>508</v>
      </c>
      <c r="D743" s="27">
        <v>103.87</v>
      </c>
      <c r="E743" s="34"/>
      <c r="F743" s="34"/>
      <c r="G743" s="34" t="s">
        <v>74</v>
      </c>
      <c r="H743" s="24"/>
      <c r="I743" s="24"/>
      <c r="J743" s="24"/>
      <c r="K743" s="24"/>
      <c r="L743" s="24"/>
      <c r="M743" s="5">
        <f t="shared" si="22"/>
        <v>0</v>
      </c>
      <c r="N743" s="5">
        <f t="shared" si="23"/>
        <v>103.87</v>
      </c>
      <c r="O743" s="37"/>
    </row>
    <row r="744" spans="1:15" ht="14" hidden="1" x14ac:dyDescent="0.3">
      <c r="A744" s="24" t="s">
        <v>1737</v>
      </c>
      <c r="B744" s="29" t="s">
        <v>114</v>
      </c>
      <c r="C744" s="29">
        <v>509</v>
      </c>
      <c r="D744" s="27">
        <v>178.5</v>
      </c>
      <c r="E744" s="24"/>
      <c r="F744" s="24"/>
      <c r="G744" s="24" t="s">
        <v>1022</v>
      </c>
      <c r="H744" s="24"/>
      <c r="I744" s="24"/>
      <c r="J744" s="24"/>
      <c r="K744" s="24"/>
      <c r="L744" s="24"/>
      <c r="M744" s="5">
        <f t="shared" si="22"/>
        <v>178.5</v>
      </c>
      <c r="N744" s="5">
        <f t="shared" si="23"/>
        <v>0</v>
      </c>
      <c r="O744" s="37"/>
    </row>
    <row r="745" spans="1:15" ht="14" hidden="1" x14ac:dyDescent="0.3">
      <c r="A745" s="24" t="s">
        <v>1737</v>
      </c>
      <c r="B745" s="29" t="s">
        <v>114</v>
      </c>
      <c r="C745" s="29">
        <v>510</v>
      </c>
      <c r="D745" s="27">
        <v>180.14</v>
      </c>
      <c r="E745" s="24"/>
      <c r="F745" s="24"/>
      <c r="G745" s="24" t="s">
        <v>1022</v>
      </c>
      <c r="H745" s="24"/>
      <c r="I745" s="24"/>
      <c r="J745" s="24"/>
      <c r="K745" s="24"/>
      <c r="L745" s="24"/>
      <c r="M745" s="5">
        <f t="shared" si="22"/>
        <v>180.14</v>
      </c>
      <c r="N745" s="5">
        <f t="shared" si="23"/>
        <v>0</v>
      </c>
      <c r="O745" s="37"/>
    </row>
    <row r="746" spans="1:15" ht="14" hidden="1" x14ac:dyDescent="0.3">
      <c r="A746" s="24" t="s">
        <v>1737</v>
      </c>
      <c r="B746" s="29" t="s">
        <v>114</v>
      </c>
      <c r="C746" s="29">
        <v>511</v>
      </c>
      <c r="D746" s="27">
        <v>118.53</v>
      </c>
      <c r="E746" s="24"/>
      <c r="F746" s="24"/>
      <c r="G746" s="24" t="s">
        <v>1022</v>
      </c>
      <c r="H746" s="24"/>
      <c r="I746" s="24"/>
      <c r="J746" s="24"/>
      <c r="K746" s="24"/>
      <c r="L746" s="24"/>
      <c r="M746" s="5">
        <f t="shared" si="22"/>
        <v>118.53</v>
      </c>
      <c r="N746" s="5">
        <f t="shared" si="23"/>
        <v>0</v>
      </c>
      <c r="O746" s="37"/>
    </row>
    <row r="747" spans="1:15" ht="14" hidden="1" x14ac:dyDescent="0.3">
      <c r="A747" s="24" t="s">
        <v>1737</v>
      </c>
      <c r="B747" s="29" t="s">
        <v>114</v>
      </c>
      <c r="C747" s="29">
        <v>512</v>
      </c>
      <c r="D747" s="27">
        <v>222.77</v>
      </c>
      <c r="E747" s="24"/>
      <c r="F747" s="24"/>
      <c r="G747" s="24" t="s">
        <v>1022</v>
      </c>
      <c r="H747" s="24"/>
      <c r="I747" s="24"/>
      <c r="J747" s="24"/>
      <c r="K747" s="24"/>
      <c r="L747" s="24"/>
      <c r="M747" s="5">
        <f t="shared" si="22"/>
        <v>222.77</v>
      </c>
      <c r="N747" s="5">
        <f t="shared" si="23"/>
        <v>0</v>
      </c>
      <c r="O747" s="37"/>
    </row>
    <row r="748" spans="1:15" ht="14" hidden="1" x14ac:dyDescent="0.3">
      <c r="A748" s="24" t="s">
        <v>1023</v>
      </c>
      <c r="B748" s="29" t="s">
        <v>114</v>
      </c>
      <c r="C748" s="29">
        <v>512</v>
      </c>
      <c r="D748" s="27">
        <v>73.45</v>
      </c>
      <c r="E748" s="24"/>
      <c r="F748" s="24"/>
      <c r="G748" s="24" t="s">
        <v>1022</v>
      </c>
      <c r="H748" s="24"/>
      <c r="I748" s="24"/>
      <c r="J748" s="24"/>
      <c r="K748" s="24"/>
      <c r="L748" s="24"/>
      <c r="M748" s="5">
        <f t="shared" si="22"/>
        <v>73.45</v>
      </c>
      <c r="N748" s="5">
        <f t="shared" si="23"/>
        <v>0</v>
      </c>
      <c r="O748" s="37"/>
    </row>
    <row r="749" spans="1:15" ht="14" hidden="1" x14ac:dyDescent="0.3">
      <c r="A749" s="24" t="s">
        <v>1023</v>
      </c>
      <c r="B749" s="29" t="s">
        <v>114</v>
      </c>
      <c r="C749" s="29">
        <v>513</v>
      </c>
      <c r="D749" s="27">
        <v>278.73</v>
      </c>
      <c r="E749" s="24"/>
      <c r="F749" s="24"/>
      <c r="G749" s="24" t="s">
        <v>1022</v>
      </c>
      <c r="H749" s="24"/>
      <c r="I749" s="24"/>
      <c r="J749" s="24"/>
      <c r="K749" s="24"/>
      <c r="L749" s="24"/>
      <c r="M749" s="5">
        <f t="shared" si="22"/>
        <v>278.73</v>
      </c>
      <c r="N749" s="5">
        <f t="shared" si="23"/>
        <v>0</v>
      </c>
      <c r="O749" s="37"/>
    </row>
    <row r="750" spans="1:15" ht="14" hidden="1" x14ac:dyDescent="0.3">
      <c r="A750" s="24" t="s">
        <v>1023</v>
      </c>
      <c r="B750" s="29" t="s">
        <v>114</v>
      </c>
      <c r="C750" s="29" t="s">
        <v>1730</v>
      </c>
      <c r="D750" s="27">
        <v>443</v>
      </c>
      <c r="E750" s="24"/>
      <c r="F750" s="24"/>
      <c r="G750" s="24" t="s">
        <v>1022</v>
      </c>
      <c r="H750" s="24"/>
      <c r="I750" s="24"/>
      <c r="J750" s="24"/>
      <c r="K750" s="24"/>
      <c r="L750" s="24"/>
      <c r="M750" s="5">
        <f t="shared" si="22"/>
        <v>443</v>
      </c>
      <c r="N750" s="5">
        <f t="shared" si="23"/>
        <v>0</v>
      </c>
      <c r="O750" s="37"/>
    </row>
    <row r="751" spans="1:15" ht="14" hidden="1" x14ac:dyDescent="0.3">
      <c r="A751" s="24" t="s">
        <v>1023</v>
      </c>
      <c r="B751" s="29" t="s">
        <v>114</v>
      </c>
      <c r="C751" s="29">
        <v>515</v>
      </c>
      <c r="D751" s="27">
        <v>106.14</v>
      </c>
      <c r="E751" s="24"/>
      <c r="F751" s="24"/>
      <c r="G751" s="24" t="s">
        <v>1022</v>
      </c>
      <c r="H751" s="24"/>
      <c r="I751" s="24"/>
      <c r="J751" s="24"/>
      <c r="K751" s="24"/>
      <c r="L751" s="24"/>
      <c r="M751" s="5">
        <f t="shared" si="22"/>
        <v>106.14</v>
      </c>
      <c r="N751" s="5">
        <f t="shared" si="23"/>
        <v>0</v>
      </c>
      <c r="O751" s="37"/>
    </row>
    <row r="752" spans="1:15" ht="14" x14ac:dyDescent="0.3">
      <c r="A752" s="24" t="s">
        <v>1023</v>
      </c>
      <c r="B752" s="29" t="s">
        <v>114</v>
      </c>
      <c r="C752" s="29">
        <v>516</v>
      </c>
      <c r="D752" s="27">
        <v>129.75</v>
      </c>
      <c r="E752" s="34"/>
      <c r="F752" s="34"/>
      <c r="G752" s="34" t="s">
        <v>74</v>
      </c>
      <c r="H752" s="24"/>
      <c r="I752" s="27" t="s">
        <v>1738</v>
      </c>
      <c r="J752" s="24"/>
      <c r="K752" s="24"/>
      <c r="L752" s="24"/>
      <c r="M752" s="5">
        <f t="shared" si="22"/>
        <v>0</v>
      </c>
      <c r="N752" s="5">
        <f t="shared" si="23"/>
        <v>129.75</v>
      </c>
      <c r="O752" s="37"/>
    </row>
    <row r="753" spans="1:15" ht="14" hidden="1" x14ac:dyDescent="0.3">
      <c r="A753" s="24" t="s">
        <v>1023</v>
      </c>
      <c r="B753" s="29" t="s">
        <v>114</v>
      </c>
      <c r="C753" s="29" t="s">
        <v>1731</v>
      </c>
      <c r="D753" s="27">
        <v>130.85</v>
      </c>
      <c r="E753" s="24"/>
      <c r="F753" s="24"/>
      <c r="G753" s="24" t="s">
        <v>1022</v>
      </c>
      <c r="H753" s="24"/>
      <c r="I753" s="24"/>
      <c r="J753" s="24"/>
      <c r="K753" s="24"/>
      <c r="L753" s="24"/>
      <c r="M753" s="5">
        <f t="shared" si="22"/>
        <v>130.85</v>
      </c>
      <c r="N753" s="5">
        <f t="shared" si="23"/>
        <v>0</v>
      </c>
      <c r="O753" s="37"/>
    </row>
    <row r="754" spans="1:15" ht="14" hidden="1" x14ac:dyDescent="0.3">
      <c r="A754" s="24" t="s">
        <v>1023</v>
      </c>
      <c r="B754" s="29" t="s">
        <v>114</v>
      </c>
      <c r="C754" s="29">
        <v>518</v>
      </c>
      <c r="D754" s="27">
        <v>214.87</v>
      </c>
      <c r="E754" s="24"/>
      <c r="F754" s="24"/>
      <c r="G754" s="24" t="s">
        <v>1022</v>
      </c>
      <c r="H754" s="24"/>
      <c r="I754" s="24"/>
      <c r="J754" s="24"/>
      <c r="K754" s="24"/>
      <c r="L754" s="24"/>
      <c r="M754" s="5">
        <f t="shared" si="22"/>
        <v>214.87</v>
      </c>
      <c r="N754" s="5">
        <f t="shared" si="23"/>
        <v>0</v>
      </c>
      <c r="O754" s="37"/>
    </row>
    <row r="755" spans="1:15" ht="14" hidden="1" x14ac:dyDescent="0.3">
      <c r="A755" s="24" t="s">
        <v>1023</v>
      </c>
      <c r="B755" s="29" t="s">
        <v>114</v>
      </c>
      <c r="C755" s="29">
        <v>519</v>
      </c>
      <c r="D755" s="27">
        <v>335</v>
      </c>
      <c r="E755" s="24"/>
      <c r="F755" s="24"/>
      <c r="G755" s="24" t="s">
        <v>1022</v>
      </c>
      <c r="H755" s="24"/>
      <c r="I755" s="24"/>
      <c r="J755" s="24"/>
      <c r="K755" s="24"/>
      <c r="L755" s="24"/>
      <c r="M755" s="5">
        <f t="shared" si="22"/>
        <v>335</v>
      </c>
      <c r="N755" s="5">
        <f t="shared" si="23"/>
        <v>0</v>
      </c>
      <c r="O755" s="37"/>
    </row>
    <row r="756" spans="1:15" ht="14" hidden="1" x14ac:dyDescent="0.3">
      <c r="A756" s="24" t="s">
        <v>1023</v>
      </c>
      <c r="B756" s="29" t="s">
        <v>114</v>
      </c>
      <c r="C756" s="29" t="s">
        <v>1732</v>
      </c>
      <c r="D756" s="27">
        <v>14.86</v>
      </c>
      <c r="E756" s="24"/>
      <c r="F756" s="24"/>
      <c r="G756" s="24" t="s">
        <v>1022</v>
      </c>
      <c r="H756" s="24"/>
      <c r="I756" s="24"/>
      <c r="J756" s="24"/>
      <c r="K756" s="24"/>
      <c r="L756" s="24"/>
      <c r="M756" s="5">
        <f t="shared" si="22"/>
        <v>14.86</v>
      </c>
      <c r="N756" s="5">
        <f t="shared" si="23"/>
        <v>0</v>
      </c>
      <c r="O756" s="37"/>
    </row>
    <row r="757" spans="1:15" ht="14" x14ac:dyDescent="0.3">
      <c r="A757" s="24" t="s">
        <v>1737</v>
      </c>
      <c r="B757" s="29" t="s">
        <v>114</v>
      </c>
      <c r="C757" s="29" t="s">
        <v>1733</v>
      </c>
      <c r="D757" s="27">
        <v>235.76</v>
      </c>
      <c r="E757" s="34"/>
      <c r="F757" s="34"/>
      <c r="G757" s="34" t="s">
        <v>74</v>
      </c>
      <c r="H757" s="24"/>
      <c r="I757" s="24"/>
      <c r="J757" s="24"/>
      <c r="K757" s="24"/>
      <c r="L757" s="24"/>
      <c r="M757" s="5">
        <f t="shared" si="22"/>
        <v>0</v>
      </c>
      <c r="N757" s="5">
        <f t="shared" si="23"/>
        <v>235.76</v>
      </c>
      <c r="O757" s="37"/>
    </row>
    <row r="758" spans="1:15" ht="14" hidden="1" x14ac:dyDescent="0.3">
      <c r="A758" s="24" t="s">
        <v>1737</v>
      </c>
      <c r="B758" s="29" t="s">
        <v>114</v>
      </c>
      <c r="C758" s="29" t="s">
        <v>1734</v>
      </c>
      <c r="D758" s="132">
        <v>55.65</v>
      </c>
      <c r="E758" s="40"/>
      <c r="F758" s="40"/>
      <c r="G758" s="133" t="s">
        <v>1022</v>
      </c>
      <c r="H758" s="24"/>
      <c r="I758" s="24"/>
      <c r="J758" s="24"/>
      <c r="K758" s="24"/>
      <c r="L758" s="24"/>
      <c r="M758" s="5">
        <f t="shared" si="22"/>
        <v>55.65</v>
      </c>
      <c r="N758" s="5">
        <f t="shared" si="23"/>
        <v>0</v>
      </c>
      <c r="O758" s="37"/>
    </row>
    <row r="759" spans="1:15" ht="14" hidden="1" x14ac:dyDescent="0.3">
      <c r="A759" s="24" t="s">
        <v>1737</v>
      </c>
      <c r="B759" s="29" t="s">
        <v>114</v>
      </c>
      <c r="C759" s="29" t="s">
        <v>1735</v>
      </c>
      <c r="D759" s="132"/>
      <c r="E759" s="42"/>
      <c r="F759" s="42"/>
      <c r="G759" s="135"/>
      <c r="H759" s="24"/>
      <c r="I759" s="24"/>
      <c r="J759" s="24"/>
      <c r="K759" s="24"/>
      <c r="L759" s="24"/>
      <c r="M759" s="5">
        <f t="shared" si="22"/>
        <v>0</v>
      </c>
      <c r="N759" s="5">
        <f t="shared" si="23"/>
        <v>0</v>
      </c>
      <c r="O759" s="37"/>
    </row>
    <row r="760" spans="1:15" ht="14" hidden="1" x14ac:dyDescent="0.3">
      <c r="A760" s="24" t="s">
        <v>1737</v>
      </c>
      <c r="B760" s="29" t="s">
        <v>114</v>
      </c>
      <c r="C760" s="29" t="s">
        <v>1736</v>
      </c>
      <c r="D760" s="27">
        <v>86.66</v>
      </c>
      <c r="E760" s="24"/>
      <c r="F760" s="24"/>
      <c r="G760" s="24" t="s">
        <v>1022</v>
      </c>
      <c r="H760" s="24"/>
      <c r="I760" s="24"/>
      <c r="J760" s="24"/>
      <c r="K760" s="24"/>
      <c r="L760" s="24"/>
      <c r="M760" s="5">
        <f t="shared" si="22"/>
        <v>86.66</v>
      </c>
      <c r="N760" s="5">
        <f t="shared" si="23"/>
        <v>0</v>
      </c>
      <c r="O760" s="37"/>
    </row>
    <row r="761" spans="1:15" ht="14" x14ac:dyDescent="0.3">
      <c r="A761" s="24" t="s">
        <v>1737</v>
      </c>
      <c r="B761" s="29" t="s">
        <v>114</v>
      </c>
      <c r="C761" s="29">
        <v>520</v>
      </c>
      <c r="D761" s="27">
        <v>33.51</v>
      </c>
      <c r="E761" s="34"/>
      <c r="F761" s="34"/>
      <c r="G761" s="34" t="s">
        <v>74</v>
      </c>
      <c r="H761" s="24"/>
      <c r="I761" s="24"/>
      <c r="J761" s="24"/>
      <c r="K761" s="24"/>
      <c r="L761" s="24"/>
      <c r="M761" s="5">
        <f t="shared" si="22"/>
        <v>0</v>
      </c>
      <c r="N761" s="5">
        <f t="shared" si="23"/>
        <v>33.51</v>
      </c>
      <c r="O761" s="37"/>
    </row>
    <row r="762" spans="1:15" ht="14" hidden="1" x14ac:dyDescent="0.3">
      <c r="A762" s="24"/>
      <c r="B762" s="29" t="s">
        <v>114</v>
      </c>
      <c r="C762" s="29">
        <v>521</v>
      </c>
      <c r="D762" s="27">
        <v>75.27</v>
      </c>
      <c r="E762" s="24"/>
      <c r="F762" s="24"/>
      <c r="G762" s="24" t="s">
        <v>1022</v>
      </c>
      <c r="H762" s="24"/>
      <c r="I762" s="24"/>
      <c r="J762" s="24"/>
      <c r="K762" s="24"/>
      <c r="L762" s="24"/>
      <c r="M762" s="5">
        <f t="shared" si="22"/>
        <v>75.27</v>
      </c>
      <c r="N762" s="5">
        <f t="shared" si="23"/>
        <v>0</v>
      </c>
      <c r="O762" s="37"/>
    </row>
    <row r="763" spans="1:15" ht="14" hidden="1" x14ac:dyDescent="0.3">
      <c r="A763" s="24"/>
      <c r="B763" s="29" t="s">
        <v>114</v>
      </c>
      <c r="C763" s="29">
        <v>523</v>
      </c>
      <c r="D763" s="30">
        <v>35.74</v>
      </c>
      <c r="E763" s="24"/>
      <c r="F763" s="24"/>
      <c r="G763" s="24" t="s">
        <v>1022</v>
      </c>
      <c r="H763" s="24"/>
      <c r="I763" s="24"/>
      <c r="J763" s="24"/>
      <c r="K763" s="24"/>
      <c r="L763" s="24"/>
      <c r="M763" s="5">
        <f t="shared" si="22"/>
        <v>35.74</v>
      </c>
      <c r="N763" s="5">
        <f t="shared" si="23"/>
        <v>0</v>
      </c>
      <c r="O763" s="37"/>
    </row>
    <row r="764" spans="1:15" ht="14" hidden="1" x14ac:dyDescent="0.3">
      <c r="A764" s="24"/>
      <c r="B764" s="29" t="s">
        <v>114</v>
      </c>
      <c r="C764" s="29">
        <v>524</v>
      </c>
      <c r="D764" s="30">
        <v>25.43</v>
      </c>
      <c r="E764" s="24"/>
      <c r="F764" s="24"/>
      <c r="G764" s="24" t="s">
        <v>1022</v>
      </c>
      <c r="H764" s="24"/>
      <c r="I764" s="24"/>
      <c r="J764" s="24"/>
      <c r="K764" s="24"/>
      <c r="L764" s="24"/>
      <c r="M764" s="5">
        <f t="shared" si="22"/>
        <v>25.43</v>
      </c>
      <c r="N764" s="5">
        <f t="shared" si="23"/>
        <v>0</v>
      </c>
      <c r="O764" s="37"/>
    </row>
    <row r="765" spans="1:15" ht="14" hidden="1" x14ac:dyDescent="0.3">
      <c r="A765" s="24"/>
      <c r="B765" s="29" t="s">
        <v>114</v>
      </c>
      <c r="C765" s="29">
        <v>525</v>
      </c>
      <c r="D765" s="30">
        <v>25.6</v>
      </c>
      <c r="E765" s="24"/>
      <c r="F765" s="24"/>
      <c r="G765" s="24" t="s">
        <v>1022</v>
      </c>
      <c r="H765" s="24"/>
      <c r="I765" s="24"/>
      <c r="J765" s="24"/>
      <c r="K765" s="24"/>
      <c r="L765" s="24"/>
      <c r="M765" s="5">
        <f t="shared" si="22"/>
        <v>25.6</v>
      </c>
      <c r="N765" s="5">
        <f t="shared" si="23"/>
        <v>0</v>
      </c>
      <c r="O765" s="37"/>
    </row>
    <row r="766" spans="1:15" ht="14" hidden="1" x14ac:dyDescent="0.3">
      <c r="A766" s="24"/>
      <c r="B766" s="29" t="s">
        <v>114</v>
      </c>
      <c r="C766" s="29">
        <v>538</v>
      </c>
      <c r="D766" s="27">
        <v>45.64</v>
      </c>
      <c r="E766" s="24"/>
      <c r="F766" s="24"/>
      <c r="G766" s="24" t="s">
        <v>1022</v>
      </c>
      <c r="H766" s="24"/>
      <c r="I766" s="24"/>
      <c r="J766" s="24"/>
      <c r="K766" s="24"/>
      <c r="L766" s="24"/>
      <c r="M766" s="5">
        <f t="shared" si="22"/>
        <v>45.64</v>
      </c>
      <c r="N766" s="5">
        <f t="shared" si="23"/>
        <v>0</v>
      </c>
      <c r="O766" s="37"/>
    </row>
    <row r="767" spans="1:15" ht="14" hidden="1" x14ac:dyDescent="0.3">
      <c r="A767" s="24" t="s">
        <v>2576</v>
      </c>
      <c r="B767" s="29" t="s">
        <v>1739</v>
      </c>
      <c r="C767" s="29">
        <v>105</v>
      </c>
      <c r="D767" s="27">
        <v>12.2</v>
      </c>
      <c r="E767" s="24"/>
      <c r="F767" s="24"/>
      <c r="G767" s="24" t="s">
        <v>1022</v>
      </c>
      <c r="H767" s="24"/>
      <c r="I767" s="24"/>
      <c r="J767" s="24"/>
      <c r="K767" s="24"/>
      <c r="L767" s="24"/>
      <c r="M767" s="5">
        <f t="shared" si="22"/>
        <v>12.2</v>
      </c>
      <c r="N767" s="5">
        <f t="shared" si="23"/>
        <v>0</v>
      </c>
      <c r="O767" s="37"/>
    </row>
    <row r="768" spans="1:15" ht="14" hidden="1" x14ac:dyDescent="0.3">
      <c r="A768" s="24" t="s">
        <v>2576</v>
      </c>
      <c r="B768" s="29" t="s">
        <v>1739</v>
      </c>
      <c r="C768" s="29">
        <v>101</v>
      </c>
      <c r="D768" s="27">
        <v>22.24</v>
      </c>
      <c r="E768" s="24"/>
      <c r="F768" s="24"/>
      <c r="G768" s="24" t="s">
        <v>1022</v>
      </c>
      <c r="H768" s="24"/>
      <c r="I768" s="24"/>
      <c r="J768" s="24"/>
      <c r="K768" s="24"/>
      <c r="L768" s="24"/>
      <c r="M768" s="5">
        <f t="shared" si="22"/>
        <v>22.24</v>
      </c>
      <c r="N768" s="5">
        <f t="shared" si="23"/>
        <v>0</v>
      </c>
      <c r="O768" s="37"/>
    </row>
    <row r="769" spans="1:15" ht="14" hidden="1" x14ac:dyDescent="0.3">
      <c r="A769" s="24" t="s">
        <v>2576</v>
      </c>
      <c r="B769" s="29" t="s">
        <v>1739</v>
      </c>
      <c r="C769" s="29">
        <v>103</v>
      </c>
      <c r="D769" s="27">
        <v>15.85</v>
      </c>
      <c r="E769" s="24"/>
      <c r="F769" s="24"/>
      <c r="G769" s="24" t="s">
        <v>1022</v>
      </c>
      <c r="H769" s="24"/>
      <c r="I769" s="24"/>
      <c r="J769" s="24"/>
      <c r="K769" s="24"/>
      <c r="L769" s="24"/>
      <c r="M769" s="5">
        <f t="shared" si="22"/>
        <v>15.85</v>
      </c>
      <c r="N769" s="5">
        <f t="shared" si="23"/>
        <v>0</v>
      </c>
      <c r="O769" s="37"/>
    </row>
    <row r="770" spans="1:15" ht="14" hidden="1" x14ac:dyDescent="0.3">
      <c r="A770" s="24" t="s">
        <v>2576</v>
      </c>
      <c r="B770" s="29" t="s">
        <v>1739</v>
      </c>
      <c r="C770" s="29">
        <v>102</v>
      </c>
      <c r="D770" s="24">
        <v>15.92</v>
      </c>
      <c r="E770" s="24"/>
      <c r="F770" s="24"/>
      <c r="G770" s="24" t="s">
        <v>1022</v>
      </c>
      <c r="H770" s="24"/>
      <c r="I770" s="24"/>
      <c r="J770" s="24"/>
      <c r="K770" s="24"/>
      <c r="L770" s="24"/>
      <c r="M770" s="5">
        <f t="shared" si="22"/>
        <v>15.92</v>
      </c>
      <c r="N770" s="5">
        <f t="shared" si="23"/>
        <v>0</v>
      </c>
      <c r="O770" s="37"/>
    </row>
    <row r="771" spans="1:15" ht="14" hidden="1" x14ac:dyDescent="0.3">
      <c r="A771" s="24" t="s">
        <v>2576</v>
      </c>
      <c r="B771" s="29" t="s">
        <v>1739</v>
      </c>
      <c r="C771" s="29" t="s">
        <v>1740</v>
      </c>
      <c r="D771" s="44">
        <v>457</v>
      </c>
      <c r="E771" s="24"/>
      <c r="F771" s="24"/>
      <c r="G771" s="24" t="s">
        <v>1022</v>
      </c>
      <c r="H771" s="24"/>
      <c r="I771" s="24"/>
      <c r="J771" s="24"/>
      <c r="K771" s="24"/>
      <c r="L771" s="24"/>
      <c r="M771" s="5">
        <f>IF(G771="已出租",D771,0)</f>
        <v>457</v>
      </c>
      <c r="N771" s="5">
        <f>IF(G771="未出租",D771,0)</f>
        <v>0</v>
      </c>
      <c r="O771" s="37"/>
    </row>
    <row r="772" spans="1:15" ht="14" hidden="1" x14ac:dyDescent="0.3">
      <c r="A772" s="24" t="s">
        <v>2576</v>
      </c>
      <c r="B772" s="29" t="s">
        <v>1739</v>
      </c>
      <c r="C772" s="29" t="s">
        <v>1741</v>
      </c>
      <c r="D772" s="44">
        <v>457</v>
      </c>
      <c r="E772" s="24"/>
      <c r="F772" s="24"/>
      <c r="G772" s="24" t="s">
        <v>1022</v>
      </c>
      <c r="H772" s="24"/>
      <c r="I772" s="24"/>
      <c r="J772" s="24"/>
      <c r="K772" s="24"/>
      <c r="L772" s="24"/>
      <c r="M772" s="5">
        <f>IF(G772="已出租",D772,0)</f>
        <v>457</v>
      </c>
      <c r="N772" s="5">
        <f>IF(G772="未出租",D772,0)</f>
        <v>0</v>
      </c>
      <c r="O772" s="37"/>
    </row>
  </sheetData>
  <autoFilter ref="A1:O772" xr:uid="{00000000-0009-0000-0000-000007000000}">
    <filterColumn colId="6">
      <filters>
        <filter val="未出租"/>
      </filters>
    </filterColumn>
  </autoFilter>
  <mergeCells count="31">
    <mergeCell ref="D295:D296"/>
    <mergeCell ref="D309:D310"/>
    <mergeCell ref="D510:D511"/>
    <mergeCell ref="D588:D591"/>
    <mergeCell ref="D592:D600"/>
    <mergeCell ref="D601:D602"/>
    <mergeCell ref="D604:D608"/>
    <mergeCell ref="D642:D643"/>
    <mergeCell ref="D667:D670"/>
    <mergeCell ref="D672:D674"/>
    <mergeCell ref="D723:D724"/>
    <mergeCell ref="D738:D739"/>
    <mergeCell ref="D758:D759"/>
    <mergeCell ref="G604:G608"/>
    <mergeCell ref="G680:G681"/>
    <mergeCell ref="G686:G689"/>
    <mergeCell ref="G690:G692"/>
    <mergeCell ref="G703:G704"/>
    <mergeCell ref="G723:G724"/>
    <mergeCell ref="G738:G739"/>
    <mergeCell ref="G758:G759"/>
    <mergeCell ref="D676:D678"/>
    <mergeCell ref="D680:D681"/>
    <mergeCell ref="D686:D689"/>
    <mergeCell ref="D690:D692"/>
    <mergeCell ref="D703:D704"/>
    <mergeCell ref="O349:O350"/>
    <mergeCell ref="O351:O352"/>
    <mergeCell ref="O518:O519"/>
    <mergeCell ref="P349:P350"/>
    <mergeCell ref="P351:P352"/>
  </mergeCells>
  <phoneticPr fontId="24" type="noConversion"/>
  <conditionalFormatting sqref="B2:B3">
    <cfRule type="expression" dxfId="74" priority="242" stopIfTrue="1">
      <formula>AND(COUNTIF(#REF!,B2)&gt;1,NOT(ISBLANK(B2)))</formula>
    </cfRule>
  </conditionalFormatting>
  <conditionalFormatting sqref="C2:C54 C56:C60 C63:C69 C72:C84 C86:C105 C109:C120 C124:C126 C128:C316 C319 C727:C742 C744 C746:C769 C771:C772">
    <cfRule type="duplicateValues" dxfId="73" priority="241"/>
  </conditionalFormatting>
  <conditionalFormatting sqref="C2:C54 C56:C60 C63:C69 C72:C84 C86:C105 C109:C120 C124:C126 C128:C316 C319 C727:C744 C746:C769 C771:C772">
    <cfRule type="duplicateValues" dxfId="72" priority="239"/>
    <cfRule type="duplicateValues" dxfId="71" priority="236"/>
    <cfRule type="duplicateValues" dxfId="70" priority="233"/>
    <cfRule type="duplicateValues" dxfId="69" priority="230"/>
  </conditionalFormatting>
  <conditionalFormatting sqref="C2:C105 C109:C126 C128:C316 C319 C727:C744 C746:C769 C771:C772">
    <cfRule type="duplicateValues" dxfId="68" priority="215"/>
  </conditionalFormatting>
  <conditionalFormatting sqref="C2:C105 C109:C126 C128:C316 C319 C727:C769 C771:C772">
    <cfRule type="duplicateValues" dxfId="67" priority="212"/>
  </conditionalFormatting>
  <conditionalFormatting sqref="C2:C316 C319 C727:C769 C771:C772">
    <cfRule type="duplicateValues" dxfId="66" priority="203"/>
    <cfRule type="duplicateValues" dxfId="65" priority="200"/>
    <cfRule type="duplicateValues" dxfId="64" priority="197"/>
    <cfRule type="duplicateValues" dxfId="63" priority="194"/>
  </conditionalFormatting>
  <conditionalFormatting sqref="C55">
    <cfRule type="duplicateValues" dxfId="62" priority="223"/>
    <cfRule type="duplicateValues" dxfId="61" priority="222"/>
  </conditionalFormatting>
  <conditionalFormatting sqref="C61">
    <cfRule type="duplicateValues" dxfId="60" priority="216"/>
    <cfRule type="duplicateValues" dxfId="59" priority="217"/>
  </conditionalFormatting>
  <conditionalFormatting sqref="C62">
    <cfRule type="duplicateValues" dxfId="58" priority="225"/>
    <cfRule type="duplicateValues" dxfId="57" priority="224"/>
  </conditionalFormatting>
  <conditionalFormatting sqref="C70:C71">
    <cfRule type="duplicateValues" dxfId="56" priority="227"/>
    <cfRule type="duplicateValues" dxfId="55" priority="226"/>
  </conditionalFormatting>
  <conditionalFormatting sqref="C85">
    <cfRule type="duplicateValues" dxfId="54" priority="221"/>
    <cfRule type="duplicateValues" dxfId="53" priority="220"/>
  </conditionalFormatting>
  <conditionalFormatting sqref="C106:C108">
    <cfRule type="duplicateValues" dxfId="52" priority="209"/>
    <cfRule type="duplicateValues" dxfId="51" priority="208"/>
  </conditionalFormatting>
  <conditionalFormatting sqref="C121:C123">
    <cfRule type="duplicateValues" dxfId="50" priority="219"/>
    <cfRule type="duplicateValues" dxfId="49" priority="218"/>
  </conditionalFormatting>
  <conditionalFormatting sqref="C127">
    <cfRule type="duplicateValues" dxfId="48" priority="207"/>
    <cfRule type="duplicateValues" dxfId="47" priority="206"/>
  </conditionalFormatting>
  <conditionalFormatting sqref="C317:C318">
    <cfRule type="duplicateValues" dxfId="46" priority="191"/>
    <cfRule type="duplicateValues" dxfId="45" priority="190"/>
  </conditionalFormatting>
  <conditionalFormatting sqref="C320:C344">
    <cfRule type="duplicateValues" dxfId="44" priority="189"/>
    <cfRule type="duplicateValues" dxfId="43" priority="188"/>
  </conditionalFormatting>
  <conditionalFormatting sqref="C345:C369">
    <cfRule type="duplicateValues" dxfId="42" priority="186"/>
    <cfRule type="duplicateValues" dxfId="41" priority="187"/>
  </conditionalFormatting>
  <conditionalFormatting sqref="C370:C394">
    <cfRule type="duplicateValues" dxfId="40" priority="185"/>
    <cfRule type="duplicateValues" dxfId="39" priority="184"/>
  </conditionalFormatting>
  <conditionalFormatting sqref="C395:C404">
    <cfRule type="duplicateValues" dxfId="38" priority="183"/>
    <cfRule type="duplicateValues" dxfId="37" priority="182"/>
  </conditionalFormatting>
  <conditionalFormatting sqref="C405:C407 C409:C420 C422:C459 C461:C465 C467:C507 C512:C521 C524:C530 C532:C602 C603 C604:C609 C610:C617 C619:C625 C626:C707 C709 C711:C726">
    <cfRule type="duplicateValues" dxfId="36" priority="32"/>
  </conditionalFormatting>
  <conditionalFormatting sqref="C405:C407 C409:C420 C422:C459 C461:C465 C467:C507 C512:C521 C524:C530 C532:C602 C603 C604:C609 C610:C617 C619:C625 C626:C709 C711:C726">
    <cfRule type="duplicateValues" dxfId="35" priority="30"/>
  </conditionalFormatting>
  <conditionalFormatting sqref="C405:C407 C409:C420 C422:C459 C461:C465 C467:C507 C512:C521 C524:C602 C603 C604:C609 C610:C617 C619:C625 C626:C709 C711:C726">
    <cfRule type="duplicateValues" dxfId="34" priority="27"/>
  </conditionalFormatting>
  <conditionalFormatting sqref="C405:C407 C409:C420 C422:C459 C461:C465 C467:C507 C512:C521 C524:C602 C603 C604:C609 C610:C618 C619:C625 C626:C709 C711:C726">
    <cfRule type="duplicateValues" dxfId="33" priority="24"/>
  </conditionalFormatting>
  <conditionalFormatting sqref="C405:C407 C409:C459 C461:C465 C467:C507 C512:C521 C524:C602 C603 C604:C609 C610:C618 C619:C625 C626:C709 C711:C726">
    <cfRule type="duplicateValues" dxfId="32" priority="21"/>
  </conditionalFormatting>
  <conditionalFormatting sqref="C405:C459 C461:C465 C467:C507 C512:C521 C524:C602 C603 C604:C609 C610:C618 C619:C625 C626:C709 C711:C726">
    <cfRule type="duplicateValues" dxfId="31" priority="18"/>
  </conditionalFormatting>
  <conditionalFormatting sqref="C405:C459 C461:C465 C467:C507 C512:C521 C524:C602 C603 C604:C609 C610:C618 C619:C625 C626:C726">
    <cfRule type="duplicateValues" dxfId="30" priority="15"/>
  </conditionalFormatting>
  <conditionalFormatting sqref="C405:C459 C461:C507 C510:C521 C524:C602 C603 C604:C609 C610:C618 C619:C625 C626:C726">
    <cfRule type="duplicateValues" dxfId="29" priority="10"/>
  </conditionalFormatting>
  <conditionalFormatting sqref="C405:C459 C461:C507 C510:C602 C603 C604:C609 C610:C618 C619:C625 C626:C726">
    <cfRule type="duplicateValues" dxfId="28" priority="7"/>
  </conditionalFormatting>
  <conditionalFormatting sqref="C405:C459 C461:C602 C603 C604:C609 C610:C618 C619:C625 C626:C726">
    <cfRule type="duplicateValues" dxfId="27" priority="4"/>
  </conditionalFormatting>
  <conditionalFormatting sqref="C405:C602 C603 C604:C609 C610:C618 C619:C625 C626:C726">
    <cfRule type="duplicateValues" dxfId="26" priority="1"/>
  </conditionalFormatting>
  <conditionalFormatting sqref="C408">
    <cfRule type="duplicateValues" dxfId="25" priority="20"/>
    <cfRule type="duplicateValues" dxfId="24" priority="19"/>
  </conditionalFormatting>
  <conditionalFormatting sqref="C421">
    <cfRule type="duplicateValues" dxfId="23" priority="23"/>
    <cfRule type="duplicateValues" dxfId="22" priority="22"/>
  </conditionalFormatting>
  <conditionalFormatting sqref="C460">
    <cfRule type="duplicateValues" dxfId="21" priority="2"/>
    <cfRule type="duplicateValues" dxfId="20" priority="3"/>
  </conditionalFormatting>
  <conditionalFormatting sqref="C466">
    <cfRule type="duplicateValues" dxfId="19" priority="14"/>
    <cfRule type="duplicateValues" dxfId="18" priority="13"/>
  </conditionalFormatting>
  <conditionalFormatting sqref="C508:C509">
    <cfRule type="duplicateValues" dxfId="17" priority="6"/>
    <cfRule type="duplicateValues" dxfId="16" priority="5"/>
  </conditionalFormatting>
  <conditionalFormatting sqref="C510:C511">
    <cfRule type="duplicateValues" dxfId="15" priority="12"/>
    <cfRule type="duplicateValues" dxfId="14" priority="11"/>
  </conditionalFormatting>
  <conditionalFormatting sqref="C522:C523">
    <cfRule type="duplicateValues" dxfId="13" priority="9"/>
    <cfRule type="duplicateValues" dxfId="12" priority="8"/>
  </conditionalFormatting>
  <conditionalFormatting sqref="C531">
    <cfRule type="duplicateValues" dxfId="11" priority="29"/>
    <cfRule type="duplicateValues" dxfId="10" priority="28"/>
  </conditionalFormatting>
  <conditionalFormatting sqref="C618">
    <cfRule type="duplicateValues" dxfId="9" priority="25"/>
    <cfRule type="duplicateValues" dxfId="8" priority="26"/>
  </conditionalFormatting>
  <conditionalFormatting sqref="C708">
    <cfRule type="duplicateValues" dxfId="7" priority="31"/>
  </conditionalFormatting>
  <conditionalFormatting sqref="C710">
    <cfRule type="duplicateValues" dxfId="6" priority="17"/>
    <cfRule type="duplicateValues" dxfId="5" priority="16"/>
  </conditionalFormatting>
  <conditionalFormatting sqref="C743">
    <cfRule type="duplicateValues" dxfId="4" priority="240"/>
  </conditionalFormatting>
  <conditionalFormatting sqref="C745">
    <cfRule type="duplicateValues" dxfId="3" priority="214"/>
    <cfRule type="duplicateValues" dxfId="2" priority="213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4.5" x14ac:dyDescent="0.3"/>
  <cols>
    <col min="1" max="1" width="7.25" style="22" customWidth="1"/>
    <col min="2" max="2" width="14.08203125" style="22" customWidth="1"/>
    <col min="3" max="3" width="36.25" style="22" customWidth="1"/>
    <col min="4" max="6" width="15.9140625" style="22" customWidth="1"/>
    <col min="7" max="14" width="11" style="22" customWidth="1"/>
    <col min="15" max="15" width="11" style="23" customWidth="1"/>
  </cols>
  <sheetData>
    <row r="1" spans="1:16" x14ac:dyDescent="0.3">
      <c r="A1" s="24" t="s">
        <v>20</v>
      </c>
      <c r="B1" s="24" t="s">
        <v>1017</v>
      </c>
      <c r="C1" s="24" t="s">
        <v>1018</v>
      </c>
      <c r="D1" s="24" t="s">
        <v>23</v>
      </c>
      <c r="E1" s="24" t="s">
        <v>24</v>
      </c>
      <c r="F1" s="24" t="s">
        <v>25</v>
      </c>
      <c r="G1" s="24" t="s">
        <v>26</v>
      </c>
      <c r="H1" s="24" t="s">
        <v>27</v>
      </c>
      <c r="I1" s="24" t="s">
        <v>28</v>
      </c>
      <c r="J1" s="24" t="s">
        <v>29</v>
      </c>
      <c r="K1" s="24" t="s">
        <v>30</v>
      </c>
      <c r="L1" s="24" t="s">
        <v>31</v>
      </c>
      <c r="M1" s="24" t="s">
        <v>32</v>
      </c>
      <c r="N1" s="24" t="s">
        <v>33</v>
      </c>
      <c r="O1" s="25" t="s">
        <v>1019</v>
      </c>
    </row>
    <row r="2" spans="1:16" x14ac:dyDescent="0.3">
      <c r="B2" s="22" t="s">
        <v>650</v>
      </c>
      <c r="C2" s="22">
        <v>5043</v>
      </c>
      <c r="D2" s="22">
        <v>32.424999999999997</v>
      </c>
      <c r="O2" s="23" t="s">
        <v>1742</v>
      </c>
      <c r="P2" t="s">
        <v>552</v>
      </c>
    </row>
  </sheetData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95"/>
  <sheetViews>
    <sheetView workbookViewId="0">
      <pane ySplit="1" topLeftCell="A270" activePane="bottomLeft" state="frozen"/>
      <selection pane="bottomLeft" activeCell="F290" sqref="F290"/>
    </sheetView>
  </sheetViews>
  <sheetFormatPr defaultColWidth="9" defaultRowHeight="14" x14ac:dyDescent="0.3"/>
  <cols>
    <col min="1" max="1" width="17.08203125" style="1" customWidth="1"/>
    <col min="2" max="2" width="18" style="2" customWidth="1"/>
    <col min="3" max="3" width="10.6640625" style="1" customWidth="1"/>
    <col min="4" max="4" width="25.83203125" style="1" customWidth="1"/>
    <col min="5" max="5" width="14.58203125" style="1" customWidth="1"/>
    <col min="6" max="6" width="15.9140625" style="1" customWidth="1"/>
    <col min="7" max="15" width="11" style="1" customWidth="1"/>
  </cols>
  <sheetData>
    <row r="1" spans="1:15" x14ac:dyDescent="0.3">
      <c r="A1" s="3" t="s">
        <v>1743</v>
      </c>
      <c r="B1" s="4" t="s">
        <v>1018</v>
      </c>
      <c r="C1" s="3" t="s">
        <v>1744</v>
      </c>
      <c r="D1" s="3" t="s">
        <v>1745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3" t="s">
        <v>1746</v>
      </c>
      <c r="L1" s="3" t="s">
        <v>1747</v>
      </c>
      <c r="M1" s="5" t="s">
        <v>32</v>
      </c>
      <c r="N1" s="5" t="s">
        <v>33</v>
      </c>
      <c r="O1" s="5" t="s">
        <v>1019</v>
      </c>
    </row>
    <row r="2" spans="1:15" x14ac:dyDescent="0.3">
      <c r="A2" s="6" t="s">
        <v>1748</v>
      </c>
      <c r="B2" s="7" t="s">
        <v>1749</v>
      </c>
      <c r="C2" s="6">
        <v>34</v>
      </c>
      <c r="D2" s="6" t="s">
        <v>1750</v>
      </c>
      <c r="E2" s="5"/>
      <c r="F2" s="5"/>
      <c r="G2" s="5" t="s">
        <v>38</v>
      </c>
      <c r="H2" s="5"/>
      <c r="I2" s="5"/>
      <c r="J2" s="5"/>
      <c r="K2" s="5"/>
      <c r="L2" s="5"/>
      <c r="M2" s="5"/>
      <c r="N2" s="5"/>
      <c r="O2" s="5"/>
    </row>
    <row r="3" spans="1:15" x14ac:dyDescent="0.3">
      <c r="A3" s="6" t="s">
        <v>1748</v>
      </c>
      <c r="B3" s="7" t="s">
        <v>1751</v>
      </c>
      <c r="C3" s="6">
        <v>34</v>
      </c>
      <c r="D3" s="6" t="s">
        <v>1752</v>
      </c>
      <c r="E3" s="5"/>
      <c r="F3" s="5"/>
      <c r="G3" s="5" t="s">
        <v>38</v>
      </c>
      <c r="H3" s="5"/>
      <c r="I3" s="5"/>
      <c r="J3" s="5"/>
      <c r="K3" s="5"/>
      <c r="L3" s="5"/>
      <c r="M3" s="5"/>
      <c r="N3" s="5"/>
      <c r="O3" s="5"/>
    </row>
    <row r="4" spans="1:15" x14ac:dyDescent="0.3">
      <c r="A4" s="6" t="s">
        <v>1748</v>
      </c>
      <c r="B4" s="7" t="s">
        <v>1753</v>
      </c>
      <c r="C4" s="6">
        <v>33</v>
      </c>
      <c r="D4" s="6" t="s">
        <v>1754</v>
      </c>
      <c r="E4" s="5"/>
      <c r="F4" s="5"/>
      <c r="G4" s="5" t="s">
        <v>38</v>
      </c>
      <c r="H4" s="5"/>
      <c r="I4" s="5"/>
      <c r="J4" s="5"/>
      <c r="K4" s="5" t="s">
        <v>1755</v>
      </c>
      <c r="L4" s="5" t="s">
        <v>1756</v>
      </c>
      <c r="M4" s="5"/>
      <c r="N4" s="5"/>
      <c r="O4" s="5"/>
    </row>
    <row r="5" spans="1:15" x14ac:dyDescent="0.3">
      <c r="A5" s="6" t="s">
        <v>1748</v>
      </c>
      <c r="B5" s="7" t="s">
        <v>1757</v>
      </c>
      <c r="C5" s="6">
        <v>34</v>
      </c>
      <c r="D5" s="6" t="s">
        <v>1754</v>
      </c>
      <c r="E5" s="5"/>
      <c r="F5" s="5"/>
      <c r="G5" s="5" t="s">
        <v>38</v>
      </c>
      <c r="H5" s="5"/>
      <c r="I5" s="5"/>
      <c r="J5" s="5"/>
      <c r="K5" s="5"/>
      <c r="L5" s="5"/>
      <c r="M5" s="5"/>
      <c r="N5" s="5"/>
      <c r="O5" s="5"/>
    </row>
    <row r="6" spans="1:15" x14ac:dyDescent="0.3">
      <c r="A6" s="6" t="s">
        <v>1748</v>
      </c>
      <c r="B6" s="7" t="s">
        <v>1758</v>
      </c>
      <c r="C6" s="6">
        <v>24</v>
      </c>
      <c r="D6" s="6" t="s">
        <v>1754</v>
      </c>
      <c r="E6" s="5"/>
      <c r="F6" s="5"/>
      <c r="G6" s="5" t="s">
        <v>38</v>
      </c>
      <c r="H6" s="5"/>
      <c r="I6" s="5"/>
      <c r="J6" s="5"/>
      <c r="K6" s="5"/>
      <c r="L6" s="5"/>
      <c r="M6" s="5"/>
      <c r="N6" s="5"/>
      <c r="O6" s="5"/>
    </row>
    <row r="7" spans="1:15" x14ac:dyDescent="0.3">
      <c r="A7" s="6" t="s">
        <v>1748</v>
      </c>
      <c r="B7" s="7" t="s">
        <v>1759</v>
      </c>
      <c r="C7" s="6">
        <v>24</v>
      </c>
      <c r="D7" s="6" t="s">
        <v>1754</v>
      </c>
      <c r="E7" s="5"/>
      <c r="F7" s="5"/>
      <c r="G7" s="5" t="s">
        <v>38</v>
      </c>
      <c r="H7" s="5"/>
      <c r="I7" s="5"/>
      <c r="J7" s="5"/>
      <c r="K7" s="5"/>
      <c r="L7" s="5"/>
      <c r="M7" s="5"/>
      <c r="N7" s="5"/>
      <c r="O7" s="5"/>
    </row>
    <row r="8" spans="1:15" x14ac:dyDescent="0.3">
      <c r="A8" s="6" t="s">
        <v>1748</v>
      </c>
      <c r="B8" s="7" t="s">
        <v>1760</v>
      </c>
      <c r="C8" s="6">
        <v>34</v>
      </c>
      <c r="D8" s="6" t="s">
        <v>191</v>
      </c>
      <c r="E8" s="5"/>
      <c r="F8" s="5"/>
      <c r="G8" s="5" t="s">
        <v>38</v>
      </c>
      <c r="H8" s="5"/>
      <c r="I8" s="5"/>
      <c r="J8" s="5"/>
      <c r="K8" s="5" t="s">
        <v>1755</v>
      </c>
      <c r="L8" s="5" t="s">
        <v>1756</v>
      </c>
      <c r="M8" s="5"/>
      <c r="N8" s="5"/>
      <c r="O8" s="5"/>
    </row>
    <row r="9" spans="1:15" x14ac:dyDescent="0.3">
      <c r="A9" s="6" t="s">
        <v>1748</v>
      </c>
      <c r="B9" s="7" t="s">
        <v>1761</v>
      </c>
      <c r="C9" s="6">
        <v>35</v>
      </c>
      <c r="D9" s="6" t="s">
        <v>191</v>
      </c>
      <c r="E9" s="5"/>
      <c r="F9" s="5"/>
      <c r="G9" s="5" t="s">
        <v>38</v>
      </c>
      <c r="H9" s="5"/>
      <c r="I9" s="5"/>
      <c r="J9" s="5"/>
      <c r="K9" s="5"/>
      <c r="L9" s="5"/>
      <c r="M9" s="5"/>
      <c r="N9" s="5"/>
      <c r="O9" s="5"/>
    </row>
    <row r="10" spans="1:15" x14ac:dyDescent="0.3">
      <c r="A10" s="6" t="s">
        <v>1748</v>
      </c>
      <c r="B10" s="7" t="s">
        <v>1762</v>
      </c>
      <c r="C10" s="7">
        <v>34</v>
      </c>
      <c r="D10" s="6" t="s">
        <v>191</v>
      </c>
      <c r="E10" s="5"/>
      <c r="F10" s="5"/>
      <c r="G10" s="5" t="s">
        <v>38</v>
      </c>
      <c r="H10" s="5"/>
      <c r="I10" s="5"/>
      <c r="J10" s="5"/>
      <c r="K10" s="5"/>
      <c r="L10" s="5"/>
      <c r="M10" s="5"/>
      <c r="N10" s="5"/>
      <c r="O10" s="5"/>
    </row>
    <row r="11" spans="1:15" x14ac:dyDescent="0.3">
      <c r="A11" s="6" t="s">
        <v>1748</v>
      </c>
      <c r="B11" s="7" t="s">
        <v>1763</v>
      </c>
      <c r="C11" s="6">
        <v>34</v>
      </c>
      <c r="D11" s="6" t="s">
        <v>191</v>
      </c>
      <c r="E11" s="5"/>
      <c r="F11" s="5"/>
      <c r="G11" s="5" t="s">
        <v>38</v>
      </c>
      <c r="H11" s="5"/>
      <c r="I11" s="5"/>
      <c r="J11" s="5"/>
      <c r="K11" s="5"/>
      <c r="L11" s="5"/>
      <c r="M11" s="5"/>
      <c r="N11" s="5"/>
      <c r="O11" s="5"/>
    </row>
    <row r="12" spans="1:15" x14ac:dyDescent="0.3">
      <c r="A12" s="6" t="s">
        <v>1748</v>
      </c>
      <c r="B12" s="7" t="s">
        <v>1764</v>
      </c>
      <c r="C12" s="6">
        <v>34</v>
      </c>
      <c r="D12" s="6" t="s">
        <v>191</v>
      </c>
      <c r="E12" s="5"/>
      <c r="F12" s="5"/>
      <c r="G12" s="5" t="s">
        <v>38</v>
      </c>
      <c r="H12" s="5"/>
      <c r="I12" s="5"/>
      <c r="J12" s="5"/>
      <c r="K12" s="5"/>
      <c r="L12" s="5"/>
      <c r="M12" s="5"/>
      <c r="N12" s="5"/>
      <c r="O12" s="5"/>
    </row>
    <row r="13" spans="1:15" x14ac:dyDescent="0.3">
      <c r="A13" s="6" t="s">
        <v>1748</v>
      </c>
      <c r="B13" s="7" t="s">
        <v>1765</v>
      </c>
      <c r="C13" s="6">
        <v>34</v>
      </c>
      <c r="D13" s="6" t="s">
        <v>1766</v>
      </c>
      <c r="E13" s="5"/>
      <c r="F13" s="5"/>
      <c r="G13" s="5" t="s">
        <v>38</v>
      </c>
      <c r="H13" s="5"/>
      <c r="I13" s="5"/>
      <c r="J13" s="5"/>
      <c r="K13" s="5"/>
      <c r="L13" s="5"/>
      <c r="M13" s="5"/>
      <c r="N13" s="5"/>
      <c r="O13" s="5"/>
    </row>
    <row r="14" spans="1:15" x14ac:dyDescent="0.3">
      <c r="A14" s="6" t="s">
        <v>1748</v>
      </c>
      <c r="B14" s="7" t="s">
        <v>1767</v>
      </c>
      <c r="C14" s="6">
        <v>34</v>
      </c>
      <c r="D14" s="6" t="s">
        <v>1766</v>
      </c>
      <c r="E14" s="5"/>
      <c r="F14" s="5"/>
      <c r="G14" s="5" t="s">
        <v>38</v>
      </c>
      <c r="H14" s="5"/>
      <c r="I14" s="5"/>
      <c r="J14" s="5"/>
      <c r="K14" s="5"/>
      <c r="L14" s="5"/>
      <c r="M14" s="5"/>
      <c r="N14" s="5"/>
      <c r="O14" s="5"/>
    </row>
    <row r="15" spans="1:15" x14ac:dyDescent="0.3">
      <c r="A15" s="6" t="s">
        <v>1748</v>
      </c>
      <c r="B15" s="7" t="s">
        <v>1768</v>
      </c>
      <c r="C15" s="6">
        <v>34</v>
      </c>
      <c r="D15" s="6" t="s">
        <v>1769</v>
      </c>
      <c r="E15" s="5"/>
      <c r="F15" s="5"/>
      <c r="G15" s="5" t="s">
        <v>38</v>
      </c>
      <c r="H15" s="5"/>
      <c r="I15" s="5"/>
      <c r="J15" s="5"/>
      <c r="K15" s="5"/>
      <c r="L15" s="5"/>
      <c r="M15" s="5"/>
      <c r="N15" s="5"/>
      <c r="O15" s="5"/>
    </row>
    <row r="16" spans="1:15" x14ac:dyDescent="0.3">
      <c r="A16" s="6" t="s">
        <v>1748</v>
      </c>
      <c r="B16" s="7" t="s">
        <v>1770</v>
      </c>
      <c r="C16" s="6">
        <v>34</v>
      </c>
      <c r="D16" s="6" t="s">
        <v>1769</v>
      </c>
      <c r="E16" s="5"/>
      <c r="F16" s="5"/>
      <c r="G16" s="5" t="s">
        <v>38</v>
      </c>
      <c r="H16" s="5"/>
      <c r="I16" s="5"/>
      <c r="J16" s="5"/>
      <c r="K16" s="5"/>
      <c r="L16" s="5"/>
      <c r="M16" s="5"/>
      <c r="N16" s="5"/>
      <c r="O16" s="5"/>
    </row>
    <row r="17" spans="1:15" x14ac:dyDescent="0.3">
      <c r="A17" s="6" t="s">
        <v>1748</v>
      </c>
      <c r="B17" s="7" t="s">
        <v>1771</v>
      </c>
      <c r="C17" s="6">
        <v>34</v>
      </c>
      <c r="D17" s="6" t="s">
        <v>1772</v>
      </c>
      <c r="E17" s="5"/>
      <c r="F17" s="5"/>
      <c r="G17" s="5" t="s">
        <v>38</v>
      </c>
      <c r="H17" s="5"/>
      <c r="I17" s="5"/>
      <c r="J17" s="5"/>
      <c r="K17" s="5"/>
      <c r="L17" s="5"/>
      <c r="M17" s="5"/>
      <c r="N17" s="5"/>
      <c r="O17" s="5"/>
    </row>
    <row r="18" spans="1:15" x14ac:dyDescent="0.3">
      <c r="A18" s="6" t="s">
        <v>1748</v>
      </c>
      <c r="B18" s="7" t="s">
        <v>1773</v>
      </c>
      <c r="C18" s="6">
        <v>34</v>
      </c>
      <c r="D18" s="6" t="s">
        <v>1772</v>
      </c>
      <c r="E18" s="5"/>
      <c r="F18" s="5"/>
      <c r="G18" s="5" t="s">
        <v>38</v>
      </c>
      <c r="H18" s="5"/>
      <c r="I18" s="5"/>
      <c r="J18" s="5"/>
      <c r="K18" s="5"/>
      <c r="L18" s="5"/>
      <c r="M18" s="5"/>
      <c r="N18" s="5"/>
      <c r="O18" s="5"/>
    </row>
    <row r="19" spans="1:15" x14ac:dyDescent="0.3">
      <c r="A19" s="6" t="s">
        <v>1748</v>
      </c>
      <c r="B19" s="7" t="s">
        <v>1774</v>
      </c>
      <c r="C19" s="6">
        <v>34</v>
      </c>
      <c r="D19" s="6" t="s">
        <v>1775</v>
      </c>
      <c r="E19" s="5"/>
      <c r="F19" s="5"/>
      <c r="G19" s="5" t="s">
        <v>38</v>
      </c>
      <c r="H19" s="5"/>
      <c r="I19" s="5"/>
      <c r="J19" s="5"/>
      <c r="K19" s="5"/>
      <c r="L19" s="5"/>
      <c r="M19" s="5"/>
      <c r="N19" s="5"/>
      <c r="O19" s="5"/>
    </row>
    <row r="20" spans="1:15" x14ac:dyDescent="0.3">
      <c r="A20" s="6" t="s">
        <v>1748</v>
      </c>
      <c r="B20" s="7" t="s">
        <v>1776</v>
      </c>
      <c r="C20" s="5">
        <v>34</v>
      </c>
      <c r="D20" s="6" t="s">
        <v>1777</v>
      </c>
      <c r="E20" s="5"/>
      <c r="F20" s="5"/>
      <c r="G20" s="5" t="s">
        <v>38</v>
      </c>
      <c r="H20" s="5"/>
      <c r="I20" s="5"/>
      <c r="J20" s="5"/>
      <c r="K20" s="5"/>
      <c r="L20" s="5"/>
      <c r="M20" s="5"/>
      <c r="N20" s="5"/>
      <c r="O20" s="5"/>
    </row>
    <row r="21" spans="1:15" x14ac:dyDescent="0.3">
      <c r="A21" s="6" t="s">
        <v>1748</v>
      </c>
      <c r="B21" s="7" t="s">
        <v>1778</v>
      </c>
      <c r="C21" s="6">
        <v>34</v>
      </c>
      <c r="D21" s="6" t="s">
        <v>1777</v>
      </c>
      <c r="E21" s="5"/>
      <c r="F21" s="5"/>
      <c r="G21" s="5" t="s">
        <v>38</v>
      </c>
      <c r="H21" s="5"/>
      <c r="I21" s="5"/>
      <c r="J21" s="5"/>
      <c r="K21" s="5"/>
      <c r="L21" s="5"/>
      <c r="M21" s="5"/>
      <c r="N21" s="5"/>
      <c r="O21" s="5"/>
    </row>
    <row r="22" spans="1:15" x14ac:dyDescent="0.3">
      <c r="A22" s="6" t="s">
        <v>1748</v>
      </c>
      <c r="B22" s="7" t="s">
        <v>1779</v>
      </c>
      <c r="C22" s="6">
        <v>33</v>
      </c>
      <c r="D22" s="6" t="s">
        <v>1777</v>
      </c>
      <c r="E22" s="5"/>
      <c r="F22" s="5"/>
      <c r="G22" s="5" t="s">
        <v>38</v>
      </c>
      <c r="H22" s="5"/>
      <c r="I22" s="5"/>
      <c r="J22" s="5"/>
      <c r="K22" s="5"/>
      <c r="L22" s="5"/>
      <c r="M22" s="5"/>
      <c r="N22" s="5"/>
      <c r="O22" s="5"/>
    </row>
    <row r="23" spans="1:15" x14ac:dyDescent="0.3">
      <c r="A23" s="6" t="s">
        <v>1748</v>
      </c>
      <c r="B23" s="7" t="s">
        <v>1780</v>
      </c>
      <c r="C23" s="6">
        <v>29</v>
      </c>
      <c r="D23" s="6" t="s">
        <v>1781</v>
      </c>
      <c r="E23" s="5"/>
      <c r="F23" s="5"/>
      <c r="G23" s="5" t="s">
        <v>38</v>
      </c>
      <c r="H23" s="5"/>
      <c r="I23" s="5"/>
      <c r="J23" s="5"/>
      <c r="K23" s="5"/>
      <c r="L23" s="5"/>
      <c r="M23" s="5"/>
      <c r="N23" s="5"/>
      <c r="O23" s="5"/>
    </row>
    <row r="24" spans="1:15" x14ac:dyDescent="0.3">
      <c r="A24" s="6" t="s">
        <v>1748</v>
      </c>
      <c r="B24" s="7" t="s">
        <v>1782</v>
      </c>
      <c r="C24" s="5">
        <v>100</v>
      </c>
      <c r="D24" s="6" t="s">
        <v>1783</v>
      </c>
      <c r="E24" s="5"/>
      <c r="F24" s="5"/>
      <c r="G24" s="5" t="s">
        <v>38</v>
      </c>
      <c r="H24" s="5"/>
      <c r="I24" s="5"/>
      <c r="J24" s="5"/>
      <c r="K24" s="5"/>
      <c r="L24" s="5"/>
      <c r="M24" s="5"/>
      <c r="N24" s="5"/>
      <c r="O24" s="5"/>
    </row>
    <row r="25" spans="1:15" x14ac:dyDescent="0.3">
      <c r="A25" s="6" t="s">
        <v>1748</v>
      </c>
      <c r="B25" s="7" t="s">
        <v>1784</v>
      </c>
      <c r="C25" s="5"/>
      <c r="D25" s="6" t="s">
        <v>1783</v>
      </c>
      <c r="E25" s="5"/>
      <c r="F25" s="5"/>
      <c r="G25" s="5" t="s">
        <v>38</v>
      </c>
      <c r="H25" s="5"/>
      <c r="I25" s="5"/>
      <c r="J25" s="5"/>
      <c r="K25" s="5"/>
      <c r="L25" s="5"/>
      <c r="M25" s="5"/>
      <c r="N25" s="5"/>
      <c r="O25" s="5"/>
    </row>
    <row r="26" spans="1:15" x14ac:dyDescent="0.3">
      <c r="A26" s="6" t="s">
        <v>1748</v>
      </c>
      <c r="B26" s="7" t="s">
        <v>1785</v>
      </c>
      <c r="C26" s="5"/>
      <c r="D26" s="6" t="s">
        <v>1783</v>
      </c>
      <c r="E26" s="5"/>
      <c r="F26" s="5"/>
      <c r="G26" s="5" t="s">
        <v>38</v>
      </c>
      <c r="H26" s="5"/>
      <c r="I26" s="5"/>
      <c r="J26" s="5"/>
      <c r="K26" s="5"/>
      <c r="L26" s="5"/>
      <c r="M26" s="5"/>
      <c r="N26" s="5"/>
      <c r="O26" s="5"/>
    </row>
    <row r="27" spans="1:15" x14ac:dyDescent="0.3">
      <c r="A27" s="6" t="s">
        <v>1748</v>
      </c>
      <c r="B27" s="7" t="s">
        <v>1786</v>
      </c>
      <c r="C27" s="5"/>
      <c r="D27" s="6" t="s">
        <v>1783</v>
      </c>
      <c r="E27" s="5"/>
      <c r="F27" s="5"/>
      <c r="G27" s="5" t="s">
        <v>38</v>
      </c>
      <c r="H27" s="5"/>
      <c r="I27" s="5"/>
      <c r="J27" s="5"/>
      <c r="K27" s="5"/>
      <c r="L27" s="5"/>
      <c r="M27" s="5"/>
      <c r="N27" s="5"/>
      <c r="O27" s="5"/>
    </row>
    <row r="28" spans="1:15" x14ac:dyDescent="0.3">
      <c r="A28" s="6" t="s">
        <v>1748</v>
      </c>
      <c r="B28" s="7" t="s">
        <v>1787</v>
      </c>
      <c r="C28" s="5">
        <v>150</v>
      </c>
      <c r="D28" s="6" t="s">
        <v>1788</v>
      </c>
      <c r="E28" s="5"/>
      <c r="F28" s="5"/>
      <c r="G28" s="5" t="s">
        <v>38</v>
      </c>
      <c r="H28" s="5"/>
      <c r="I28" s="5"/>
      <c r="J28" s="5"/>
      <c r="K28" s="5"/>
      <c r="L28" s="5"/>
      <c r="M28" s="5"/>
      <c r="N28" s="5"/>
      <c r="O28" s="5"/>
    </row>
    <row r="29" spans="1:15" x14ac:dyDescent="0.3">
      <c r="A29" s="6" t="s">
        <v>1748</v>
      </c>
      <c r="B29" s="7" t="s">
        <v>1789</v>
      </c>
      <c r="C29" s="5"/>
      <c r="D29" s="6" t="s">
        <v>1788</v>
      </c>
      <c r="E29" s="5"/>
      <c r="F29" s="5"/>
      <c r="G29" s="5" t="s">
        <v>38</v>
      </c>
      <c r="H29" s="5"/>
      <c r="I29" s="5"/>
      <c r="J29" s="5"/>
      <c r="K29" s="5"/>
      <c r="L29" s="5"/>
      <c r="M29" s="5"/>
      <c r="N29" s="5"/>
      <c r="O29" s="5"/>
    </row>
    <row r="30" spans="1:15" x14ac:dyDescent="0.3">
      <c r="A30" s="6" t="s">
        <v>1748</v>
      </c>
      <c r="B30" s="7" t="s">
        <v>1790</v>
      </c>
      <c r="C30" s="5"/>
      <c r="D30" s="6" t="s">
        <v>1788</v>
      </c>
      <c r="E30" s="5"/>
      <c r="F30" s="5"/>
      <c r="G30" s="5" t="s">
        <v>38</v>
      </c>
      <c r="H30" s="5"/>
      <c r="I30" s="5"/>
      <c r="J30" s="5"/>
      <c r="K30" s="5"/>
      <c r="L30" s="5"/>
      <c r="M30" s="5"/>
      <c r="N30" s="5"/>
      <c r="O30" s="5"/>
    </row>
    <row r="31" spans="1:15" x14ac:dyDescent="0.3">
      <c r="A31" s="6" t="s">
        <v>1748</v>
      </c>
      <c r="B31" s="7" t="s">
        <v>1791</v>
      </c>
      <c r="C31" s="5"/>
      <c r="D31" s="6" t="s">
        <v>1788</v>
      </c>
      <c r="E31" s="5"/>
      <c r="F31" s="5"/>
      <c r="G31" s="5" t="s">
        <v>38</v>
      </c>
      <c r="H31" s="5"/>
      <c r="I31" s="5"/>
      <c r="J31" s="5"/>
      <c r="K31" s="5"/>
      <c r="L31" s="5"/>
      <c r="M31" s="5"/>
      <c r="N31" s="5"/>
      <c r="O31" s="5"/>
    </row>
    <row r="32" spans="1:15" x14ac:dyDescent="0.3">
      <c r="A32" s="6" t="s">
        <v>1748</v>
      </c>
      <c r="B32" s="7" t="s">
        <v>1792</v>
      </c>
      <c r="C32" s="5"/>
      <c r="D32" s="6" t="s">
        <v>1788</v>
      </c>
      <c r="E32" s="5"/>
      <c r="F32" s="5"/>
      <c r="G32" s="5" t="s">
        <v>38</v>
      </c>
      <c r="H32" s="5"/>
      <c r="I32" s="5"/>
      <c r="J32" s="5"/>
      <c r="K32" s="5"/>
      <c r="L32" s="5"/>
      <c r="M32" s="5"/>
      <c r="N32" s="5"/>
      <c r="O32" s="5"/>
    </row>
    <row r="33" spans="1:15" x14ac:dyDescent="0.3">
      <c r="A33" s="6" t="s">
        <v>1748</v>
      </c>
      <c r="B33" s="7" t="s">
        <v>1793</v>
      </c>
      <c r="C33" s="6">
        <v>74</v>
      </c>
      <c r="D33" s="6" t="s">
        <v>1794</v>
      </c>
      <c r="E33" s="5"/>
      <c r="F33" s="5"/>
      <c r="G33" s="5" t="s">
        <v>38</v>
      </c>
      <c r="H33" s="5"/>
      <c r="I33" s="5"/>
      <c r="J33" s="5"/>
      <c r="K33" s="5"/>
      <c r="L33" s="5"/>
      <c r="M33" s="5"/>
      <c r="N33" s="5"/>
      <c r="O33" s="5"/>
    </row>
    <row r="34" spans="1:15" x14ac:dyDescent="0.3">
      <c r="A34" s="6" t="s">
        <v>1748</v>
      </c>
      <c r="B34" s="7" t="s">
        <v>1795</v>
      </c>
      <c r="C34" s="6"/>
      <c r="D34" s="6" t="s">
        <v>1794</v>
      </c>
      <c r="E34" s="5"/>
      <c r="F34" s="5"/>
      <c r="G34" s="5" t="s">
        <v>38</v>
      </c>
      <c r="H34" s="5"/>
      <c r="I34" s="5"/>
      <c r="J34" s="5"/>
      <c r="K34" s="5"/>
      <c r="L34" s="5"/>
      <c r="M34" s="5"/>
      <c r="N34" s="5"/>
      <c r="O34" s="5"/>
    </row>
    <row r="35" spans="1:15" x14ac:dyDescent="0.3">
      <c r="A35" s="6" t="s">
        <v>1796</v>
      </c>
      <c r="B35" s="7" t="s">
        <v>1797</v>
      </c>
      <c r="C35" s="5">
        <v>191</v>
      </c>
      <c r="D35" s="6" t="s">
        <v>1777</v>
      </c>
      <c r="E35" s="5"/>
      <c r="F35" s="5"/>
      <c r="G35" s="5" t="s">
        <v>38</v>
      </c>
      <c r="H35" s="5"/>
      <c r="I35" s="5"/>
      <c r="J35" s="5"/>
      <c r="K35" s="5"/>
      <c r="L35" s="5"/>
      <c r="M35" s="5"/>
      <c r="N35" s="5"/>
      <c r="O35" s="5"/>
    </row>
    <row r="36" spans="1:15" x14ac:dyDescent="0.3">
      <c r="A36" s="6" t="s">
        <v>1796</v>
      </c>
      <c r="B36" s="7" t="s">
        <v>1798</v>
      </c>
      <c r="C36" s="5"/>
      <c r="D36" s="6" t="s">
        <v>1777</v>
      </c>
      <c r="E36" s="5"/>
      <c r="F36" s="5"/>
      <c r="G36" s="5" t="s">
        <v>38</v>
      </c>
      <c r="H36" s="5"/>
      <c r="I36" s="5"/>
      <c r="J36" s="5"/>
      <c r="K36" s="5"/>
      <c r="L36" s="5"/>
      <c r="M36" s="5"/>
      <c r="N36" s="5"/>
      <c r="O36" s="5"/>
    </row>
    <row r="37" spans="1:15" x14ac:dyDescent="0.3">
      <c r="A37" s="6" t="s">
        <v>1796</v>
      </c>
      <c r="B37" s="7" t="s">
        <v>1799</v>
      </c>
      <c r="C37" s="5"/>
      <c r="D37" s="6" t="s">
        <v>1777</v>
      </c>
      <c r="E37" s="5"/>
      <c r="F37" s="5"/>
      <c r="G37" s="5" t="s">
        <v>38</v>
      </c>
      <c r="H37" s="5"/>
      <c r="I37" s="5"/>
      <c r="J37" s="5"/>
      <c r="K37" s="5"/>
      <c r="L37" s="5"/>
      <c r="M37" s="5"/>
      <c r="N37" s="5"/>
      <c r="O37" s="5"/>
    </row>
    <row r="38" spans="1:15" x14ac:dyDescent="0.3">
      <c r="A38" s="6" t="s">
        <v>1796</v>
      </c>
      <c r="B38" s="7" t="s">
        <v>1800</v>
      </c>
      <c r="C38" s="6">
        <v>201</v>
      </c>
      <c r="D38" s="6" t="s">
        <v>1801</v>
      </c>
      <c r="E38" s="5"/>
      <c r="F38" s="5"/>
      <c r="G38" s="5" t="s">
        <v>38</v>
      </c>
      <c r="H38" s="5"/>
      <c r="I38" s="5"/>
      <c r="J38" s="5"/>
      <c r="K38" s="5"/>
      <c r="L38" s="5"/>
      <c r="M38" s="5"/>
      <c r="N38" s="5"/>
      <c r="O38" s="5"/>
    </row>
    <row r="39" spans="1:15" x14ac:dyDescent="0.3">
      <c r="A39" s="6" t="s">
        <v>1796</v>
      </c>
      <c r="B39" s="7" t="s">
        <v>1802</v>
      </c>
      <c r="C39" s="6"/>
      <c r="D39" s="6" t="s">
        <v>1801</v>
      </c>
      <c r="E39" s="5"/>
      <c r="F39" s="5"/>
      <c r="G39" s="5" t="s">
        <v>38</v>
      </c>
      <c r="H39" s="5"/>
      <c r="I39" s="5"/>
      <c r="J39" s="5"/>
      <c r="K39" s="5"/>
      <c r="L39" s="5"/>
      <c r="M39" s="5"/>
      <c r="N39" s="5"/>
      <c r="O39" s="5"/>
    </row>
    <row r="40" spans="1:15" x14ac:dyDescent="0.3">
      <c r="A40" s="6" t="s">
        <v>1796</v>
      </c>
      <c r="B40" s="7" t="s">
        <v>1803</v>
      </c>
      <c r="C40" s="6"/>
      <c r="D40" s="6" t="s">
        <v>1801</v>
      </c>
      <c r="E40" s="5"/>
      <c r="F40" s="5"/>
      <c r="G40" s="5" t="s">
        <v>38</v>
      </c>
      <c r="H40" s="5"/>
      <c r="I40" s="5"/>
      <c r="J40" s="5"/>
      <c r="K40" s="5"/>
      <c r="L40" s="5"/>
      <c r="M40" s="5"/>
      <c r="N40" s="5"/>
      <c r="O40" s="5"/>
    </row>
    <row r="41" spans="1:15" x14ac:dyDescent="0.3">
      <c r="A41" s="6" t="s">
        <v>1796</v>
      </c>
      <c r="B41" s="7" t="s">
        <v>1804</v>
      </c>
      <c r="C41" s="6">
        <v>66</v>
      </c>
      <c r="D41" s="6" t="s">
        <v>1769</v>
      </c>
      <c r="E41" s="5"/>
      <c r="F41" s="5"/>
      <c r="G41" s="5" t="s">
        <v>38</v>
      </c>
      <c r="H41" s="5"/>
      <c r="I41" s="5"/>
      <c r="J41" s="5"/>
      <c r="K41" s="5"/>
      <c r="L41" s="5"/>
      <c r="M41" s="5"/>
      <c r="N41" s="5"/>
      <c r="O41" s="5"/>
    </row>
    <row r="42" spans="1:15" x14ac:dyDescent="0.3">
      <c r="A42" s="6" t="s">
        <v>1796</v>
      </c>
      <c r="B42" s="7" t="s">
        <v>1805</v>
      </c>
      <c r="C42" s="6">
        <v>66</v>
      </c>
      <c r="D42" s="6" t="s">
        <v>1769</v>
      </c>
      <c r="E42" s="5"/>
      <c r="F42" s="5"/>
      <c r="G42" s="5" t="s">
        <v>38</v>
      </c>
      <c r="H42" s="5"/>
      <c r="I42" s="5"/>
      <c r="J42" s="5"/>
      <c r="K42" s="5"/>
      <c r="L42" s="5"/>
      <c r="M42" s="5"/>
      <c r="N42" s="5"/>
      <c r="O42" s="5"/>
    </row>
    <row r="43" spans="1:15" x14ac:dyDescent="0.3">
      <c r="A43" s="6" t="s">
        <v>1796</v>
      </c>
      <c r="B43" s="7" t="s">
        <v>1806</v>
      </c>
      <c r="C43" s="6">
        <v>87</v>
      </c>
      <c r="D43" s="5" t="s">
        <v>1766</v>
      </c>
      <c r="E43" s="5"/>
      <c r="F43" s="5"/>
      <c r="G43" s="5" t="s">
        <v>38</v>
      </c>
      <c r="H43" s="5"/>
      <c r="I43" s="5"/>
      <c r="J43" s="5"/>
      <c r="K43" s="5"/>
      <c r="L43" s="5"/>
      <c r="M43" s="5"/>
      <c r="N43" s="5"/>
      <c r="O43" s="5"/>
    </row>
    <row r="44" spans="1:15" x14ac:dyDescent="0.3">
      <c r="A44" s="6" t="s">
        <v>1796</v>
      </c>
      <c r="B44" s="7" t="s">
        <v>1807</v>
      </c>
      <c r="C44" s="6">
        <v>66</v>
      </c>
      <c r="D44" s="6" t="s">
        <v>191</v>
      </c>
      <c r="E44" s="5"/>
      <c r="F44" s="5"/>
      <c r="G44" s="5" t="s">
        <v>38</v>
      </c>
      <c r="H44" s="5"/>
      <c r="I44" s="5"/>
      <c r="J44" s="5"/>
      <c r="K44" s="5"/>
      <c r="L44" s="5"/>
      <c r="M44" s="5"/>
      <c r="N44" s="5"/>
      <c r="O44" s="5"/>
    </row>
    <row r="45" spans="1:15" x14ac:dyDescent="0.3">
      <c r="A45" s="6" t="s">
        <v>1796</v>
      </c>
      <c r="B45" s="7" t="s">
        <v>1808</v>
      </c>
      <c r="C45" s="6">
        <v>66</v>
      </c>
      <c r="D45" s="6" t="s">
        <v>191</v>
      </c>
      <c r="E45" s="5"/>
      <c r="F45" s="5"/>
      <c r="G45" s="5" t="s">
        <v>38</v>
      </c>
      <c r="H45" s="5"/>
      <c r="I45" s="5"/>
      <c r="J45" s="5"/>
      <c r="K45" s="5"/>
      <c r="L45" s="5"/>
      <c r="M45" s="5"/>
      <c r="N45" s="5"/>
      <c r="O45" s="5"/>
    </row>
    <row r="46" spans="1:15" x14ac:dyDescent="0.3">
      <c r="A46" s="6" t="s">
        <v>1796</v>
      </c>
      <c r="B46" s="7" t="s">
        <v>1809</v>
      </c>
      <c r="C46" s="6">
        <v>66</v>
      </c>
      <c r="D46" s="6" t="s">
        <v>191</v>
      </c>
      <c r="E46" s="5"/>
      <c r="F46" s="5"/>
      <c r="G46" s="5" t="s">
        <v>38</v>
      </c>
      <c r="H46" s="5"/>
      <c r="I46" s="5"/>
      <c r="J46" s="5"/>
      <c r="K46" s="5"/>
      <c r="L46" s="5"/>
      <c r="M46" s="5"/>
      <c r="N46" s="5"/>
      <c r="O46" s="5"/>
    </row>
    <row r="47" spans="1:15" x14ac:dyDescent="0.3">
      <c r="A47" s="6" t="s">
        <v>1796</v>
      </c>
      <c r="B47" s="7" t="s">
        <v>1810</v>
      </c>
      <c r="C47" s="6">
        <v>67</v>
      </c>
      <c r="D47" s="6" t="s">
        <v>191</v>
      </c>
      <c r="E47" s="5"/>
      <c r="F47" s="5"/>
      <c r="G47" s="5" t="s">
        <v>38</v>
      </c>
      <c r="H47" s="5"/>
      <c r="I47" s="5"/>
      <c r="J47" s="5"/>
      <c r="K47" s="5"/>
      <c r="L47" s="5"/>
      <c r="M47" s="5"/>
      <c r="N47" s="5"/>
      <c r="O47" s="5"/>
    </row>
    <row r="48" spans="1:15" x14ac:dyDescent="0.3">
      <c r="A48" s="6" t="s">
        <v>1796</v>
      </c>
      <c r="B48" s="7" t="s">
        <v>1811</v>
      </c>
      <c r="C48" s="6">
        <v>66</v>
      </c>
      <c r="D48" s="6" t="s">
        <v>191</v>
      </c>
      <c r="E48" s="5"/>
      <c r="F48" s="5"/>
      <c r="G48" s="5" t="s">
        <v>38</v>
      </c>
      <c r="H48" s="5"/>
      <c r="I48" s="5"/>
      <c r="J48" s="5"/>
      <c r="K48" s="5"/>
      <c r="L48" s="5"/>
      <c r="M48" s="5"/>
      <c r="N48" s="5"/>
      <c r="O48" s="5"/>
    </row>
    <row r="49" spans="1:15" x14ac:dyDescent="0.3">
      <c r="A49" s="6" t="s">
        <v>1796</v>
      </c>
      <c r="B49" s="7" t="s">
        <v>1812</v>
      </c>
      <c r="C49" s="6">
        <v>61</v>
      </c>
      <c r="D49" s="6" t="s">
        <v>1754</v>
      </c>
      <c r="E49" s="5"/>
      <c r="F49" s="5"/>
      <c r="G49" s="5" t="s">
        <v>38</v>
      </c>
      <c r="H49" s="5"/>
      <c r="I49" s="5"/>
      <c r="J49" s="5"/>
      <c r="K49" s="5"/>
      <c r="L49" s="5"/>
      <c r="M49" s="5"/>
      <c r="N49" s="5"/>
      <c r="O49" s="5"/>
    </row>
    <row r="50" spans="1:15" x14ac:dyDescent="0.3">
      <c r="A50" s="6" t="s">
        <v>1796</v>
      </c>
      <c r="B50" s="7" t="s">
        <v>1813</v>
      </c>
      <c r="C50" s="6">
        <v>72.5</v>
      </c>
      <c r="D50" s="6" t="s">
        <v>1754</v>
      </c>
      <c r="E50" s="5"/>
      <c r="F50" s="5"/>
      <c r="G50" s="5" t="s">
        <v>38</v>
      </c>
      <c r="H50" s="5"/>
      <c r="I50" s="5"/>
      <c r="J50" s="5"/>
      <c r="K50" s="5"/>
      <c r="L50" s="5"/>
      <c r="M50" s="5"/>
      <c r="N50" s="5"/>
      <c r="O50" s="5"/>
    </row>
    <row r="51" spans="1:15" x14ac:dyDescent="0.3">
      <c r="A51" s="6" t="s">
        <v>1796</v>
      </c>
      <c r="B51" s="7" t="s">
        <v>1814</v>
      </c>
      <c r="C51" s="6">
        <v>73</v>
      </c>
      <c r="D51" s="6" t="s">
        <v>1754</v>
      </c>
      <c r="E51" s="5"/>
      <c r="F51" s="5"/>
      <c r="G51" s="5" t="s">
        <v>38</v>
      </c>
      <c r="H51" s="5"/>
      <c r="I51" s="5"/>
      <c r="J51" s="5"/>
      <c r="K51" s="5"/>
      <c r="L51" s="5"/>
      <c r="M51" s="5"/>
      <c r="N51" s="5"/>
      <c r="O51" s="5"/>
    </row>
    <row r="52" spans="1:15" x14ac:dyDescent="0.3">
      <c r="A52" s="6" t="s">
        <v>1796</v>
      </c>
      <c r="B52" s="7" t="s">
        <v>1815</v>
      </c>
      <c r="C52" s="6">
        <v>77</v>
      </c>
      <c r="D52" s="6" t="s">
        <v>1752</v>
      </c>
      <c r="E52" s="5"/>
      <c r="F52" s="5"/>
      <c r="G52" s="5" t="s">
        <v>38</v>
      </c>
      <c r="H52" s="5"/>
      <c r="I52" s="5"/>
      <c r="J52" s="5"/>
      <c r="K52" s="5"/>
      <c r="L52" s="5"/>
      <c r="M52" s="5"/>
      <c r="N52" s="5"/>
      <c r="O52" s="5"/>
    </row>
    <row r="53" spans="1:15" x14ac:dyDescent="0.3">
      <c r="A53" s="6" t="s">
        <v>1796</v>
      </c>
      <c r="B53" s="7" t="s">
        <v>1816</v>
      </c>
      <c r="C53" s="6">
        <v>77</v>
      </c>
      <c r="D53" s="6" t="s">
        <v>1750</v>
      </c>
      <c r="E53" s="5"/>
      <c r="F53" s="5"/>
      <c r="G53" s="5" t="s">
        <v>38</v>
      </c>
      <c r="H53" s="5"/>
      <c r="I53" s="5"/>
      <c r="J53" s="5"/>
      <c r="K53" s="5"/>
      <c r="L53" s="5"/>
      <c r="M53" s="5"/>
      <c r="N53" s="5"/>
      <c r="O53" s="5"/>
    </row>
    <row r="54" spans="1:15" x14ac:dyDescent="0.3">
      <c r="A54" s="5" t="s">
        <v>1817</v>
      </c>
      <c r="B54" s="8" t="s">
        <v>1818</v>
      </c>
      <c r="C54" s="5">
        <v>55</v>
      </c>
      <c r="D54" s="5"/>
      <c r="E54" s="5"/>
      <c r="F54" s="5"/>
      <c r="G54" s="5" t="s">
        <v>74</v>
      </c>
      <c r="H54" s="5"/>
      <c r="I54" s="5"/>
      <c r="J54" s="5"/>
      <c r="K54" s="5"/>
      <c r="L54" s="5"/>
      <c r="M54" s="5"/>
      <c r="N54" s="5"/>
      <c r="O54" s="5"/>
    </row>
    <row r="55" spans="1:15" x14ac:dyDescent="0.3">
      <c r="A55" s="5" t="s">
        <v>1817</v>
      </c>
      <c r="B55" s="8" t="s">
        <v>1819</v>
      </c>
      <c r="C55" s="5">
        <v>55</v>
      </c>
      <c r="D55" s="5"/>
      <c r="E55" s="5"/>
      <c r="F55" s="5"/>
      <c r="G55" s="5" t="s">
        <v>74</v>
      </c>
      <c r="H55" s="5"/>
      <c r="I55" s="5"/>
      <c r="J55" s="5"/>
      <c r="K55" s="5"/>
      <c r="L55" s="5"/>
      <c r="M55" s="5"/>
      <c r="N55" s="5"/>
      <c r="O55" s="5"/>
    </row>
    <row r="56" spans="1:15" x14ac:dyDescent="0.3">
      <c r="A56" s="5" t="s">
        <v>1817</v>
      </c>
      <c r="B56" s="8" t="s">
        <v>1820</v>
      </c>
      <c r="C56" s="5">
        <v>55</v>
      </c>
      <c r="D56" s="5"/>
      <c r="E56" s="5"/>
      <c r="F56" s="5"/>
      <c r="G56" s="5" t="s">
        <v>74</v>
      </c>
      <c r="H56" s="5"/>
      <c r="I56" s="5"/>
      <c r="J56" s="5"/>
      <c r="K56" s="5"/>
      <c r="L56" s="5"/>
      <c r="M56" s="5"/>
      <c r="N56" s="5"/>
      <c r="O56" s="5"/>
    </row>
    <row r="57" spans="1:15" x14ac:dyDescent="0.3">
      <c r="A57" s="5" t="s">
        <v>1817</v>
      </c>
      <c r="B57" s="8" t="s">
        <v>1821</v>
      </c>
      <c r="C57" s="5">
        <v>56</v>
      </c>
      <c r="D57" s="5"/>
      <c r="E57" s="5"/>
      <c r="F57" s="5"/>
      <c r="G57" s="5" t="s">
        <v>74</v>
      </c>
      <c r="H57" s="5"/>
      <c r="I57" s="5"/>
      <c r="J57" s="5"/>
      <c r="K57" s="5"/>
      <c r="L57" s="5"/>
      <c r="M57" s="5"/>
      <c r="N57" s="5"/>
      <c r="O57" s="5"/>
    </row>
    <row r="58" spans="1:15" x14ac:dyDescent="0.3">
      <c r="A58" s="5" t="s">
        <v>1817</v>
      </c>
      <c r="B58" s="8" t="s">
        <v>1822</v>
      </c>
      <c r="C58" s="5">
        <v>55</v>
      </c>
      <c r="D58" s="5"/>
      <c r="E58" s="5"/>
      <c r="F58" s="5"/>
      <c r="G58" s="5" t="s">
        <v>74</v>
      </c>
      <c r="H58" s="5"/>
      <c r="I58" s="5"/>
      <c r="J58" s="5"/>
      <c r="K58" s="5"/>
      <c r="L58" s="5"/>
      <c r="M58" s="5"/>
      <c r="N58" s="5"/>
      <c r="O58" s="5"/>
    </row>
    <row r="59" spans="1:15" x14ac:dyDescent="0.3">
      <c r="A59" s="5" t="s">
        <v>1817</v>
      </c>
      <c r="B59" s="8" t="s">
        <v>1823</v>
      </c>
      <c r="C59" s="5">
        <v>55</v>
      </c>
      <c r="D59" s="5"/>
      <c r="E59" s="5"/>
      <c r="F59" s="5"/>
      <c r="G59" s="5" t="s">
        <v>74</v>
      </c>
      <c r="H59" s="5"/>
      <c r="I59" s="5"/>
      <c r="J59" s="5"/>
      <c r="K59" s="5"/>
      <c r="L59" s="5"/>
      <c r="M59" s="5"/>
      <c r="N59" s="5"/>
      <c r="O59" s="5"/>
    </row>
    <row r="60" spans="1:15" x14ac:dyDescent="0.3">
      <c r="A60" s="5" t="s">
        <v>1817</v>
      </c>
      <c r="B60" s="8" t="s">
        <v>1824</v>
      </c>
      <c r="C60" s="5">
        <v>55</v>
      </c>
      <c r="D60" s="5" t="s">
        <v>1825</v>
      </c>
      <c r="E60" s="5"/>
      <c r="F60" s="5"/>
      <c r="G60" s="5" t="s">
        <v>38</v>
      </c>
      <c r="H60" s="5"/>
      <c r="I60" s="5"/>
      <c r="J60" s="5"/>
      <c r="K60" s="5" t="s">
        <v>1826</v>
      </c>
      <c r="L60" s="5" t="s">
        <v>1827</v>
      </c>
      <c r="M60" s="5"/>
      <c r="N60" s="5"/>
      <c r="O60" s="5"/>
    </row>
    <row r="61" spans="1:15" x14ac:dyDescent="0.3">
      <c r="A61" s="5" t="s">
        <v>1817</v>
      </c>
      <c r="B61" s="8" t="s">
        <v>1828</v>
      </c>
      <c r="C61" s="5">
        <v>55</v>
      </c>
      <c r="D61" s="5" t="s">
        <v>1829</v>
      </c>
      <c r="E61" s="5"/>
      <c r="F61" s="5"/>
      <c r="G61" s="5" t="s">
        <v>38</v>
      </c>
      <c r="H61" s="5"/>
      <c r="I61" s="5"/>
      <c r="J61" s="5"/>
      <c r="K61" s="5" t="s">
        <v>1830</v>
      </c>
      <c r="L61" s="5"/>
      <c r="M61" s="5"/>
      <c r="N61" s="5"/>
      <c r="O61" s="5"/>
    </row>
    <row r="62" spans="1:15" x14ac:dyDescent="0.3">
      <c r="A62" s="5" t="s">
        <v>1817</v>
      </c>
      <c r="B62" s="8" t="s">
        <v>1831</v>
      </c>
      <c r="C62" s="5">
        <v>91</v>
      </c>
      <c r="D62" s="5" t="s">
        <v>1832</v>
      </c>
      <c r="E62" s="5"/>
      <c r="F62" s="5"/>
      <c r="G62" s="5" t="s">
        <v>38</v>
      </c>
      <c r="H62" s="5"/>
      <c r="I62" s="5"/>
      <c r="J62" s="5"/>
      <c r="K62" s="5"/>
      <c r="L62" s="5"/>
      <c r="M62" s="5"/>
      <c r="N62" s="5"/>
      <c r="O62" s="5"/>
    </row>
    <row r="63" spans="1:15" x14ac:dyDescent="0.3">
      <c r="A63" s="5" t="s">
        <v>1817</v>
      </c>
      <c r="B63" s="8" t="s">
        <v>1833</v>
      </c>
      <c r="C63" s="5">
        <v>55</v>
      </c>
      <c r="D63" s="5"/>
      <c r="E63" s="5"/>
      <c r="F63" s="5"/>
      <c r="G63" s="5" t="s">
        <v>74</v>
      </c>
      <c r="H63" s="5"/>
      <c r="I63" s="5"/>
      <c r="J63" s="5"/>
      <c r="K63" s="5"/>
      <c r="L63" s="5"/>
      <c r="M63" s="5"/>
      <c r="N63" s="5"/>
      <c r="O63" s="5"/>
    </row>
    <row r="64" spans="1:15" x14ac:dyDescent="0.3">
      <c r="A64" s="5" t="s">
        <v>1817</v>
      </c>
      <c r="B64" s="8" t="s">
        <v>1834</v>
      </c>
      <c r="C64" s="5">
        <v>55</v>
      </c>
      <c r="D64" s="5" t="s">
        <v>1835</v>
      </c>
      <c r="E64" s="5"/>
      <c r="F64" s="5"/>
      <c r="G64" s="5" t="s">
        <v>38</v>
      </c>
      <c r="H64" s="5"/>
      <c r="I64" s="5"/>
      <c r="J64" s="5"/>
      <c r="K64" s="5"/>
      <c r="L64" s="5"/>
      <c r="M64" s="5"/>
      <c r="N64" s="5"/>
      <c r="O64" s="5"/>
    </row>
    <row r="65" spans="1:15" x14ac:dyDescent="0.3">
      <c r="A65" s="5" t="s">
        <v>1817</v>
      </c>
      <c r="B65" s="8" t="s">
        <v>1836</v>
      </c>
      <c r="C65" s="5">
        <v>55</v>
      </c>
      <c r="D65" s="5"/>
      <c r="E65" s="5"/>
      <c r="F65" s="5"/>
      <c r="G65" s="5" t="s">
        <v>74</v>
      </c>
      <c r="H65" s="5"/>
      <c r="I65" s="5"/>
      <c r="J65" s="5"/>
      <c r="K65" s="5"/>
      <c r="L65" s="5"/>
      <c r="M65" s="5"/>
      <c r="N65" s="5"/>
      <c r="O65" s="5"/>
    </row>
    <row r="66" spans="1:15" x14ac:dyDescent="0.3">
      <c r="A66" s="5" t="s">
        <v>1817</v>
      </c>
      <c r="B66" s="8" t="s">
        <v>1837</v>
      </c>
      <c r="C66" s="5">
        <v>55</v>
      </c>
      <c r="D66" s="5"/>
      <c r="E66" s="5"/>
      <c r="F66" s="5"/>
      <c r="G66" s="5" t="s">
        <v>74</v>
      </c>
      <c r="H66" s="5"/>
      <c r="I66" s="5"/>
      <c r="J66" s="5"/>
      <c r="K66" s="5"/>
      <c r="L66" s="5"/>
      <c r="M66" s="5"/>
      <c r="N66" s="5"/>
      <c r="O66" s="5"/>
    </row>
    <row r="67" spans="1:15" x14ac:dyDescent="0.3">
      <c r="A67" s="5" t="s">
        <v>1817</v>
      </c>
      <c r="B67" s="8" t="s">
        <v>1838</v>
      </c>
      <c r="C67" s="5">
        <v>55</v>
      </c>
      <c r="D67" s="5" t="s">
        <v>1839</v>
      </c>
      <c r="E67" s="5"/>
      <c r="F67" s="5"/>
      <c r="G67" s="5" t="s">
        <v>38</v>
      </c>
      <c r="H67" s="5"/>
      <c r="I67" s="5"/>
      <c r="J67" s="5"/>
      <c r="K67" s="5"/>
      <c r="L67" s="5"/>
      <c r="M67" s="5"/>
      <c r="N67" s="5"/>
      <c r="O67" s="5"/>
    </row>
    <row r="68" spans="1:15" x14ac:dyDescent="0.3">
      <c r="A68" s="5" t="s">
        <v>1817</v>
      </c>
      <c r="B68" s="8" t="s">
        <v>1840</v>
      </c>
      <c r="C68" s="5">
        <v>50</v>
      </c>
      <c r="D68" s="5" t="s">
        <v>1841</v>
      </c>
      <c r="E68" s="5"/>
      <c r="F68" s="5"/>
      <c r="G68" s="5" t="s">
        <v>38</v>
      </c>
      <c r="H68" s="5"/>
      <c r="I68" s="5"/>
      <c r="J68" s="5"/>
      <c r="K68" s="5"/>
      <c r="L68" s="5"/>
      <c r="M68" s="5"/>
      <c r="N68" s="5"/>
      <c r="O68" s="5"/>
    </row>
    <row r="69" spans="1:15" x14ac:dyDescent="0.3">
      <c r="A69" s="5" t="s">
        <v>1817</v>
      </c>
      <c r="B69" s="8" t="s">
        <v>1842</v>
      </c>
      <c r="C69" s="5">
        <v>67</v>
      </c>
      <c r="D69" s="5"/>
      <c r="E69" s="5"/>
      <c r="F69" s="5"/>
      <c r="G69" s="5" t="s">
        <v>74</v>
      </c>
      <c r="H69" s="5"/>
      <c r="I69" s="5"/>
      <c r="J69" s="5"/>
      <c r="K69" s="5"/>
      <c r="L69" s="5"/>
      <c r="M69" s="5"/>
      <c r="N69" s="5"/>
      <c r="O69" s="5"/>
    </row>
    <row r="70" spans="1:15" x14ac:dyDescent="0.3">
      <c r="A70" s="5" t="s">
        <v>1817</v>
      </c>
      <c r="B70" s="8" t="s">
        <v>1843</v>
      </c>
      <c r="C70" s="5">
        <v>138</v>
      </c>
      <c r="D70" s="5" t="s">
        <v>1844</v>
      </c>
      <c r="E70" s="5"/>
      <c r="F70" s="5"/>
      <c r="G70" s="5" t="s">
        <v>38</v>
      </c>
      <c r="H70" s="5"/>
      <c r="I70" s="5"/>
      <c r="J70" s="5"/>
      <c r="K70" s="5" t="s">
        <v>1845</v>
      </c>
      <c r="L70" s="5" t="s">
        <v>1846</v>
      </c>
      <c r="M70" s="5"/>
      <c r="N70" s="5"/>
      <c r="O70" s="5"/>
    </row>
    <row r="71" spans="1:15" x14ac:dyDescent="0.3">
      <c r="A71" s="5" t="s">
        <v>1817</v>
      </c>
      <c r="B71" s="8" t="s">
        <v>1847</v>
      </c>
      <c r="C71" s="5"/>
      <c r="D71" s="5" t="s">
        <v>1844</v>
      </c>
      <c r="E71" s="5"/>
      <c r="F71" s="5"/>
      <c r="G71" s="5" t="s">
        <v>38</v>
      </c>
      <c r="H71" s="5"/>
      <c r="I71" s="5"/>
      <c r="J71" s="5"/>
      <c r="K71" s="5" t="s">
        <v>1845</v>
      </c>
      <c r="L71" s="5" t="s">
        <v>1846</v>
      </c>
      <c r="M71" s="5"/>
      <c r="N71" s="5"/>
      <c r="O71" s="5"/>
    </row>
    <row r="72" spans="1:15" x14ac:dyDescent="0.3">
      <c r="A72" s="5" t="s">
        <v>1817</v>
      </c>
      <c r="B72" s="8" t="s">
        <v>1848</v>
      </c>
      <c r="C72" s="5">
        <v>63</v>
      </c>
      <c r="D72" s="5" t="s">
        <v>1849</v>
      </c>
      <c r="E72" s="5"/>
      <c r="F72" s="5"/>
      <c r="G72" s="5" t="s">
        <v>38</v>
      </c>
      <c r="H72" s="5"/>
      <c r="I72" s="5"/>
      <c r="J72" s="5"/>
      <c r="K72" s="5"/>
      <c r="L72" s="5"/>
      <c r="M72" s="5"/>
      <c r="N72" s="5"/>
      <c r="O72" s="5"/>
    </row>
    <row r="73" spans="1:15" x14ac:dyDescent="0.3">
      <c r="A73" s="5" t="s">
        <v>1817</v>
      </c>
      <c r="B73" s="8" t="s">
        <v>1850</v>
      </c>
      <c r="C73" s="5">
        <v>65</v>
      </c>
      <c r="D73" s="5" t="s">
        <v>1851</v>
      </c>
      <c r="E73" s="5"/>
      <c r="F73" s="5"/>
      <c r="G73" s="5" t="s">
        <v>38</v>
      </c>
      <c r="H73" s="5"/>
      <c r="I73" s="5"/>
      <c r="J73" s="5"/>
      <c r="K73" s="5"/>
      <c r="L73" s="5"/>
      <c r="M73" s="5"/>
      <c r="N73" s="5"/>
      <c r="O73" s="5"/>
    </row>
    <row r="74" spans="1:15" x14ac:dyDescent="0.3">
      <c r="A74" s="5" t="s">
        <v>1817</v>
      </c>
      <c r="B74" s="8" t="s">
        <v>1852</v>
      </c>
      <c r="C74" s="5">
        <v>91</v>
      </c>
      <c r="D74" s="5" t="s">
        <v>1853</v>
      </c>
      <c r="E74" s="5"/>
      <c r="F74" s="5"/>
      <c r="G74" s="5" t="s">
        <v>38</v>
      </c>
      <c r="H74" s="5"/>
      <c r="I74" s="5"/>
      <c r="J74" s="5"/>
      <c r="K74" s="5"/>
      <c r="L74" s="5"/>
      <c r="M74" s="5"/>
      <c r="N74" s="5"/>
      <c r="O74" s="5"/>
    </row>
    <row r="75" spans="1:15" x14ac:dyDescent="0.3">
      <c r="A75" s="5" t="s">
        <v>1817</v>
      </c>
      <c r="B75" s="8" t="s">
        <v>1854</v>
      </c>
      <c r="C75" s="5">
        <v>33</v>
      </c>
      <c r="D75" s="5" t="s">
        <v>1855</v>
      </c>
      <c r="E75" s="5"/>
      <c r="F75" s="5"/>
      <c r="G75" s="5" t="s">
        <v>38</v>
      </c>
      <c r="H75" s="5"/>
      <c r="I75" s="5"/>
      <c r="J75" s="5"/>
      <c r="K75" s="5"/>
      <c r="L75" s="5"/>
      <c r="M75" s="5"/>
      <c r="N75" s="5"/>
      <c r="O75" s="5"/>
    </row>
    <row r="76" spans="1:15" x14ac:dyDescent="0.3">
      <c r="A76" s="5" t="s">
        <v>1817</v>
      </c>
      <c r="B76" s="8" t="s">
        <v>1856</v>
      </c>
      <c r="C76" s="5">
        <v>65</v>
      </c>
      <c r="D76" s="5"/>
      <c r="E76" s="5"/>
      <c r="F76" s="5"/>
      <c r="G76" s="5" t="s">
        <v>74</v>
      </c>
      <c r="H76" s="5"/>
      <c r="I76" s="5"/>
      <c r="J76" s="5"/>
      <c r="K76" s="5"/>
      <c r="L76" s="5"/>
      <c r="M76" s="5"/>
      <c r="N76" s="5"/>
      <c r="O76" s="5"/>
    </row>
    <row r="77" spans="1:15" ht="28" x14ac:dyDescent="0.3">
      <c r="A77" s="5" t="s">
        <v>1817</v>
      </c>
      <c r="B77" s="8" t="s">
        <v>1857</v>
      </c>
      <c r="C77" s="5">
        <v>55</v>
      </c>
      <c r="D77" s="5" t="s">
        <v>1858</v>
      </c>
      <c r="E77" s="5"/>
      <c r="F77" s="5"/>
      <c r="G77" s="5" t="s">
        <v>38</v>
      </c>
      <c r="H77" s="5"/>
      <c r="I77" s="5"/>
      <c r="J77" s="5"/>
      <c r="K77" s="5"/>
      <c r="L77" s="5"/>
      <c r="M77" s="5"/>
      <c r="N77" s="5"/>
      <c r="O77" s="5"/>
    </row>
    <row r="78" spans="1:15" x14ac:dyDescent="0.3">
      <c r="A78" s="5" t="s">
        <v>1817</v>
      </c>
      <c r="B78" s="8" t="s">
        <v>1859</v>
      </c>
      <c r="C78" s="5">
        <v>58.6</v>
      </c>
      <c r="D78" s="5" t="s">
        <v>1860</v>
      </c>
      <c r="E78" s="5"/>
      <c r="F78" s="5"/>
      <c r="G78" s="5" t="s">
        <v>38</v>
      </c>
      <c r="H78" s="5"/>
      <c r="I78" s="5"/>
      <c r="J78" s="5"/>
      <c r="K78" s="5"/>
      <c r="L78" s="5"/>
      <c r="M78" s="5"/>
      <c r="N78" s="5"/>
      <c r="O78" s="5"/>
    </row>
    <row r="79" spans="1:15" x14ac:dyDescent="0.3">
      <c r="A79" s="5" t="s">
        <v>1817</v>
      </c>
      <c r="B79" s="8" t="s">
        <v>1861</v>
      </c>
      <c r="C79" s="5">
        <v>57</v>
      </c>
      <c r="D79" s="5"/>
      <c r="E79" s="5"/>
      <c r="F79" s="5"/>
      <c r="G79" s="5" t="s">
        <v>74</v>
      </c>
      <c r="H79" s="5"/>
      <c r="I79" s="5"/>
      <c r="J79" s="5"/>
      <c r="K79" s="5"/>
      <c r="L79" s="9"/>
      <c r="M79" s="5"/>
      <c r="N79" s="5"/>
      <c r="O79" s="5"/>
    </row>
    <row r="80" spans="1:15" x14ac:dyDescent="0.3">
      <c r="A80" s="5" t="s">
        <v>1817</v>
      </c>
      <c r="B80" s="8" t="s">
        <v>1862</v>
      </c>
      <c r="C80" s="5">
        <v>57</v>
      </c>
      <c r="D80" s="5"/>
      <c r="E80" s="5"/>
      <c r="F80" s="5"/>
      <c r="G80" s="5" t="s">
        <v>74</v>
      </c>
      <c r="H80" s="5"/>
      <c r="I80" s="5"/>
      <c r="J80" s="5"/>
      <c r="K80" s="5"/>
      <c r="L80" s="5"/>
      <c r="M80" s="5"/>
      <c r="N80" s="5"/>
      <c r="O80" s="5"/>
    </row>
    <row r="81" spans="1:15" x14ac:dyDescent="0.3">
      <c r="A81" s="5" t="s">
        <v>1817</v>
      </c>
      <c r="B81" s="8" t="s">
        <v>1863</v>
      </c>
      <c r="C81" s="5">
        <v>55</v>
      </c>
      <c r="D81" s="5"/>
      <c r="E81" s="5"/>
      <c r="F81" s="5"/>
      <c r="G81" s="5" t="s">
        <v>74</v>
      </c>
      <c r="H81" s="5"/>
      <c r="I81" s="5"/>
      <c r="J81" s="5"/>
      <c r="K81" s="5"/>
      <c r="L81" s="5"/>
      <c r="M81" s="5"/>
      <c r="N81" s="5"/>
      <c r="O81" s="5"/>
    </row>
    <row r="82" spans="1:15" x14ac:dyDescent="0.3">
      <c r="A82" s="5" t="s">
        <v>1817</v>
      </c>
      <c r="B82" s="8" t="s">
        <v>1864</v>
      </c>
      <c r="C82" s="5">
        <v>58</v>
      </c>
      <c r="D82" s="5"/>
      <c r="E82" s="5"/>
      <c r="F82" s="5"/>
      <c r="G82" s="5" t="s">
        <v>74</v>
      </c>
      <c r="H82" s="5"/>
      <c r="I82" s="5"/>
      <c r="J82" s="5"/>
      <c r="K82" s="5"/>
      <c r="L82" s="5"/>
      <c r="M82" s="5"/>
      <c r="N82" s="5"/>
      <c r="O82" s="5"/>
    </row>
    <row r="83" spans="1:15" x14ac:dyDescent="0.3">
      <c r="A83" s="5" t="s">
        <v>1817</v>
      </c>
      <c r="B83" s="8" t="s">
        <v>1865</v>
      </c>
      <c r="C83" s="5">
        <v>57</v>
      </c>
      <c r="D83" s="5" t="s">
        <v>1866</v>
      </c>
      <c r="E83" s="5"/>
      <c r="F83" s="5"/>
      <c r="G83" s="5" t="s">
        <v>38</v>
      </c>
      <c r="H83" s="5"/>
      <c r="I83" s="5"/>
      <c r="J83" s="5"/>
      <c r="K83" s="5"/>
      <c r="L83" s="5"/>
      <c r="M83" s="5"/>
      <c r="N83" s="5"/>
      <c r="O83" s="5"/>
    </row>
    <row r="84" spans="1:15" x14ac:dyDescent="0.3">
      <c r="A84" s="5" t="s">
        <v>1817</v>
      </c>
      <c r="B84" s="8" t="s">
        <v>1867</v>
      </c>
      <c r="C84" s="5">
        <v>57</v>
      </c>
      <c r="D84" s="5"/>
      <c r="E84" s="5"/>
      <c r="F84" s="5"/>
      <c r="G84" s="5" t="s">
        <v>74</v>
      </c>
      <c r="H84" s="5"/>
      <c r="I84" s="5"/>
      <c r="J84" s="5"/>
      <c r="K84" s="5"/>
      <c r="L84" s="5"/>
      <c r="M84" s="5"/>
      <c r="N84" s="5"/>
      <c r="O84" s="5"/>
    </row>
    <row r="85" spans="1:15" x14ac:dyDescent="0.3">
      <c r="A85" s="5" t="s">
        <v>1817</v>
      </c>
      <c r="B85" s="8" t="s">
        <v>1868</v>
      </c>
      <c r="C85" s="5">
        <v>60</v>
      </c>
      <c r="D85" s="5" t="s">
        <v>1869</v>
      </c>
      <c r="E85" s="5"/>
      <c r="F85" s="5"/>
      <c r="G85" s="5" t="s">
        <v>38</v>
      </c>
      <c r="H85" s="5"/>
      <c r="I85" s="5"/>
      <c r="J85" s="5"/>
      <c r="K85" s="5"/>
      <c r="L85" s="5"/>
      <c r="M85" s="5"/>
      <c r="N85" s="5"/>
      <c r="O85" s="5"/>
    </row>
    <row r="86" spans="1:15" x14ac:dyDescent="0.3">
      <c r="A86" s="5" t="s">
        <v>1817</v>
      </c>
      <c r="B86" s="8" t="s">
        <v>1870</v>
      </c>
      <c r="C86" s="5">
        <v>58</v>
      </c>
      <c r="D86" s="5"/>
      <c r="E86" s="5"/>
      <c r="F86" s="5"/>
      <c r="G86" s="5" t="s">
        <v>74</v>
      </c>
      <c r="H86" s="5"/>
      <c r="I86" s="5"/>
      <c r="J86" s="5"/>
      <c r="K86" s="5"/>
      <c r="L86" s="5"/>
      <c r="M86" s="5"/>
      <c r="N86" s="5"/>
      <c r="O86" s="5"/>
    </row>
    <row r="87" spans="1:15" x14ac:dyDescent="0.3">
      <c r="A87" s="5" t="s">
        <v>1817</v>
      </c>
      <c r="B87" s="8" t="s">
        <v>1871</v>
      </c>
      <c r="C87" s="5">
        <v>57</v>
      </c>
      <c r="D87" s="5"/>
      <c r="E87" s="5"/>
      <c r="F87" s="5"/>
      <c r="G87" s="5" t="s">
        <v>74</v>
      </c>
      <c r="H87" s="5"/>
      <c r="I87" s="5"/>
      <c r="J87" s="5"/>
      <c r="K87" s="5"/>
      <c r="L87" s="5"/>
      <c r="M87" s="5"/>
      <c r="N87" s="5"/>
      <c r="O87" s="5"/>
    </row>
    <row r="88" spans="1:15" x14ac:dyDescent="0.3">
      <c r="A88" s="5" t="s">
        <v>1817</v>
      </c>
      <c r="B88" s="8" t="s">
        <v>1872</v>
      </c>
      <c r="C88" s="5">
        <v>57</v>
      </c>
      <c r="D88" s="5"/>
      <c r="E88" s="5"/>
      <c r="F88" s="5"/>
      <c r="G88" s="5" t="s">
        <v>74</v>
      </c>
      <c r="H88" s="5"/>
      <c r="I88" s="5"/>
      <c r="J88" s="5"/>
      <c r="K88" s="5"/>
      <c r="L88" s="5"/>
      <c r="M88" s="5"/>
      <c r="N88" s="5"/>
      <c r="O88" s="5"/>
    </row>
    <row r="89" spans="1:15" x14ac:dyDescent="0.3">
      <c r="A89" s="5" t="s">
        <v>1817</v>
      </c>
      <c r="B89" s="8" t="s">
        <v>1873</v>
      </c>
      <c r="C89" s="5">
        <v>62</v>
      </c>
      <c r="D89" s="5"/>
      <c r="E89" s="5"/>
      <c r="F89" s="5"/>
      <c r="G89" s="5" t="s">
        <v>74</v>
      </c>
      <c r="H89" s="5"/>
      <c r="I89" s="5"/>
      <c r="J89" s="5"/>
      <c r="K89" s="5"/>
      <c r="L89" s="5"/>
      <c r="M89" s="5"/>
      <c r="N89" s="5"/>
      <c r="O89" s="5"/>
    </row>
    <row r="90" spans="1:15" x14ac:dyDescent="0.3">
      <c r="A90" s="5" t="s">
        <v>1817</v>
      </c>
      <c r="B90" s="8" t="s">
        <v>1874</v>
      </c>
      <c r="C90" s="5">
        <v>58</v>
      </c>
      <c r="D90" s="5" t="s">
        <v>1875</v>
      </c>
      <c r="E90" s="5"/>
      <c r="F90" s="5"/>
      <c r="G90" s="5" t="s">
        <v>38</v>
      </c>
      <c r="H90" s="5"/>
      <c r="I90" s="5"/>
      <c r="J90" s="5"/>
      <c r="K90" s="5" t="s">
        <v>1826</v>
      </c>
      <c r="L90" s="5" t="s">
        <v>1827</v>
      </c>
      <c r="M90" s="5"/>
      <c r="N90" s="5"/>
      <c r="O90" s="5"/>
    </row>
    <row r="91" spans="1:15" x14ac:dyDescent="0.3">
      <c r="A91" s="6" t="s">
        <v>1817</v>
      </c>
      <c r="B91" s="8" t="s">
        <v>1876</v>
      </c>
      <c r="C91" s="6">
        <v>55</v>
      </c>
      <c r="D91" s="6" t="s">
        <v>1877</v>
      </c>
      <c r="E91" s="5"/>
      <c r="F91" s="5"/>
      <c r="G91" s="5" t="s">
        <v>38</v>
      </c>
      <c r="H91" s="5"/>
      <c r="I91" s="5"/>
      <c r="J91" s="5"/>
      <c r="K91" s="5"/>
      <c r="L91" s="5"/>
      <c r="M91" s="5"/>
      <c r="N91" s="5"/>
      <c r="O91" s="5"/>
    </row>
    <row r="92" spans="1:15" x14ac:dyDescent="0.3">
      <c r="A92" s="5" t="s">
        <v>1878</v>
      </c>
      <c r="B92" s="8" t="s">
        <v>1879</v>
      </c>
      <c r="C92" s="5">
        <v>41</v>
      </c>
      <c r="D92" s="5"/>
      <c r="E92" s="5"/>
      <c r="F92" s="5"/>
      <c r="G92" s="5" t="s">
        <v>74</v>
      </c>
      <c r="H92" s="5"/>
      <c r="I92" s="5"/>
      <c r="J92" s="5"/>
      <c r="K92" s="5"/>
      <c r="L92" s="5"/>
      <c r="M92" s="5"/>
      <c r="N92" s="5"/>
      <c r="O92" s="5"/>
    </row>
    <row r="93" spans="1:15" x14ac:dyDescent="0.3">
      <c r="A93" s="5" t="s">
        <v>1878</v>
      </c>
      <c r="B93" s="8" t="s">
        <v>1880</v>
      </c>
      <c r="C93" s="5">
        <v>41</v>
      </c>
      <c r="D93" s="5"/>
      <c r="E93" s="5"/>
      <c r="F93" s="5"/>
      <c r="G93" s="5" t="s">
        <v>74</v>
      </c>
      <c r="H93" s="5"/>
      <c r="I93" s="5"/>
      <c r="J93" s="5"/>
      <c r="K93" s="5"/>
      <c r="L93" s="5"/>
      <c r="M93" s="5"/>
      <c r="N93" s="5"/>
      <c r="O93" s="5"/>
    </row>
    <row r="94" spans="1:15" x14ac:dyDescent="0.3">
      <c r="A94" s="5" t="s">
        <v>1878</v>
      </c>
      <c r="B94" s="8" t="s">
        <v>1881</v>
      </c>
      <c r="C94" s="5">
        <v>78</v>
      </c>
      <c r="D94" s="5" t="s">
        <v>1882</v>
      </c>
      <c r="E94" s="5"/>
      <c r="F94" s="5"/>
      <c r="G94" s="5" t="s">
        <v>38</v>
      </c>
      <c r="H94" s="5"/>
      <c r="I94" s="5"/>
      <c r="J94" s="5"/>
      <c r="K94" s="5"/>
      <c r="L94" s="5"/>
      <c r="M94" s="5"/>
      <c r="N94" s="5"/>
      <c r="O94" s="5"/>
    </row>
    <row r="95" spans="1:15" x14ac:dyDescent="0.3">
      <c r="A95" s="5" t="s">
        <v>1878</v>
      </c>
      <c r="B95" s="8" t="s">
        <v>1883</v>
      </c>
      <c r="C95" s="5">
        <v>78</v>
      </c>
      <c r="D95" s="5" t="s">
        <v>1882</v>
      </c>
      <c r="E95" s="5"/>
      <c r="F95" s="5"/>
      <c r="G95" s="5" t="s">
        <v>38</v>
      </c>
      <c r="H95" s="5"/>
      <c r="I95" s="5"/>
      <c r="J95" s="5"/>
      <c r="K95" s="5"/>
      <c r="L95" s="5"/>
      <c r="M95" s="5"/>
      <c r="N95" s="5"/>
      <c r="O95" s="5"/>
    </row>
    <row r="96" spans="1:15" x14ac:dyDescent="0.3">
      <c r="A96" s="5" t="s">
        <v>1878</v>
      </c>
      <c r="B96" s="8" t="s">
        <v>1884</v>
      </c>
      <c r="C96" s="5">
        <v>70</v>
      </c>
      <c r="D96" s="5" t="s">
        <v>1885</v>
      </c>
      <c r="E96" s="5"/>
      <c r="F96" s="5"/>
      <c r="G96" s="5" t="s">
        <v>38</v>
      </c>
      <c r="H96" s="5"/>
      <c r="I96" s="5"/>
      <c r="J96" s="5"/>
      <c r="K96" s="5"/>
      <c r="L96" s="5"/>
      <c r="M96" s="5"/>
      <c r="N96" s="5"/>
      <c r="O96" s="5"/>
    </row>
    <row r="97" spans="1:15" x14ac:dyDescent="0.3">
      <c r="A97" s="5" t="s">
        <v>1878</v>
      </c>
      <c r="B97" s="8" t="s">
        <v>1886</v>
      </c>
      <c r="C97" s="5">
        <v>70</v>
      </c>
      <c r="D97" s="5" t="s">
        <v>1885</v>
      </c>
      <c r="E97" s="5"/>
      <c r="F97" s="5"/>
      <c r="G97" s="5" t="s">
        <v>38</v>
      </c>
      <c r="H97" s="5"/>
      <c r="I97" s="5"/>
      <c r="J97" s="5"/>
      <c r="K97" s="5"/>
      <c r="L97" s="5"/>
      <c r="M97" s="5"/>
      <c r="N97" s="5"/>
      <c r="O97" s="5"/>
    </row>
    <row r="98" spans="1:15" x14ac:dyDescent="0.3">
      <c r="A98" s="5" t="s">
        <v>1878</v>
      </c>
      <c r="B98" s="8" t="s">
        <v>1887</v>
      </c>
      <c r="C98" s="5">
        <v>73</v>
      </c>
      <c r="D98" s="5" t="s">
        <v>1888</v>
      </c>
      <c r="E98" s="5"/>
      <c r="F98" s="5"/>
      <c r="G98" s="5" t="s">
        <v>38</v>
      </c>
      <c r="H98" s="5"/>
      <c r="I98" s="5"/>
      <c r="J98" s="5"/>
      <c r="K98" s="5"/>
      <c r="L98" s="5"/>
      <c r="M98" s="5"/>
      <c r="N98" s="5"/>
      <c r="O98" s="5"/>
    </row>
    <row r="99" spans="1:15" x14ac:dyDescent="0.3">
      <c r="A99" s="5" t="s">
        <v>1878</v>
      </c>
      <c r="B99" s="8" t="s">
        <v>1889</v>
      </c>
      <c r="C99" s="5">
        <v>73</v>
      </c>
      <c r="D99" s="5" t="s">
        <v>1888</v>
      </c>
      <c r="E99" s="5"/>
      <c r="F99" s="5"/>
      <c r="G99" s="5" t="s">
        <v>38</v>
      </c>
      <c r="H99" s="5"/>
      <c r="I99" s="5"/>
      <c r="J99" s="5"/>
      <c r="K99" s="5"/>
      <c r="L99" s="5"/>
      <c r="M99" s="5"/>
      <c r="N99" s="5"/>
      <c r="O99" s="5"/>
    </row>
    <row r="100" spans="1:15" x14ac:dyDescent="0.3">
      <c r="A100" s="5" t="s">
        <v>1878</v>
      </c>
      <c r="B100" s="8" t="s">
        <v>1890</v>
      </c>
      <c r="C100" s="10">
        <v>71.400000000000006</v>
      </c>
      <c r="D100" s="5"/>
      <c r="E100" s="5"/>
      <c r="F100" s="5"/>
      <c r="G100" s="5" t="s">
        <v>74</v>
      </c>
      <c r="H100" s="5"/>
      <c r="I100" s="5"/>
      <c r="J100" s="5"/>
      <c r="K100" s="5"/>
      <c r="L100" s="5"/>
      <c r="M100" s="5"/>
      <c r="N100" s="5"/>
      <c r="O100" s="5"/>
    </row>
    <row r="101" spans="1:15" x14ac:dyDescent="0.3">
      <c r="A101" s="5" t="s">
        <v>1878</v>
      </c>
      <c r="B101" s="8" t="s">
        <v>1891</v>
      </c>
      <c r="C101" s="5">
        <v>37</v>
      </c>
      <c r="D101" s="5" t="s">
        <v>1892</v>
      </c>
      <c r="E101" s="5"/>
      <c r="F101" s="5"/>
      <c r="G101" s="5" t="s">
        <v>38</v>
      </c>
      <c r="H101" s="5"/>
      <c r="I101" s="5"/>
      <c r="J101" s="5"/>
      <c r="K101" s="5"/>
      <c r="L101" s="5"/>
      <c r="M101" s="5"/>
      <c r="N101" s="5"/>
      <c r="O101" s="5"/>
    </row>
    <row r="102" spans="1:15" x14ac:dyDescent="0.3">
      <c r="A102" s="5" t="s">
        <v>1878</v>
      </c>
      <c r="B102" s="8" t="s">
        <v>1893</v>
      </c>
      <c r="C102" s="5">
        <v>34</v>
      </c>
      <c r="D102" s="10"/>
      <c r="E102" s="5"/>
      <c r="F102" s="5"/>
      <c r="G102" s="5" t="s">
        <v>74</v>
      </c>
      <c r="H102" s="5"/>
      <c r="I102" s="5"/>
      <c r="J102" s="5"/>
      <c r="K102" s="5"/>
      <c r="L102" s="5"/>
      <c r="M102" s="5"/>
      <c r="N102" s="5"/>
      <c r="O102" s="5"/>
    </row>
    <row r="103" spans="1:15" x14ac:dyDescent="0.3">
      <c r="A103" s="5" t="s">
        <v>1878</v>
      </c>
      <c r="B103" s="8" t="s">
        <v>1894</v>
      </c>
      <c r="C103" s="5">
        <v>36</v>
      </c>
      <c r="D103" s="10"/>
      <c r="E103" s="5"/>
      <c r="F103" s="5"/>
      <c r="G103" s="5" t="s">
        <v>74</v>
      </c>
      <c r="H103" s="5"/>
      <c r="I103" s="5"/>
      <c r="J103" s="5"/>
      <c r="K103" s="5"/>
      <c r="L103" s="5"/>
      <c r="M103" s="5"/>
      <c r="N103" s="5"/>
      <c r="O103" s="5"/>
    </row>
    <row r="104" spans="1:15" x14ac:dyDescent="0.3">
      <c r="A104" s="5" t="s">
        <v>1878</v>
      </c>
      <c r="B104" s="8" t="s">
        <v>1895</v>
      </c>
      <c r="C104" s="5">
        <v>34</v>
      </c>
      <c r="D104" s="5"/>
      <c r="E104" s="5"/>
      <c r="F104" s="5"/>
      <c r="G104" s="5" t="s">
        <v>74</v>
      </c>
      <c r="H104" s="5"/>
      <c r="I104" s="5"/>
      <c r="J104" s="5"/>
      <c r="K104" s="5"/>
      <c r="L104" s="5"/>
      <c r="M104" s="5"/>
      <c r="N104" s="5"/>
      <c r="O104" s="5"/>
    </row>
    <row r="105" spans="1:15" x14ac:dyDescent="0.3">
      <c r="A105" s="5" t="s">
        <v>1878</v>
      </c>
      <c r="B105" s="8" t="s">
        <v>1896</v>
      </c>
      <c r="C105" s="5">
        <v>140</v>
      </c>
      <c r="D105" s="5" t="s">
        <v>1897</v>
      </c>
      <c r="E105" s="5"/>
      <c r="F105" s="5"/>
      <c r="G105" s="5" t="s">
        <v>38</v>
      </c>
      <c r="H105" s="5"/>
      <c r="I105" s="5"/>
      <c r="J105" s="5"/>
      <c r="K105" s="5"/>
      <c r="L105" s="5"/>
      <c r="M105" s="5"/>
      <c r="N105" s="5"/>
      <c r="O105" s="5"/>
    </row>
    <row r="106" spans="1:15" x14ac:dyDescent="0.3">
      <c r="A106" s="5" t="s">
        <v>1878</v>
      </c>
      <c r="B106" s="8" t="s">
        <v>1898</v>
      </c>
      <c r="C106" s="5"/>
      <c r="D106" s="5" t="s">
        <v>1897</v>
      </c>
      <c r="E106" s="5"/>
      <c r="F106" s="5"/>
      <c r="G106" s="5" t="s">
        <v>38</v>
      </c>
      <c r="H106" s="5"/>
      <c r="I106" s="5"/>
      <c r="J106" s="5"/>
      <c r="K106" s="5"/>
      <c r="L106" s="5"/>
      <c r="M106" s="5"/>
      <c r="N106" s="5"/>
      <c r="O106" s="5"/>
    </row>
    <row r="107" spans="1:15" x14ac:dyDescent="0.3">
      <c r="A107" s="5" t="s">
        <v>1878</v>
      </c>
      <c r="B107" s="8" t="s">
        <v>1899</v>
      </c>
      <c r="C107" s="5">
        <v>50</v>
      </c>
      <c r="D107" s="5"/>
      <c r="E107" s="5"/>
      <c r="F107" s="5"/>
      <c r="G107" s="5" t="s">
        <v>74</v>
      </c>
      <c r="H107" s="5"/>
      <c r="I107" s="5"/>
      <c r="J107" s="5"/>
      <c r="K107" s="5"/>
      <c r="L107" s="5"/>
      <c r="M107" s="5"/>
      <c r="N107" s="5"/>
      <c r="O107" s="5"/>
    </row>
    <row r="108" spans="1:15" x14ac:dyDescent="0.3">
      <c r="A108" s="5" t="s">
        <v>1878</v>
      </c>
      <c r="B108" s="8" t="s">
        <v>1900</v>
      </c>
      <c r="C108" s="5">
        <v>50</v>
      </c>
      <c r="D108" s="5"/>
      <c r="E108" s="5"/>
      <c r="F108" s="5"/>
      <c r="G108" s="5" t="s">
        <v>74</v>
      </c>
      <c r="H108" s="5"/>
      <c r="I108" s="5"/>
      <c r="J108" s="5"/>
      <c r="K108" s="5"/>
      <c r="L108" s="5"/>
      <c r="M108" s="5"/>
      <c r="N108" s="5"/>
      <c r="O108" s="5"/>
    </row>
    <row r="109" spans="1:15" x14ac:dyDescent="0.3">
      <c r="A109" s="5" t="s">
        <v>1878</v>
      </c>
      <c r="B109" s="8" t="s">
        <v>1901</v>
      </c>
      <c r="C109" s="5">
        <v>50</v>
      </c>
      <c r="D109" s="5"/>
      <c r="E109" s="5"/>
      <c r="F109" s="5"/>
      <c r="G109" s="5" t="s">
        <v>74</v>
      </c>
      <c r="H109" s="5"/>
      <c r="I109" s="5"/>
      <c r="J109" s="5"/>
      <c r="K109" s="5"/>
      <c r="L109" s="5"/>
      <c r="M109" s="5"/>
      <c r="N109" s="5"/>
      <c r="O109" s="5"/>
    </row>
    <row r="110" spans="1:15" x14ac:dyDescent="0.3">
      <c r="A110" s="5" t="s">
        <v>1878</v>
      </c>
      <c r="B110" s="8" t="s">
        <v>1902</v>
      </c>
      <c r="C110" s="5">
        <v>50</v>
      </c>
      <c r="D110" s="5"/>
      <c r="E110" s="5"/>
      <c r="F110" s="5"/>
      <c r="G110" s="5" t="s">
        <v>74</v>
      </c>
      <c r="H110" s="5"/>
      <c r="I110" s="5"/>
      <c r="J110" s="5"/>
      <c r="K110" s="5"/>
      <c r="L110" s="5"/>
      <c r="M110" s="5"/>
      <c r="N110" s="5"/>
      <c r="O110" s="5"/>
    </row>
    <row r="111" spans="1:15" x14ac:dyDescent="0.3">
      <c r="A111" s="5" t="s">
        <v>1878</v>
      </c>
      <c r="B111" s="8" t="s">
        <v>1903</v>
      </c>
      <c r="C111" s="5">
        <v>74</v>
      </c>
      <c r="D111" s="5" t="s">
        <v>1904</v>
      </c>
      <c r="E111" s="5"/>
      <c r="F111" s="5"/>
      <c r="G111" s="5" t="s">
        <v>38</v>
      </c>
      <c r="H111" s="5"/>
      <c r="I111" s="5"/>
      <c r="J111" s="5"/>
      <c r="K111" s="5"/>
      <c r="L111" s="5"/>
      <c r="M111" s="5"/>
      <c r="N111" s="5"/>
      <c r="O111" s="5"/>
    </row>
    <row r="112" spans="1:15" x14ac:dyDescent="0.3">
      <c r="A112" s="5" t="s">
        <v>1878</v>
      </c>
      <c r="B112" s="8" t="s">
        <v>1905</v>
      </c>
      <c r="C112" s="5"/>
      <c r="D112" s="5" t="s">
        <v>1904</v>
      </c>
      <c r="E112" s="5"/>
      <c r="F112" s="5"/>
      <c r="G112" s="5" t="s">
        <v>38</v>
      </c>
      <c r="H112" s="5"/>
      <c r="I112" s="5"/>
      <c r="J112" s="5"/>
      <c r="K112" s="5"/>
      <c r="L112" s="5"/>
      <c r="M112" s="5"/>
      <c r="N112" s="5"/>
      <c r="O112" s="5"/>
    </row>
    <row r="113" spans="1:15" x14ac:dyDescent="0.3">
      <c r="A113" s="5" t="s">
        <v>1878</v>
      </c>
      <c r="B113" s="8" t="s">
        <v>1906</v>
      </c>
      <c r="C113" s="5">
        <v>37</v>
      </c>
      <c r="D113" s="5" t="s">
        <v>1907</v>
      </c>
      <c r="E113" s="5"/>
      <c r="F113" s="5"/>
      <c r="G113" s="5" t="s">
        <v>38</v>
      </c>
      <c r="H113" s="5"/>
      <c r="I113" s="5"/>
      <c r="J113" s="5"/>
      <c r="K113" s="5"/>
      <c r="L113" s="5"/>
      <c r="M113" s="5"/>
      <c r="N113" s="5"/>
      <c r="O113" s="5"/>
    </row>
    <row r="114" spans="1:15" x14ac:dyDescent="0.3">
      <c r="A114" s="5" t="s">
        <v>1878</v>
      </c>
      <c r="B114" s="8" t="s">
        <v>1908</v>
      </c>
      <c r="C114" s="5">
        <v>74.7</v>
      </c>
      <c r="D114" s="5" t="s">
        <v>1909</v>
      </c>
      <c r="E114" s="5"/>
      <c r="F114" s="5"/>
      <c r="G114" s="5" t="s">
        <v>38</v>
      </c>
      <c r="H114" s="5"/>
      <c r="I114" s="5"/>
      <c r="J114" s="5"/>
      <c r="K114" s="5"/>
      <c r="L114" s="5"/>
      <c r="M114" s="5"/>
      <c r="N114" s="5"/>
      <c r="O114" s="5"/>
    </row>
    <row r="115" spans="1:15" x14ac:dyDescent="0.3">
      <c r="A115" s="5" t="s">
        <v>1878</v>
      </c>
      <c r="B115" s="8" t="s">
        <v>1910</v>
      </c>
      <c r="C115" s="5"/>
      <c r="D115" s="5" t="s">
        <v>1909</v>
      </c>
      <c r="E115" s="5"/>
      <c r="F115" s="5"/>
      <c r="G115" s="5" t="s">
        <v>38</v>
      </c>
      <c r="H115" s="5"/>
      <c r="I115" s="5"/>
      <c r="J115" s="5"/>
      <c r="K115" s="5"/>
      <c r="L115" s="5"/>
      <c r="M115" s="5"/>
      <c r="N115" s="5"/>
      <c r="O115" s="5"/>
    </row>
    <row r="116" spans="1:15" x14ac:dyDescent="0.3">
      <c r="A116" s="5" t="s">
        <v>1878</v>
      </c>
      <c r="B116" s="8" t="s">
        <v>1911</v>
      </c>
      <c r="C116" s="5">
        <v>37</v>
      </c>
      <c r="D116" s="5"/>
      <c r="E116" s="5"/>
      <c r="F116" s="5"/>
      <c r="G116" s="5" t="s">
        <v>74</v>
      </c>
      <c r="H116" s="5"/>
      <c r="I116" s="5"/>
      <c r="J116" s="5"/>
      <c r="K116" s="5"/>
      <c r="L116" s="5"/>
      <c r="M116" s="5"/>
      <c r="N116" s="5"/>
      <c r="O116" s="5"/>
    </row>
    <row r="117" spans="1:15" x14ac:dyDescent="0.3">
      <c r="A117" s="5" t="s">
        <v>1878</v>
      </c>
      <c r="B117" s="8" t="s">
        <v>1912</v>
      </c>
      <c r="C117" s="5">
        <v>66</v>
      </c>
      <c r="D117" s="5" t="s">
        <v>1913</v>
      </c>
      <c r="E117" s="5"/>
      <c r="F117" s="5"/>
      <c r="G117" s="5" t="s">
        <v>38</v>
      </c>
      <c r="H117" s="5"/>
      <c r="I117" s="5"/>
      <c r="J117" s="5"/>
      <c r="K117" s="5"/>
      <c r="L117" s="5"/>
      <c r="M117" s="5"/>
      <c r="N117" s="5"/>
      <c r="O117" s="5"/>
    </row>
    <row r="118" spans="1:15" x14ac:dyDescent="0.3">
      <c r="A118" s="5" t="s">
        <v>1878</v>
      </c>
      <c r="B118" s="8" t="s">
        <v>1914</v>
      </c>
      <c r="C118" s="5">
        <v>66</v>
      </c>
      <c r="D118" s="5" t="s">
        <v>1915</v>
      </c>
      <c r="E118" s="5"/>
      <c r="F118" s="5"/>
      <c r="G118" s="5" t="s">
        <v>38</v>
      </c>
      <c r="H118" s="5"/>
      <c r="I118" s="5"/>
      <c r="J118" s="5"/>
      <c r="K118" s="5"/>
      <c r="L118" s="5"/>
      <c r="M118" s="5"/>
      <c r="N118" s="5"/>
      <c r="O118" s="5"/>
    </row>
    <row r="119" spans="1:15" x14ac:dyDescent="0.3">
      <c r="A119" s="5" t="s">
        <v>1878</v>
      </c>
      <c r="B119" s="8" t="s">
        <v>1916</v>
      </c>
      <c r="C119" s="5">
        <v>66</v>
      </c>
      <c r="D119" s="5"/>
      <c r="E119" s="5"/>
      <c r="F119" s="5"/>
      <c r="G119" s="5" t="s">
        <v>74</v>
      </c>
      <c r="H119" s="5"/>
      <c r="I119" s="5"/>
      <c r="J119" s="5"/>
      <c r="K119" s="5"/>
      <c r="L119" s="5"/>
      <c r="M119" s="5"/>
      <c r="N119" s="5"/>
      <c r="O119" s="5"/>
    </row>
    <row r="120" spans="1:15" x14ac:dyDescent="0.3">
      <c r="A120" s="5" t="s">
        <v>1878</v>
      </c>
      <c r="B120" s="8" t="s">
        <v>1917</v>
      </c>
      <c r="C120" s="5">
        <v>66</v>
      </c>
      <c r="D120" s="10"/>
      <c r="E120" s="5"/>
      <c r="F120" s="5"/>
      <c r="G120" s="5" t="s">
        <v>74</v>
      </c>
      <c r="H120" s="5"/>
      <c r="I120" s="5"/>
      <c r="J120" s="5"/>
      <c r="K120" s="5"/>
      <c r="L120" s="5"/>
      <c r="M120" s="5"/>
      <c r="N120" s="5"/>
      <c r="O120" s="5"/>
    </row>
    <row r="121" spans="1:15" x14ac:dyDescent="0.3">
      <c r="A121" s="6" t="s">
        <v>1878</v>
      </c>
      <c r="B121" s="7" t="s">
        <v>1918</v>
      </c>
      <c r="C121" s="5">
        <v>66</v>
      </c>
      <c r="D121" s="6" t="s">
        <v>1919</v>
      </c>
      <c r="E121" s="5"/>
      <c r="F121" s="5"/>
      <c r="G121" s="5" t="s">
        <v>38</v>
      </c>
      <c r="H121" s="5"/>
      <c r="I121" s="5"/>
      <c r="J121" s="5"/>
      <c r="K121" s="5"/>
      <c r="L121" s="5"/>
      <c r="M121" s="5"/>
      <c r="N121" s="5"/>
      <c r="O121" s="5"/>
    </row>
    <row r="122" spans="1:15" x14ac:dyDescent="0.3">
      <c r="A122" s="6" t="s">
        <v>1878</v>
      </c>
      <c r="B122" s="7" t="s">
        <v>1920</v>
      </c>
      <c r="C122" s="5">
        <v>67</v>
      </c>
      <c r="D122" s="6" t="s">
        <v>1921</v>
      </c>
      <c r="E122" s="5"/>
      <c r="F122" s="5"/>
      <c r="G122" s="5" t="s">
        <v>38</v>
      </c>
      <c r="H122" s="5"/>
      <c r="I122" s="5"/>
      <c r="J122" s="5"/>
      <c r="K122" s="5"/>
      <c r="L122" s="5"/>
      <c r="M122" s="5"/>
      <c r="N122" s="5"/>
      <c r="O122" s="5"/>
    </row>
    <row r="123" spans="1:15" x14ac:dyDescent="0.3">
      <c r="A123" s="5" t="s">
        <v>1922</v>
      </c>
      <c r="B123" s="8" t="s">
        <v>1923</v>
      </c>
      <c r="C123" s="5">
        <v>22</v>
      </c>
      <c r="D123" s="5"/>
      <c r="E123" s="5"/>
      <c r="F123" s="5"/>
      <c r="G123" s="5" t="s">
        <v>74</v>
      </c>
      <c r="H123" s="5"/>
      <c r="I123" s="5"/>
      <c r="J123" s="5"/>
      <c r="K123" s="5"/>
      <c r="L123" s="5"/>
      <c r="M123" s="5"/>
      <c r="N123" s="5"/>
      <c r="O123" s="5"/>
    </row>
    <row r="124" spans="1:15" x14ac:dyDescent="0.3">
      <c r="A124" s="5" t="s">
        <v>1922</v>
      </c>
      <c r="B124" s="8" t="s">
        <v>1924</v>
      </c>
      <c r="C124" s="5"/>
      <c r="D124" s="5" t="s">
        <v>1915</v>
      </c>
      <c r="E124" s="5"/>
      <c r="F124" s="5"/>
      <c r="G124" s="5" t="s">
        <v>38</v>
      </c>
      <c r="H124" s="5"/>
      <c r="I124" s="5"/>
      <c r="J124" s="5"/>
      <c r="K124" s="5"/>
      <c r="L124" s="5"/>
      <c r="M124" s="5"/>
      <c r="N124" s="5"/>
      <c r="O124" s="5"/>
    </row>
    <row r="125" spans="1:15" x14ac:dyDescent="0.3">
      <c r="A125" s="5" t="s">
        <v>1922</v>
      </c>
      <c r="B125" s="8" t="s">
        <v>1925</v>
      </c>
      <c r="C125" s="5"/>
      <c r="D125" s="5" t="s">
        <v>1913</v>
      </c>
      <c r="E125" s="5"/>
      <c r="F125" s="5"/>
      <c r="G125" s="5" t="s">
        <v>38</v>
      </c>
      <c r="H125" s="5"/>
      <c r="I125" s="5"/>
      <c r="J125" s="5"/>
      <c r="K125" s="5"/>
      <c r="L125" s="5"/>
      <c r="M125" s="5"/>
      <c r="N125" s="5"/>
      <c r="O125" s="5"/>
    </row>
    <row r="126" spans="1:15" x14ac:dyDescent="0.3">
      <c r="A126" s="5" t="s">
        <v>1922</v>
      </c>
      <c r="B126" s="8" t="s">
        <v>1926</v>
      </c>
      <c r="C126" s="5">
        <v>41</v>
      </c>
      <c r="D126" s="5" t="s">
        <v>1927</v>
      </c>
      <c r="E126" s="5"/>
      <c r="F126" s="5"/>
      <c r="G126" s="5" t="s">
        <v>38</v>
      </c>
      <c r="H126" s="5"/>
      <c r="I126" s="5"/>
      <c r="J126" s="5"/>
      <c r="K126" s="5"/>
      <c r="L126" s="5"/>
      <c r="M126" s="5"/>
      <c r="N126" s="5"/>
      <c r="O126" s="5"/>
    </row>
    <row r="127" spans="1:15" x14ac:dyDescent="0.3">
      <c r="A127" s="5" t="s">
        <v>1922</v>
      </c>
      <c r="B127" s="8" t="s">
        <v>1928</v>
      </c>
      <c r="C127" s="5">
        <v>41</v>
      </c>
      <c r="D127" s="5" t="s">
        <v>1929</v>
      </c>
      <c r="E127" s="5"/>
      <c r="F127" s="5"/>
      <c r="G127" s="5" t="s">
        <v>38</v>
      </c>
      <c r="H127" s="5"/>
      <c r="I127" s="5"/>
      <c r="J127" s="5"/>
      <c r="K127" s="5"/>
      <c r="L127" s="5"/>
      <c r="M127" s="5"/>
      <c r="N127" s="5"/>
      <c r="O127" s="5"/>
    </row>
    <row r="128" spans="1:15" x14ac:dyDescent="0.3">
      <c r="A128" s="5" t="s">
        <v>1922</v>
      </c>
      <c r="B128" s="8" t="s">
        <v>1930</v>
      </c>
      <c r="C128" s="5">
        <v>45</v>
      </c>
      <c r="D128" s="5" t="s">
        <v>1931</v>
      </c>
      <c r="E128" s="5"/>
      <c r="F128" s="5"/>
      <c r="G128" s="5" t="s">
        <v>38</v>
      </c>
      <c r="H128" s="5"/>
      <c r="I128" s="5"/>
      <c r="J128" s="5"/>
      <c r="K128" s="5"/>
      <c r="L128" s="5"/>
      <c r="M128" s="5"/>
      <c r="N128" s="5"/>
      <c r="O128" s="5"/>
    </row>
    <row r="129" spans="1:15" x14ac:dyDescent="0.3">
      <c r="A129" s="5" t="s">
        <v>1922</v>
      </c>
      <c r="B129" s="8" t="s">
        <v>1932</v>
      </c>
      <c r="C129" s="5">
        <v>135</v>
      </c>
      <c r="D129" s="5" t="s">
        <v>1933</v>
      </c>
      <c r="E129" s="5"/>
      <c r="F129" s="5"/>
      <c r="G129" s="5" t="s">
        <v>38</v>
      </c>
      <c r="H129" s="5"/>
      <c r="I129" s="5"/>
      <c r="J129" s="5"/>
      <c r="K129" s="5"/>
      <c r="L129" s="5"/>
      <c r="M129" s="5"/>
      <c r="N129" s="5"/>
      <c r="O129" s="5"/>
    </row>
    <row r="130" spans="1:15" x14ac:dyDescent="0.3">
      <c r="A130" s="5" t="s">
        <v>1922</v>
      </c>
      <c r="B130" s="8" t="s">
        <v>1934</v>
      </c>
      <c r="C130" s="5"/>
      <c r="D130" s="5" t="s">
        <v>1933</v>
      </c>
      <c r="E130" s="5"/>
      <c r="F130" s="5"/>
      <c r="G130" s="5" t="s">
        <v>38</v>
      </c>
      <c r="H130" s="5"/>
      <c r="I130" s="5"/>
      <c r="J130" s="5"/>
      <c r="K130" s="5"/>
      <c r="L130" s="5"/>
      <c r="M130" s="5"/>
      <c r="N130" s="5"/>
      <c r="O130" s="5"/>
    </row>
    <row r="131" spans="1:15" x14ac:dyDescent="0.3">
      <c r="A131" s="5" t="s">
        <v>1922</v>
      </c>
      <c r="B131" s="8" t="s">
        <v>1935</v>
      </c>
      <c r="C131" s="5"/>
      <c r="D131" s="5" t="s">
        <v>1933</v>
      </c>
      <c r="E131" s="5"/>
      <c r="F131" s="5"/>
      <c r="G131" s="5" t="s">
        <v>38</v>
      </c>
      <c r="H131" s="5"/>
      <c r="I131" s="5"/>
      <c r="J131" s="5"/>
      <c r="K131" s="5"/>
      <c r="L131" s="5"/>
      <c r="M131" s="5"/>
      <c r="N131" s="5"/>
      <c r="O131" s="5"/>
    </row>
    <row r="132" spans="1:15" x14ac:dyDescent="0.3">
      <c r="A132" s="5" t="s">
        <v>1922</v>
      </c>
      <c r="B132" s="8" t="s">
        <v>1936</v>
      </c>
      <c r="C132" s="5">
        <v>30</v>
      </c>
      <c r="D132" s="5" t="s">
        <v>1937</v>
      </c>
      <c r="E132" s="5"/>
      <c r="F132" s="5"/>
      <c r="G132" s="5" t="s">
        <v>38</v>
      </c>
      <c r="H132" s="5"/>
      <c r="I132" s="5"/>
      <c r="J132" s="5"/>
      <c r="K132" s="5"/>
      <c r="L132" s="5"/>
      <c r="M132" s="5"/>
      <c r="N132" s="5"/>
      <c r="O132" s="5"/>
    </row>
    <row r="133" spans="1:15" x14ac:dyDescent="0.3">
      <c r="A133" s="5" t="s">
        <v>1922</v>
      </c>
      <c r="B133" s="8" t="s">
        <v>1938</v>
      </c>
      <c r="C133" s="5">
        <v>30</v>
      </c>
      <c r="D133" s="5" t="s">
        <v>1939</v>
      </c>
      <c r="E133" s="5"/>
      <c r="F133" s="5"/>
      <c r="G133" s="5" t="s">
        <v>38</v>
      </c>
      <c r="H133" s="5"/>
      <c r="I133" s="5"/>
      <c r="J133" s="5"/>
      <c r="K133" s="5"/>
      <c r="L133" s="5"/>
      <c r="M133" s="5"/>
      <c r="N133" s="5"/>
      <c r="O133" s="5"/>
    </row>
    <row r="134" spans="1:15" x14ac:dyDescent="0.3">
      <c r="A134" s="5" t="s">
        <v>1922</v>
      </c>
      <c r="B134" s="8" t="s">
        <v>1940</v>
      </c>
      <c r="C134" s="5">
        <v>37</v>
      </c>
      <c r="D134" s="5" t="s">
        <v>1941</v>
      </c>
      <c r="E134" s="5"/>
      <c r="F134" s="5"/>
      <c r="G134" s="5" t="s">
        <v>38</v>
      </c>
      <c r="H134" s="5"/>
      <c r="I134" s="5"/>
      <c r="J134" s="5"/>
      <c r="K134" s="5"/>
      <c r="L134" s="5"/>
      <c r="M134" s="5"/>
      <c r="N134" s="5"/>
      <c r="O134" s="5"/>
    </row>
    <row r="135" spans="1:15" x14ac:dyDescent="0.3">
      <c r="A135" s="5" t="s">
        <v>1922</v>
      </c>
      <c r="B135" s="8" t="s">
        <v>1942</v>
      </c>
      <c r="C135" s="5">
        <v>39</v>
      </c>
      <c r="D135" s="5" t="s">
        <v>1943</v>
      </c>
      <c r="E135" s="5"/>
      <c r="F135" s="5"/>
      <c r="G135" s="5" t="s">
        <v>38</v>
      </c>
      <c r="H135" s="5"/>
      <c r="I135" s="5"/>
      <c r="J135" s="5"/>
      <c r="K135" s="5"/>
      <c r="L135" s="5"/>
      <c r="M135" s="5"/>
      <c r="N135" s="5"/>
      <c r="O135" s="5"/>
    </row>
    <row r="136" spans="1:15" x14ac:dyDescent="0.3">
      <c r="A136" s="5" t="s">
        <v>1922</v>
      </c>
      <c r="B136" s="8" t="s">
        <v>1944</v>
      </c>
      <c r="C136" s="5"/>
      <c r="D136" s="5" t="s">
        <v>1897</v>
      </c>
      <c r="E136" s="5"/>
      <c r="F136" s="5"/>
      <c r="G136" s="5" t="s">
        <v>38</v>
      </c>
      <c r="H136" s="5"/>
      <c r="I136" s="5"/>
      <c r="J136" s="5"/>
      <c r="K136" s="5"/>
      <c r="L136" s="5"/>
      <c r="M136" s="5"/>
      <c r="N136" s="5"/>
      <c r="O136" s="5"/>
    </row>
    <row r="137" spans="1:15" x14ac:dyDescent="0.3">
      <c r="A137" s="5" t="s">
        <v>1922</v>
      </c>
      <c r="B137" s="8" t="s">
        <v>1945</v>
      </c>
      <c r="C137" s="5"/>
      <c r="D137" s="5" t="s">
        <v>1897</v>
      </c>
      <c r="E137" s="5"/>
      <c r="F137" s="5"/>
      <c r="G137" s="5" t="s">
        <v>38</v>
      </c>
      <c r="H137" s="5"/>
      <c r="I137" s="5"/>
      <c r="J137" s="5"/>
      <c r="K137" s="5"/>
      <c r="L137" s="5"/>
      <c r="M137" s="5"/>
      <c r="N137" s="5"/>
      <c r="O137" s="5"/>
    </row>
    <row r="138" spans="1:15" x14ac:dyDescent="0.3">
      <c r="A138" s="5" t="s">
        <v>1922</v>
      </c>
      <c r="B138" s="8" t="s">
        <v>1946</v>
      </c>
      <c r="C138" s="5">
        <v>234</v>
      </c>
      <c r="D138" s="5" t="s">
        <v>1947</v>
      </c>
      <c r="E138" s="5"/>
      <c r="F138" s="5"/>
      <c r="G138" s="5" t="s">
        <v>38</v>
      </c>
      <c r="H138" s="5"/>
      <c r="I138" s="5"/>
      <c r="J138" s="5"/>
      <c r="K138" s="5"/>
      <c r="L138" s="5"/>
      <c r="M138" s="5"/>
      <c r="N138" s="5"/>
      <c r="O138" s="5"/>
    </row>
    <row r="139" spans="1:15" x14ac:dyDescent="0.3">
      <c r="A139" s="5" t="s">
        <v>1922</v>
      </c>
      <c r="B139" s="8" t="s">
        <v>1948</v>
      </c>
      <c r="C139" s="5"/>
      <c r="D139" s="5" t="s">
        <v>1947</v>
      </c>
      <c r="E139" s="5"/>
      <c r="F139" s="5"/>
      <c r="G139" s="5" t="s">
        <v>38</v>
      </c>
      <c r="H139" s="5"/>
      <c r="I139" s="5"/>
      <c r="J139" s="5"/>
      <c r="K139" s="5"/>
      <c r="L139" s="5"/>
      <c r="M139" s="5"/>
      <c r="N139" s="5"/>
      <c r="O139" s="5"/>
    </row>
    <row r="140" spans="1:15" x14ac:dyDescent="0.3">
      <c r="A140" s="5" t="s">
        <v>1922</v>
      </c>
      <c r="B140" s="8" t="s">
        <v>1949</v>
      </c>
      <c r="C140" s="5"/>
      <c r="D140" s="5" t="s">
        <v>1947</v>
      </c>
      <c r="E140" s="5"/>
      <c r="F140" s="5"/>
      <c r="G140" s="5" t="s">
        <v>38</v>
      </c>
      <c r="H140" s="5"/>
      <c r="I140" s="5"/>
      <c r="J140" s="5"/>
      <c r="K140" s="5"/>
      <c r="L140" s="5"/>
      <c r="M140" s="5"/>
      <c r="N140" s="5"/>
      <c r="O140" s="5"/>
    </row>
    <row r="141" spans="1:15" x14ac:dyDescent="0.3">
      <c r="A141" s="5" t="s">
        <v>1922</v>
      </c>
      <c r="B141" s="8" t="s">
        <v>1950</v>
      </c>
      <c r="C141" s="5"/>
      <c r="D141" s="5" t="s">
        <v>1947</v>
      </c>
      <c r="E141" s="5"/>
      <c r="F141" s="5"/>
      <c r="G141" s="5" t="s">
        <v>38</v>
      </c>
      <c r="H141" s="5"/>
      <c r="I141" s="5"/>
      <c r="J141" s="5"/>
      <c r="K141" s="5"/>
      <c r="L141" s="5"/>
      <c r="M141" s="5"/>
      <c r="N141" s="5"/>
      <c r="O141" s="5"/>
    </row>
    <row r="142" spans="1:15" x14ac:dyDescent="0.3">
      <c r="A142" s="5" t="s">
        <v>1922</v>
      </c>
      <c r="B142" s="8" t="s">
        <v>1951</v>
      </c>
      <c r="C142" s="5">
        <v>63</v>
      </c>
      <c r="D142" s="5" t="s">
        <v>1952</v>
      </c>
      <c r="E142" s="5"/>
      <c r="F142" s="5"/>
      <c r="G142" s="5" t="s">
        <v>38</v>
      </c>
      <c r="H142" s="5"/>
      <c r="I142" s="5"/>
      <c r="J142" s="5"/>
      <c r="K142" s="5"/>
      <c r="L142" s="5"/>
      <c r="M142" s="5"/>
      <c r="N142" s="5"/>
      <c r="O142" s="5"/>
    </row>
    <row r="143" spans="1:15" x14ac:dyDescent="0.3">
      <c r="A143" s="5" t="s">
        <v>1922</v>
      </c>
      <c r="B143" s="8" t="s">
        <v>1953</v>
      </c>
      <c r="C143" s="5">
        <v>65</v>
      </c>
      <c r="D143" s="5" t="s">
        <v>1954</v>
      </c>
      <c r="E143" s="5"/>
      <c r="F143" s="5"/>
      <c r="G143" s="5" t="s">
        <v>38</v>
      </c>
      <c r="H143" s="5"/>
      <c r="I143" s="5"/>
      <c r="J143" s="5"/>
      <c r="K143" s="5"/>
      <c r="L143" s="5"/>
      <c r="M143" s="5"/>
      <c r="N143" s="5"/>
      <c r="O143" s="5"/>
    </row>
    <row r="144" spans="1:15" x14ac:dyDescent="0.3">
      <c r="A144" s="5" t="s">
        <v>1955</v>
      </c>
      <c r="B144" s="8" t="s">
        <v>1956</v>
      </c>
      <c r="C144" s="5">
        <v>1550</v>
      </c>
      <c r="D144" s="5" t="s">
        <v>1957</v>
      </c>
      <c r="E144" s="5"/>
      <c r="F144" s="5"/>
      <c r="G144" s="5" t="s">
        <v>38</v>
      </c>
      <c r="H144" s="5"/>
      <c r="I144" s="5"/>
      <c r="J144" s="5"/>
      <c r="K144" s="5"/>
      <c r="L144" s="5"/>
      <c r="M144" s="5"/>
      <c r="N144" s="5"/>
      <c r="O144" s="5"/>
    </row>
    <row r="145" spans="1:15" x14ac:dyDescent="0.3">
      <c r="A145" s="5" t="s">
        <v>1955</v>
      </c>
      <c r="B145" s="8" t="s">
        <v>1958</v>
      </c>
      <c r="C145" s="5">
        <v>86</v>
      </c>
      <c r="D145" s="5"/>
      <c r="E145" s="5"/>
      <c r="F145" s="5"/>
      <c r="G145" s="5" t="s">
        <v>74</v>
      </c>
      <c r="H145" s="5"/>
      <c r="I145" s="5"/>
      <c r="J145" s="5"/>
      <c r="K145" s="5"/>
      <c r="L145" s="5"/>
      <c r="M145" s="5"/>
      <c r="N145" s="5"/>
      <c r="O145" s="5"/>
    </row>
    <row r="146" spans="1:15" x14ac:dyDescent="0.3">
      <c r="A146" s="5" t="s">
        <v>1955</v>
      </c>
      <c r="B146" s="8" t="s">
        <v>1959</v>
      </c>
      <c r="C146" s="5">
        <v>126.6</v>
      </c>
      <c r="D146" s="5"/>
      <c r="E146" s="5"/>
      <c r="F146" s="5"/>
      <c r="G146" s="5" t="s">
        <v>74</v>
      </c>
      <c r="H146" s="5"/>
      <c r="I146" s="5"/>
      <c r="J146" s="5"/>
      <c r="K146" s="5"/>
      <c r="L146" s="5"/>
      <c r="M146" s="5"/>
      <c r="N146" s="5"/>
      <c r="O146" s="5"/>
    </row>
    <row r="147" spans="1:15" x14ac:dyDescent="0.3">
      <c r="A147" s="5" t="s">
        <v>1955</v>
      </c>
      <c r="B147" s="8" t="s">
        <v>1960</v>
      </c>
      <c r="C147" s="5">
        <v>120</v>
      </c>
      <c r="D147" s="5" t="s">
        <v>1961</v>
      </c>
      <c r="E147" s="5"/>
      <c r="F147" s="5"/>
      <c r="G147" s="5" t="s">
        <v>38</v>
      </c>
      <c r="H147" s="5"/>
      <c r="I147" s="5"/>
      <c r="J147" s="5"/>
      <c r="K147" s="5"/>
      <c r="L147" s="5"/>
      <c r="M147" s="5"/>
      <c r="N147" s="5"/>
      <c r="O147" s="5"/>
    </row>
    <row r="148" spans="1:15" x14ac:dyDescent="0.3">
      <c r="A148" s="5" t="s">
        <v>1955</v>
      </c>
      <c r="B148" s="8" t="s">
        <v>1962</v>
      </c>
      <c r="C148" s="5">
        <v>125</v>
      </c>
      <c r="D148" s="5" t="s">
        <v>1963</v>
      </c>
      <c r="E148" s="5"/>
      <c r="F148" s="5"/>
      <c r="G148" s="5" t="s">
        <v>38</v>
      </c>
      <c r="H148" s="5"/>
      <c r="I148" s="5"/>
      <c r="J148" s="5"/>
      <c r="K148" s="5" t="s">
        <v>1964</v>
      </c>
      <c r="L148" s="5" t="s">
        <v>1965</v>
      </c>
      <c r="M148" s="5"/>
      <c r="N148" s="5"/>
      <c r="O148" s="5"/>
    </row>
    <row r="149" spans="1:15" x14ac:dyDescent="0.3">
      <c r="A149" s="5" t="s">
        <v>1955</v>
      </c>
      <c r="B149" s="8" t="s">
        <v>1966</v>
      </c>
      <c r="C149" s="5">
        <v>185</v>
      </c>
      <c r="D149" s="5" t="s">
        <v>1967</v>
      </c>
      <c r="E149" s="5"/>
      <c r="F149" s="5"/>
      <c r="G149" s="5" t="s">
        <v>38</v>
      </c>
      <c r="H149" s="5"/>
      <c r="I149" s="5"/>
      <c r="J149" s="5"/>
      <c r="K149" s="5"/>
      <c r="L149" s="5"/>
      <c r="M149" s="5"/>
      <c r="N149" s="5"/>
      <c r="O149" s="5"/>
    </row>
    <row r="150" spans="1:15" x14ac:dyDescent="0.3">
      <c r="A150" s="5" t="s">
        <v>1955</v>
      </c>
      <c r="B150" s="8" t="s">
        <v>1968</v>
      </c>
      <c r="C150" s="5">
        <v>193</v>
      </c>
      <c r="D150" s="5" t="s">
        <v>1961</v>
      </c>
      <c r="E150" s="5"/>
      <c r="F150" s="5"/>
      <c r="G150" s="5" t="s">
        <v>38</v>
      </c>
      <c r="H150" s="5"/>
      <c r="I150" s="5"/>
      <c r="J150" s="5"/>
      <c r="K150" s="5"/>
      <c r="L150" s="5"/>
      <c r="M150" s="5"/>
      <c r="N150" s="5"/>
      <c r="O150" s="5"/>
    </row>
    <row r="151" spans="1:15" ht="28" x14ac:dyDescent="0.3">
      <c r="A151" s="5" t="s">
        <v>1955</v>
      </c>
      <c r="B151" s="8" t="s">
        <v>1969</v>
      </c>
      <c r="C151" s="5">
        <v>129</v>
      </c>
      <c r="D151" s="5" t="s">
        <v>1970</v>
      </c>
      <c r="E151" s="5"/>
      <c r="F151" s="5"/>
      <c r="G151" s="5" t="s">
        <v>38</v>
      </c>
      <c r="H151" s="5"/>
      <c r="I151" s="5"/>
      <c r="J151" s="5"/>
      <c r="K151" s="5"/>
      <c r="L151" s="5"/>
      <c r="M151" s="5"/>
      <c r="N151" s="5"/>
      <c r="O151" s="5"/>
    </row>
    <row r="152" spans="1:15" x14ac:dyDescent="0.3">
      <c r="A152" s="5" t="s">
        <v>1955</v>
      </c>
      <c r="B152" s="8" t="s">
        <v>1971</v>
      </c>
      <c r="C152" s="5">
        <v>129</v>
      </c>
      <c r="D152" s="5" t="s">
        <v>1972</v>
      </c>
      <c r="E152" s="5"/>
      <c r="F152" s="5"/>
      <c r="G152" s="5" t="s">
        <v>38</v>
      </c>
      <c r="H152" s="5"/>
      <c r="I152" s="5"/>
      <c r="J152" s="5"/>
      <c r="K152" s="5"/>
      <c r="L152" s="5"/>
      <c r="M152" s="5"/>
      <c r="N152" s="5"/>
      <c r="O152" s="5"/>
    </row>
    <row r="153" spans="1:15" x14ac:dyDescent="0.3">
      <c r="A153" s="5" t="s">
        <v>1955</v>
      </c>
      <c r="B153" s="8" t="s">
        <v>1973</v>
      </c>
      <c r="C153" s="5">
        <v>424</v>
      </c>
      <c r="D153" s="5" t="s">
        <v>1832</v>
      </c>
      <c r="E153" s="5"/>
      <c r="F153" s="5"/>
      <c r="G153" s="5" t="s">
        <v>38</v>
      </c>
      <c r="H153" s="5"/>
      <c r="I153" s="5"/>
      <c r="J153" s="5"/>
      <c r="K153" s="5"/>
      <c r="L153" s="5"/>
      <c r="M153" s="5"/>
      <c r="N153" s="5"/>
      <c r="O153" s="5"/>
    </row>
    <row r="154" spans="1:15" x14ac:dyDescent="0.3">
      <c r="A154" s="5" t="s">
        <v>1955</v>
      </c>
      <c r="B154" s="8" t="s">
        <v>1974</v>
      </c>
      <c r="C154" s="5">
        <v>308.43</v>
      </c>
      <c r="D154" s="5"/>
      <c r="E154" s="5"/>
      <c r="F154" s="5"/>
      <c r="G154" s="5" t="s">
        <v>74</v>
      </c>
      <c r="H154" s="5"/>
      <c r="I154" s="5"/>
      <c r="J154" s="5"/>
      <c r="K154" s="9"/>
      <c r="L154" s="5"/>
      <c r="M154" s="5"/>
      <c r="N154" s="5"/>
      <c r="O154" s="5"/>
    </row>
    <row r="155" spans="1:15" x14ac:dyDescent="0.3">
      <c r="A155" s="5" t="s">
        <v>1955</v>
      </c>
      <c r="B155" s="8" t="s">
        <v>1975</v>
      </c>
      <c r="C155" s="5">
        <v>63</v>
      </c>
      <c r="D155" s="5" t="s">
        <v>1976</v>
      </c>
      <c r="E155" s="5"/>
      <c r="F155" s="5"/>
      <c r="G155" s="5" t="s">
        <v>38</v>
      </c>
      <c r="H155" s="5"/>
      <c r="I155" s="5"/>
      <c r="J155" s="5"/>
      <c r="K155" s="5"/>
      <c r="L155" s="5"/>
      <c r="M155" s="5"/>
      <c r="N155" s="5"/>
      <c r="O155" s="5"/>
    </row>
    <row r="156" spans="1:15" x14ac:dyDescent="0.3">
      <c r="A156" s="5" t="s">
        <v>1977</v>
      </c>
      <c r="B156" s="8" t="s">
        <v>1978</v>
      </c>
      <c r="C156" s="5">
        <v>455</v>
      </c>
      <c r="D156" s="5" t="s">
        <v>1957</v>
      </c>
      <c r="E156" s="5"/>
      <c r="F156" s="5"/>
      <c r="G156" s="5" t="s">
        <v>38</v>
      </c>
      <c r="H156" s="5"/>
      <c r="I156" s="5"/>
      <c r="J156" s="5"/>
      <c r="K156" s="5"/>
      <c r="L156" s="5"/>
      <c r="M156" s="5"/>
      <c r="N156" s="5"/>
      <c r="O156" s="5"/>
    </row>
    <row r="157" spans="1:15" x14ac:dyDescent="0.3">
      <c r="A157" s="5" t="s">
        <v>1977</v>
      </c>
      <c r="B157" s="8" t="s">
        <v>1979</v>
      </c>
      <c r="C157" s="5">
        <v>150</v>
      </c>
      <c r="D157" s="5"/>
      <c r="E157" s="5"/>
      <c r="F157" s="5"/>
      <c r="G157" s="5" t="s">
        <v>74</v>
      </c>
      <c r="H157" s="5"/>
      <c r="I157" s="5"/>
      <c r="J157" s="5"/>
      <c r="K157" s="5"/>
      <c r="L157" s="5"/>
      <c r="M157" s="5"/>
      <c r="N157" s="5"/>
      <c r="O157" s="5"/>
    </row>
    <row r="158" spans="1:15" x14ac:dyDescent="0.3">
      <c r="A158" s="5" t="s">
        <v>1977</v>
      </c>
      <c r="B158" s="8" t="s">
        <v>1980</v>
      </c>
      <c r="C158" s="5">
        <v>50</v>
      </c>
      <c r="D158" s="5" t="s">
        <v>1981</v>
      </c>
      <c r="E158" s="5"/>
      <c r="F158" s="5"/>
      <c r="G158" s="5" t="s">
        <v>38</v>
      </c>
      <c r="H158" s="5"/>
      <c r="I158" s="5"/>
      <c r="J158" s="5"/>
      <c r="K158" s="5"/>
      <c r="L158" s="5"/>
      <c r="M158" s="5"/>
      <c r="N158" s="5"/>
      <c r="O158" s="5"/>
    </row>
    <row r="159" spans="1:15" x14ac:dyDescent="0.3">
      <c r="A159" s="5" t="s">
        <v>1977</v>
      </c>
      <c r="B159" s="8" t="s">
        <v>1982</v>
      </c>
      <c r="C159" s="5">
        <v>61</v>
      </c>
      <c r="D159" s="5"/>
      <c r="E159" s="5"/>
      <c r="F159" s="5"/>
      <c r="G159" s="5" t="s">
        <v>74</v>
      </c>
      <c r="H159" s="5"/>
      <c r="I159" s="5"/>
      <c r="J159" s="5"/>
      <c r="K159" s="5"/>
      <c r="L159" s="5"/>
      <c r="M159" s="5"/>
      <c r="N159" s="5"/>
      <c r="O159" s="5"/>
    </row>
    <row r="160" spans="1:15" x14ac:dyDescent="0.3">
      <c r="A160" s="5" t="s">
        <v>1983</v>
      </c>
      <c r="B160" s="8" t="s">
        <v>1984</v>
      </c>
      <c r="C160" s="5">
        <v>61</v>
      </c>
      <c r="D160" s="5"/>
      <c r="E160" s="5"/>
      <c r="F160" s="5"/>
      <c r="G160" s="5" t="s">
        <v>74</v>
      </c>
      <c r="H160" s="5"/>
      <c r="I160" s="5"/>
      <c r="J160" s="5"/>
      <c r="K160" s="9"/>
      <c r="L160" s="5"/>
      <c r="M160" s="5"/>
      <c r="N160" s="5"/>
      <c r="O160" s="5"/>
    </row>
    <row r="161" spans="1:15" x14ac:dyDescent="0.3">
      <c r="A161" s="5" t="s">
        <v>1977</v>
      </c>
      <c r="B161" s="8" t="s">
        <v>1985</v>
      </c>
      <c r="C161" s="5">
        <v>56</v>
      </c>
      <c r="D161" s="5" t="s">
        <v>1986</v>
      </c>
      <c r="E161" s="5"/>
      <c r="F161" s="5"/>
      <c r="G161" s="5" t="s">
        <v>38</v>
      </c>
      <c r="H161" s="5"/>
      <c r="I161" s="5"/>
      <c r="J161" s="5"/>
      <c r="K161" s="5"/>
      <c r="L161" s="5"/>
      <c r="M161" s="5"/>
      <c r="N161" s="5"/>
      <c r="O161" s="5"/>
    </row>
    <row r="162" spans="1:15" x14ac:dyDescent="0.3">
      <c r="A162" s="5" t="s">
        <v>1977</v>
      </c>
      <c r="B162" s="8" t="s">
        <v>1987</v>
      </c>
      <c r="C162" s="5">
        <v>120</v>
      </c>
      <c r="D162" s="5" t="s">
        <v>1986</v>
      </c>
      <c r="E162" s="5"/>
      <c r="F162" s="5"/>
      <c r="G162" s="5" t="s">
        <v>38</v>
      </c>
      <c r="H162" s="5"/>
      <c r="I162" s="5"/>
      <c r="J162" s="5"/>
      <c r="K162" s="5"/>
      <c r="L162" s="5"/>
      <c r="M162" s="5"/>
      <c r="N162" s="5"/>
      <c r="O162" s="5"/>
    </row>
    <row r="163" spans="1:15" x14ac:dyDescent="0.3">
      <c r="A163" s="5" t="s">
        <v>1977</v>
      </c>
      <c r="B163" s="8" t="s">
        <v>1988</v>
      </c>
      <c r="C163" s="5">
        <v>87</v>
      </c>
      <c r="D163" s="5" t="s">
        <v>1989</v>
      </c>
      <c r="E163" s="5"/>
      <c r="F163" s="5"/>
      <c r="G163" s="5" t="s">
        <v>38</v>
      </c>
      <c r="H163" s="5"/>
      <c r="I163" s="5"/>
      <c r="J163" s="5"/>
      <c r="K163" s="5"/>
      <c r="L163" s="5"/>
      <c r="M163" s="5"/>
      <c r="N163" s="5"/>
      <c r="O163" s="5"/>
    </row>
    <row r="164" spans="1:15" x14ac:dyDescent="0.3">
      <c r="A164" s="5" t="s">
        <v>1977</v>
      </c>
      <c r="B164" s="8" t="s">
        <v>1990</v>
      </c>
      <c r="C164" s="5">
        <v>87</v>
      </c>
      <c r="D164" s="5"/>
      <c r="E164" s="5"/>
      <c r="F164" s="5"/>
      <c r="G164" s="5" t="s">
        <v>74</v>
      </c>
      <c r="H164" s="5"/>
      <c r="I164" s="5"/>
      <c r="J164" s="5"/>
      <c r="K164" s="5"/>
      <c r="L164" s="5"/>
      <c r="M164" s="5"/>
      <c r="N164" s="5"/>
      <c r="O164" s="5"/>
    </row>
    <row r="165" spans="1:15" x14ac:dyDescent="0.3">
      <c r="A165" s="5" t="s">
        <v>1977</v>
      </c>
      <c r="B165" s="8" t="s">
        <v>1991</v>
      </c>
      <c r="C165" s="5">
        <v>40</v>
      </c>
      <c r="D165" s="5" t="s">
        <v>1992</v>
      </c>
      <c r="E165" s="5"/>
      <c r="F165" s="5"/>
      <c r="G165" s="5" t="s">
        <v>38</v>
      </c>
      <c r="H165" s="5"/>
      <c r="I165" s="5"/>
      <c r="J165" s="5"/>
      <c r="K165" s="5"/>
      <c r="L165" s="5"/>
      <c r="M165" s="5"/>
      <c r="N165" s="5"/>
      <c r="O165" s="5"/>
    </row>
    <row r="166" spans="1:15" x14ac:dyDescent="0.3">
      <c r="A166" s="5" t="s">
        <v>1977</v>
      </c>
      <c r="B166" s="8" t="s">
        <v>1993</v>
      </c>
      <c r="C166" s="5">
        <v>43.5</v>
      </c>
      <c r="D166" s="5"/>
      <c r="E166" s="5"/>
      <c r="F166" s="5"/>
      <c r="G166" s="5" t="s">
        <v>74</v>
      </c>
      <c r="H166" s="5"/>
      <c r="I166" s="5"/>
      <c r="J166" s="5"/>
      <c r="K166" s="5"/>
      <c r="L166" s="5"/>
      <c r="M166" s="5"/>
      <c r="N166" s="5"/>
      <c r="O166" s="5"/>
    </row>
    <row r="167" spans="1:15" x14ac:dyDescent="0.3">
      <c r="A167" s="5" t="s">
        <v>1977</v>
      </c>
      <c r="B167" s="8" t="s">
        <v>1994</v>
      </c>
      <c r="C167" s="5">
        <v>43.5</v>
      </c>
      <c r="D167" s="5" t="s">
        <v>1995</v>
      </c>
      <c r="E167" s="5"/>
      <c r="F167" s="5"/>
      <c r="G167" s="5" t="s">
        <v>38</v>
      </c>
      <c r="H167" s="5"/>
      <c r="I167" s="5"/>
      <c r="J167" s="5"/>
      <c r="K167" s="5"/>
      <c r="L167" s="5"/>
      <c r="M167" s="5"/>
      <c r="N167" s="5"/>
      <c r="O167" s="5"/>
    </row>
    <row r="168" spans="1:15" x14ac:dyDescent="0.3">
      <c r="A168" s="5" t="s">
        <v>1977</v>
      </c>
      <c r="B168" s="8" t="s">
        <v>1996</v>
      </c>
      <c r="C168" s="5">
        <v>41.3</v>
      </c>
      <c r="D168" s="5"/>
      <c r="E168" s="5"/>
      <c r="F168" s="5"/>
      <c r="G168" s="5" t="s">
        <v>74</v>
      </c>
      <c r="H168" s="5"/>
      <c r="I168" s="5"/>
      <c r="J168" s="5"/>
      <c r="K168" s="5"/>
      <c r="L168" s="5"/>
      <c r="M168" s="5"/>
      <c r="N168" s="5"/>
      <c r="O168" s="5"/>
    </row>
    <row r="169" spans="1:15" x14ac:dyDescent="0.3">
      <c r="A169" s="5" t="s">
        <v>1977</v>
      </c>
      <c r="B169" s="8" t="s">
        <v>1997</v>
      </c>
      <c r="C169" s="5">
        <v>41.3</v>
      </c>
      <c r="D169" s="5"/>
      <c r="E169" s="5"/>
      <c r="F169" s="5"/>
      <c r="G169" s="5" t="s">
        <v>74</v>
      </c>
      <c r="H169" s="5"/>
      <c r="I169" s="5"/>
      <c r="J169" s="5"/>
      <c r="K169" s="5"/>
      <c r="L169" s="5"/>
      <c r="M169" s="5"/>
      <c r="N169" s="5"/>
      <c r="O169" s="5"/>
    </row>
    <row r="170" spans="1:15" x14ac:dyDescent="0.3">
      <c r="A170" s="5" t="s">
        <v>1977</v>
      </c>
      <c r="B170" s="8" t="s">
        <v>1998</v>
      </c>
      <c r="C170" s="5">
        <v>36</v>
      </c>
      <c r="D170" s="5"/>
      <c r="E170" s="5"/>
      <c r="F170" s="5"/>
      <c r="G170" s="5" t="s">
        <v>74</v>
      </c>
      <c r="H170" s="5"/>
      <c r="I170" s="5"/>
      <c r="J170" s="5"/>
      <c r="K170" s="5"/>
      <c r="L170" s="5"/>
      <c r="M170" s="5"/>
      <c r="N170" s="5"/>
      <c r="O170" s="5"/>
    </row>
    <row r="171" spans="1:15" x14ac:dyDescent="0.3">
      <c r="A171" s="5" t="s">
        <v>1977</v>
      </c>
      <c r="B171" s="8" t="s">
        <v>1999</v>
      </c>
      <c r="C171" s="5">
        <v>42.5</v>
      </c>
      <c r="D171" s="5"/>
      <c r="E171" s="5"/>
      <c r="F171" s="5"/>
      <c r="G171" s="5" t="s">
        <v>74</v>
      </c>
      <c r="H171" s="5"/>
      <c r="I171" s="5"/>
      <c r="J171" s="5"/>
      <c r="K171" s="5"/>
      <c r="L171" s="5"/>
      <c r="M171" s="5"/>
      <c r="N171" s="5"/>
      <c r="O171" s="5"/>
    </row>
    <row r="172" spans="1:15" x14ac:dyDescent="0.3">
      <c r="A172" s="5" t="s">
        <v>1977</v>
      </c>
      <c r="B172" s="8" t="s">
        <v>2000</v>
      </c>
      <c r="C172" s="5">
        <v>25.3</v>
      </c>
      <c r="D172" s="5"/>
      <c r="E172" s="5"/>
      <c r="F172" s="5"/>
      <c r="G172" s="5" t="s">
        <v>74</v>
      </c>
      <c r="H172" s="5"/>
      <c r="I172" s="5"/>
      <c r="J172" s="5"/>
      <c r="K172" s="5"/>
      <c r="L172" s="5"/>
      <c r="M172" s="5"/>
      <c r="N172" s="5"/>
      <c r="O172" s="5"/>
    </row>
    <row r="173" spans="1:15" x14ac:dyDescent="0.3">
      <c r="A173" s="5" t="s">
        <v>1977</v>
      </c>
      <c r="B173" s="8" t="s">
        <v>2001</v>
      </c>
      <c r="C173" s="5">
        <v>27</v>
      </c>
      <c r="D173" s="5"/>
      <c r="E173" s="5"/>
      <c r="F173" s="5"/>
      <c r="G173" s="5" t="s">
        <v>74</v>
      </c>
      <c r="H173" s="5"/>
      <c r="I173" s="5"/>
      <c r="J173" s="5"/>
      <c r="K173" s="5"/>
      <c r="L173" s="5"/>
      <c r="M173" s="5"/>
      <c r="N173" s="5"/>
      <c r="O173" s="5"/>
    </row>
    <row r="174" spans="1:15" x14ac:dyDescent="0.3">
      <c r="A174" s="5" t="s">
        <v>1977</v>
      </c>
      <c r="B174" s="8" t="s">
        <v>2002</v>
      </c>
      <c r="C174" s="5">
        <v>27</v>
      </c>
      <c r="D174" s="5" t="s">
        <v>2003</v>
      </c>
      <c r="E174" s="5"/>
      <c r="F174" s="5"/>
      <c r="G174" s="5" t="s">
        <v>38</v>
      </c>
      <c r="H174" s="5"/>
      <c r="I174" s="5"/>
      <c r="J174" s="5"/>
      <c r="K174" s="5"/>
      <c r="L174" s="5"/>
      <c r="M174" s="5"/>
      <c r="N174" s="5"/>
      <c r="O174" s="5"/>
    </row>
    <row r="175" spans="1:15" x14ac:dyDescent="0.3">
      <c r="A175" s="5" t="s">
        <v>2004</v>
      </c>
      <c r="B175" s="8" t="s">
        <v>2005</v>
      </c>
      <c r="C175" s="5">
        <v>75</v>
      </c>
      <c r="D175" s="5" t="s">
        <v>2006</v>
      </c>
      <c r="E175" s="5"/>
      <c r="F175" s="5"/>
      <c r="G175" s="5" t="s">
        <v>38</v>
      </c>
      <c r="H175" s="5"/>
      <c r="I175" s="5"/>
      <c r="J175" s="5"/>
      <c r="K175" s="5"/>
      <c r="L175" s="5"/>
      <c r="M175" s="5"/>
      <c r="N175" s="5"/>
      <c r="O175" s="5"/>
    </row>
    <row r="176" spans="1:15" x14ac:dyDescent="0.3">
      <c r="A176" s="5" t="s">
        <v>2004</v>
      </c>
      <c r="B176" s="8" t="s">
        <v>2007</v>
      </c>
      <c r="C176" s="5">
        <v>75</v>
      </c>
      <c r="D176" s="5" t="s">
        <v>2008</v>
      </c>
      <c r="E176" s="5"/>
      <c r="F176" s="5"/>
      <c r="G176" s="5" t="s">
        <v>38</v>
      </c>
      <c r="H176" s="5"/>
      <c r="I176" s="5"/>
      <c r="J176" s="5"/>
      <c r="K176" s="5"/>
      <c r="L176" s="5"/>
      <c r="M176" s="5"/>
      <c r="N176" s="5"/>
      <c r="O176" s="5"/>
    </row>
    <row r="177" spans="1:15" x14ac:dyDescent="0.3">
      <c r="A177" s="6" t="s">
        <v>2004</v>
      </c>
      <c r="B177" s="7" t="s">
        <v>2009</v>
      </c>
      <c r="C177" s="5">
        <v>75</v>
      </c>
      <c r="D177" s="5" t="s">
        <v>2008</v>
      </c>
      <c r="E177" s="5"/>
      <c r="F177" s="5"/>
      <c r="G177" s="5" t="s">
        <v>38</v>
      </c>
      <c r="H177" s="5"/>
      <c r="I177" s="5"/>
      <c r="J177" s="5"/>
      <c r="K177" s="5"/>
      <c r="L177" s="5"/>
      <c r="M177" s="5"/>
      <c r="N177" s="5"/>
      <c r="O177" s="5"/>
    </row>
    <row r="178" spans="1:15" x14ac:dyDescent="0.3">
      <c r="A178" s="6" t="s">
        <v>2004</v>
      </c>
      <c r="B178" s="7" t="s">
        <v>2010</v>
      </c>
      <c r="C178" s="5">
        <v>75</v>
      </c>
      <c r="D178" s="5" t="s">
        <v>2008</v>
      </c>
      <c r="E178" s="5"/>
      <c r="F178" s="5"/>
      <c r="G178" s="5" t="s">
        <v>38</v>
      </c>
      <c r="H178" s="5"/>
      <c r="I178" s="5"/>
      <c r="J178" s="5"/>
      <c r="K178" s="5"/>
      <c r="L178" s="5"/>
      <c r="M178" s="5"/>
      <c r="N178" s="5"/>
      <c r="O178" s="5"/>
    </row>
    <row r="179" spans="1:15" x14ac:dyDescent="0.3">
      <c r="A179" s="6" t="s">
        <v>2004</v>
      </c>
      <c r="B179" s="7" t="s">
        <v>2011</v>
      </c>
      <c r="C179" s="5">
        <v>78</v>
      </c>
      <c r="D179" s="5" t="s">
        <v>2008</v>
      </c>
      <c r="E179" s="5"/>
      <c r="F179" s="5"/>
      <c r="G179" s="5" t="s">
        <v>38</v>
      </c>
      <c r="H179" s="5"/>
      <c r="I179" s="5"/>
      <c r="J179" s="5"/>
      <c r="K179" s="5"/>
      <c r="L179" s="5"/>
      <c r="M179" s="5"/>
      <c r="N179" s="5"/>
      <c r="O179" s="5"/>
    </row>
    <row r="180" spans="1:15" x14ac:dyDescent="0.3">
      <c r="A180" s="6" t="s">
        <v>2004</v>
      </c>
      <c r="B180" s="7" t="s">
        <v>2012</v>
      </c>
      <c r="C180" s="5">
        <v>79</v>
      </c>
      <c r="D180" s="5" t="s">
        <v>2008</v>
      </c>
      <c r="E180" s="5"/>
      <c r="F180" s="5"/>
      <c r="G180" s="5" t="s">
        <v>38</v>
      </c>
      <c r="H180" s="5"/>
      <c r="I180" s="5"/>
      <c r="J180" s="5"/>
      <c r="K180" s="5"/>
      <c r="L180" s="5"/>
      <c r="M180" s="5"/>
      <c r="N180" s="5"/>
      <c r="O180" s="5"/>
    </row>
    <row r="181" spans="1:15" x14ac:dyDescent="0.3">
      <c r="A181" s="5" t="s">
        <v>2004</v>
      </c>
      <c r="B181" s="8" t="s">
        <v>2013</v>
      </c>
      <c r="C181" s="5">
        <v>75</v>
      </c>
      <c r="D181" s="5" t="s">
        <v>2008</v>
      </c>
      <c r="E181" s="5"/>
      <c r="F181" s="5"/>
      <c r="G181" s="5" t="s">
        <v>38</v>
      </c>
      <c r="H181" s="5"/>
      <c r="I181" s="5"/>
      <c r="J181" s="5"/>
      <c r="K181" s="5"/>
      <c r="L181" s="5"/>
      <c r="M181" s="5"/>
      <c r="N181" s="5"/>
      <c r="O181" s="5"/>
    </row>
    <row r="182" spans="1:15" x14ac:dyDescent="0.3">
      <c r="A182" s="5" t="s">
        <v>2004</v>
      </c>
      <c r="B182" s="8" t="s">
        <v>2014</v>
      </c>
      <c r="C182" s="5">
        <v>75</v>
      </c>
      <c r="D182" s="5" t="s">
        <v>2008</v>
      </c>
      <c r="E182" s="5"/>
      <c r="F182" s="5"/>
      <c r="G182" s="5" t="s">
        <v>38</v>
      </c>
      <c r="H182" s="5"/>
      <c r="I182" s="5"/>
      <c r="J182" s="5"/>
      <c r="K182" s="5"/>
      <c r="L182" s="5"/>
      <c r="M182" s="5"/>
      <c r="N182" s="5"/>
      <c r="O182" s="5"/>
    </row>
    <row r="183" spans="1:15" x14ac:dyDescent="0.3">
      <c r="A183" s="5" t="s">
        <v>2004</v>
      </c>
      <c r="B183" s="8" t="s">
        <v>2015</v>
      </c>
      <c r="C183" s="5">
        <v>75</v>
      </c>
      <c r="D183" s="5" t="s">
        <v>2008</v>
      </c>
      <c r="E183" s="5"/>
      <c r="F183" s="5"/>
      <c r="G183" s="5" t="s">
        <v>38</v>
      </c>
      <c r="H183" s="5"/>
      <c r="I183" s="5"/>
      <c r="J183" s="5"/>
      <c r="K183" s="5"/>
      <c r="L183" s="5"/>
      <c r="M183" s="5"/>
      <c r="N183" s="5"/>
      <c r="O183" s="5"/>
    </row>
    <row r="184" spans="1:15" x14ac:dyDescent="0.3">
      <c r="A184" s="5" t="s">
        <v>2004</v>
      </c>
      <c r="B184" s="8" t="s">
        <v>2016</v>
      </c>
      <c r="C184" s="5">
        <v>75</v>
      </c>
      <c r="D184" s="5" t="s">
        <v>2017</v>
      </c>
      <c r="E184" s="5"/>
      <c r="F184" s="5"/>
      <c r="G184" s="5" t="s">
        <v>38</v>
      </c>
      <c r="H184" s="5"/>
      <c r="I184" s="5"/>
      <c r="J184" s="5"/>
      <c r="K184" s="5"/>
      <c r="L184" s="5"/>
      <c r="M184" s="5"/>
      <c r="N184" s="5"/>
      <c r="O184" s="5"/>
    </row>
    <row r="185" spans="1:15" x14ac:dyDescent="0.3">
      <c r="A185" s="5" t="s">
        <v>2004</v>
      </c>
      <c r="B185" s="8" t="s">
        <v>2018</v>
      </c>
      <c r="C185" s="5">
        <v>75</v>
      </c>
      <c r="D185" s="5" t="s">
        <v>2019</v>
      </c>
      <c r="E185" s="5"/>
      <c r="F185" s="5"/>
      <c r="G185" s="5" t="s">
        <v>38</v>
      </c>
      <c r="H185" s="5"/>
      <c r="I185" s="5"/>
      <c r="J185" s="5"/>
      <c r="K185" s="5"/>
      <c r="L185" s="5"/>
      <c r="M185" s="5"/>
      <c r="N185" s="5"/>
      <c r="O185" s="5"/>
    </row>
    <row r="186" spans="1:15" x14ac:dyDescent="0.3">
      <c r="A186" s="5" t="s">
        <v>2004</v>
      </c>
      <c r="B186" s="8" t="s">
        <v>2020</v>
      </c>
      <c r="C186" s="5">
        <v>75</v>
      </c>
      <c r="D186" s="5" t="s">
        <v>1326</v>
      </c>
      <c r="E186" s="5"/>
      <c r="F186" s="5"/>
      <c r="G186" s="5" t="s">
        <v>38</v>
      </c>
      <c r="H186" s="5"/>
      <c r="I186" s="5"/>
      <c r="J186" s="5"/>
      <c r="K186" s="5"/>
      <c r="L186" s="5"/>
      <c r="M186" s="5"/>
      <c r="N186" s="5"/>
      <c r="O186" s="5"/>
    </row>
    <row r="187" spans="1:15" x14ac:dyDescent="0.3">
      <c r="A187" s="5" t="s">
        <v>2004</v>
      </c>
      <c r="B187" s="8" t="s">
        <v>2021</v>
      </c>
      <c r="C187" s="5">
        <v>75</v>
      </c>
      <c r="D187" s="5" t="s">
        <v>2022</v>
      </c>
      <c r="E187" s="5"/>
      <c r="F187" s="5"/>
      <c r="G187" s="5" t="s">
        <v>38</v>
      </c>
      <c r="H187" s="5"/>
      <c r="I187" s="5"/>
      <c r="J187" s="5"/>
      <c r="K187" s="5"/>
      <c r="L187" s="5"/>
      <c r="M187" s="5"/>
      <c r="N187" s="5"/>
      <c r="O187" s="5"/>
    </row>
    <row r="188" spans="1:15" x14ac:dyDescent="0.3">
      <c r="A188" s="5" t="s">
        <v>2004</v>
      </c>
      <c r="B188" s="8" t="s">
        <v>2023</v>
      </c>
      <c r="C188" s="5">
        <v>75</v>
      </c>
      <c r="D188" s="5" t="s">
        <v>2022</v>
      </c>
      <c r="E188" s="5"/>
      <c r="F188" s="5"/>
      <c r="G188" s="5" t="s">
        <v>38</v>
      </c>
      <c r="H188" s="5"/>
      <c r="I188" s="5"/>
      <c r="J188" s="5"/>
      <c r="K188" s="5"/>
      <c r="L188" s="5"/>
      <c r="M188" s="5"/>
      <c r="N188" s="5"/>
      <c r="O188" s="5"/>
    </row>
    <row r="189" spans="1:15" x14ac:dyDescent="0.3">
      <c r="A189" s="5" t="s">
        <v>2004</v>
      </c>
      <c r="B189" s="8" t="s">
        <v>2024</v>
      </c>
      <c r="C189" s="5">
        <v>75</v>
      </c>
      <c r="D189" s="5" t="s">
        <v>2025</v>
      </c>
      <c r="E189" s="5"/>
      <c r="F189" s="5"/>
      <c r="G189" s="5" t="s">
        <v>38</v>
      </c>
      <c r="H189" s="5"/>
      <c r="I189" s="5"/>
      <c r="J189" s="5"/>
      <c r="K189" s="5" t="s">
        <v>1755</v>
      </c>
      <c r="L189" s="5" t="s">
        <v>2026</v>
      </c>
      <c r="M189" s="5"/>
      <c r="N189" s="5"/>
      <c r="O189" s="5"/>
    </row>
    <row r="190" spans="1:15" x14ac:dyDescent="0.3">
      <c r="A190" s="5" t="s">
        <v>2004</v>
      </c>
      <c r="B190" s="8" t="s">
        <v>2027</v>
      </c>
      <c r="C190" s="5">
        <v>75</v>
      </c>
      <c r="D190" s="5" t="s">
        <v>2025</v>
      </c>
      <c r="E190" s="5"/>
      <c r="F190" s="5"/>
      <c r="G190" s="5" t="s">
        <v>38</v>
      </c>
      <c r="H190" s="5"/>
      <c r="I190" s="5"/>
      <c r="J190" s="5"/>
      <c r="K190" s="5" t="s">
        <v>1755</v>
      </c>
      <c r="L190" s="5" t="s">
        <v>2026</v>
      </c>
      <c r="M190" s="5"/>
      <c r="N190" s="5"/>
      <c r="O190" s="5"/>
    </row>
    <row r="191" spans="1:15" x14ac:dyDescent="0.3">
      <c r="A191" s="5" t="s">
        <v>2004</v>
      </c>
      <c r="B191" s="8" t="s">
        <v>2028</v>
      </c>
      <c r="C191" s="5">
        <v>75</v>
      </c>
      <c r="D191" s="5" t="s">
        <v>2029</v>
      </c>
      <c r="E191" s="5"/>
      <c r="F191" s="5"/>
      <c r="G191" s="5" t="s">
        <v>38</v>
      </c>
      <c r="H191" s="5"/>
      <c r="I191" s="5"/>
      <c r="J191" s="5"/>
      <c r="K191" s="5"/>
      <c r="L191" s="5"/>
      <c r="M191" s="5"/>
      <c r="N191" s="5"/>
      <c r="O191" s="5"/>
    </row>
    <row r="192" spans="1:15" x14ac:dyDescent="0.3">
      <c r="A192" s="5" t="s">
        <v>2004</v>
      </c>
      <c r="B192" s="8" t="s">
        <v>2030</v>
      </c>
      <c r="C192" s="5">
        <v>75</v>
      </c>
      <c r="D192" s="5" t="s">
        <v>2029</v>
      </c>
      <c r="E192" s="5"/>
      <c r="F192" s="5"/>
      <c r="G192" s="5" t="s">
        <v>38</v>
      </c>
      <c r="H192" s="5"/>
      <c r="I192" s="5"/>
      <c r="J192" s="5"/>
      <c r="K192" s="5"/>
      <c r="L192" s="5"/>
      <c r="M192" s="5"/>
      <c r="N192" s="5"/>
      <c r="O192" s="5"/>
    </row>
    <row r="193" spans="1:15" x14ac:dyDescent="0.3">
      <c r="A193" s="5" t="s">
        <v>2004</v>
      </c>
      <c r="B193" s="8" t="s">
        <v>2031</v>
      </c>
      <c r="C193" s="5">
        <v>75</v>
      </c>
      <c r="D193" s="5" t="s">
        <v>2032</v>
      </c>
      <c r="E193" s="5"/>
      <c r="F193" s="5"/>
      <c r="G193" s="5" t="s">
        <v>38</v>
      </c>
      <c r="H193" s="5"/>
      <c r="I193" s="5"/>
      <c r="J193" s="5"/>
      <c r="K193" s="5" t="s">
        <v>1826</v>
      </c>
      <c r="L193" s="5" t="s">
        <v>1827</v>
      </c>
      <c r="M193" s="5"/>
      <c r="N193" s="5"/>
      <c r="O193" s="5"/>
    </row>
    <row r="194" spans="1:15" x14ac:dyDescent="0.3">
      <c r="A194" s="5" t="s">
        <v>2004</v>
      </c>
      <c r="B194" s="8" t="s">
        <v>2033</v>
      </c>
      <c r="C194" s="5">
        <v>75</v>
      </c>
      <c r="D194" s="5" t="s">
        <v>2032</v>
      </c>
      <c r="E194" s="5"/>
      <c r="F194" s="5"/>
      <c r="G194" s="5" t="s">
        <v>38</v>
      </c>
      <c r="H194" s="5"/>
      <c r="I194" s="5"/>
      <c r="J194" s="5"/>
      <c r="K194" s="5" t="s">
        <v>1826</v>
      </c>
      <c r="L194" s="5" t="s">
        <v>1827</v>
      </c>
      <c r="M194" s="5"/>
      <c r="N194" s="5"/>
      <c r="O194" s="5"/>
    </row>
    <row r="195" spans="1:15" x14ac:dyDescent="0.3">
      <c r="A195" s="5" t="s">
        <v>2004</v>
      </c>
      <c r="B195" s="8" t="s">
        <v>2034</v>
      </c>
      <c r="C195" s="5">
        <v>75</v>
      </c>
      <c r="D195" s="5" t="s">
        <v>2035</v>
      </c>
      <c r="E195" s="5"/>
      <c r="F195" s="5"/>
      <c r="G195" s="5" t="s">
        <v>38</v>
      </c>
      <c r="H195" s="5"/>
      <c r="I195" s="5"/>
      <c r="J195" s="5"/>
      <c r="K195" s="5" t="s">
        <v>2036</v>
      </c>
      <c r="L195" s="5" t="s">
        <v>2037</v>
      </c>
      <c r="M195" s="5"/>
      <c r="N195" s="5"/>
      <c r="O195" s="5"/>
    </row>
    <row r="196" spans="1:15" x14ac:dyDescent="0.3">
      <c r="A196" s="5" t="s">
        <v>2004</v>
      </c>
      <c r="B196" s="8" t="s">
        <v>2038</v>
      </c>
      <c r="C196" s="5">
        <v>75</v>
      </c>
      <c r="D196" s="5" t="s">
        <v>2035</v>
      </c>
      <c r="E196" s="5"/>
      <c r="F196" s="5"/>
      <c r="G196" s="5" t="s">
        <v>38</v>
      </c>
      <c r="H196" s="5"/>
      <c r="I196" s="5"/>
      <c r="J196" s="5"/>
      <c r="K196" s="5" t="s">
        <v>2036</v>
      </c>
      <c r="L196" s="5" t="s">
        <v>2037</v>
      </c>
      <c r="M196" s="5"/>
      <c r="N196" s="5"/>
      <c r="O196" s="5"/>
    </row>
    <row r="197" spans="1:15" x14ac:dyDescent="0.3">
      <c r="A197" s="5" t="s">
        <v>2004</v>
      </c>
      <c r="B197" s="8" t="s">
        <v>2039</v>
      </c>
      <c r="C197" s="5">
        <v>75</v>
      </c>
      <c r="D197" s="5" t="s">
        <v>2040</v>
      </c>
      <c r="E197" s="5"/>
      <c r="F197" s="5"/>
      <c r="G197" s="5" t="s">
        <v>38</v>
      </c>
      <c r="H197" s="5"/>
      <c r="I197" s="5"/>
      <c r="J197" s="5"/>
      <c r="K197" s="5"/>
      <c r="L197" s="5"/>
      <c r="M197" s="5"/>
      <c r="N197" s="5"/>
      <c r="O197" s="5"/>
    </row>
    <row r="198" spans="1:15" x14ac:dyDescent="0.3">
      <c r="A198" s="5" t="s">
        <v>2004</v>
      </c>
      <c r="B198" s="8" t="s">
        <v>2041</v>
      </c>
      <c r="C198" s="5">
        <v>75</v>
      </c>
      <c r="D198" s="5" t="s">
        <v>2040</v>
      </c>
      <c r="E198" s="5"/>
      <c r="F198" s="5"/>
      <c r="G198" s="5" t="s">
        <v>38</v>
      </c>
      <c r="H198" s="5"/>
      <c r="I198" s="5"/>
      <c r="J198" s="5"/>
      <c r="K198" s="5"/>
      <c r="L198" s="5"/>
      <c r="M198" s="5"/>
      <c r="N198" s="5"/>
      <c r="O198" s="5"/>
    </row>
    <row r="199" spans="1:15" x14ac:dyDescent="0.3">
      <c r="A199" s="5" t="s">
        <v>2004</v>
      </c>
      <c r="B199" s="8" t="s">
        <v>2042</v>
      </c>
      <c r="C199" s="5">
        <v>75</v>
      </c>
      <c r="D199" s="5" t="s">
        <v>2043</v>
      </c>
      <c r="E199" s="5"/>
      <c r="F199" s="5"/>
      <c r="G199" s="5" t="s">
        <v>38</v>
      </c>
      <c r="H199" s="5"/>
      <c r="I199" s="5"/>
      <c r="J199" s="5"/>
      <c r="K199" s="5" t="s">
        <v>1826</v>
      </c>
      <c r="L199" s="5" t="s">
        <v>1827</v>
      </c>
      <c r="M199" s="5"/>
      <c r="N199" s="5"/>
      <c r="O199" s="5"/>
    </row>
    <row r="200" spans="1:15" x14ac:dyDescent="0.3">
      <c r="A200" s="5" t="s">
        <v>2004</v>
      </c>
      <c r="B200" s="8" t="s">
        <v>2044</v>
      </c>
      <c r="C200" s="5">
        <v>75</v>
      </c>
      <c r="D200" s="5" t="s">
        <v>2043</v>
      </c>
      <c r="E200" s="5"/>
      <c r="F200" s="5"/>
      <c r="G200" s="5" t="s">
        <v>38</v>
      </c>
      <c r="H200" s="5"/>
      <c r="I200" s="5"/>
      <c r="J200" s="5"/>
      <c r="K200" s="5" t="s">
        <v>1826</v>
      </c>
      <c r="L200" s="5" t="s">
        <v>1827</v>
      </c>
      <c r="M200" s="5"/>
      <c r="N200" s="5"/>
      <c r="O200" s="5"/>
    </row>
    <row r="201" spans="1:15" x14ac:dyDescent="0.3">
      <c r="A201" s="5" t="s">
        <v>2004</v>
      </c>
      <c r="B201" s="8" t="s">
        <v>2045</v>
      </c>
      <c r="C201" s="5">
        <v>75</v>
      </c>
      <c r="D201" s="5" t="s">
        <v>2046</v>
      </c>
      <c r="E201" s="5"/>
      <c r="F201" s="5"/>
      <c r="G201" s="5" t="s">
        <v>38</v>
      </c>
      <c r="H201" s="5"/>
      <c r="I201" s="5"/>
      <c r="J201" s="5"/>
      <c r="K201" s="5"/>
      <c r="L201" s="5"/>
      <c r="M201" s="5"/>
      <c r="N201" s="5"/>
      <c r="O201" s="5"/>
    </row>
    <row r="202" spans="1:15" x14ac:dyDescent="0.3">
      <c r="A202" s="5" t="s">
        <v>2004</v>
      </c>
      <c r="B202" s="8" t="s">
        <v>2047</v>
      </c>
      <c r="C202" s="5">
        <v>75</v>
      </c>
      <c r="D202" s="5" t="s">
        <v>2046</v>
      </c>
      <c r="E202" s="5"/>
      <c r="F202" s="5"/>
      <c r="G202" s="5" t="s">
        <v>38</v>
      </c>
      <c r="H202" s="5"/>
      <c r="I202" s="5"/>
      <c r="J202" s="5"/>
      <c r="K202" s="5"/>
      <c r="L202" s="5"/>
      <c r="M202" s="5"/>
      <c r="N202" s="5"/>
      <c r="O202" s="5"/>
    </row>
    <row r="203" spans="1:15" x14ac:dyDescent="0.3">
      <c r="A203" s="5" t="s">
        <v>2004</v>
      </c>
      <c r="B203" s="8" t="s">
        <v>2048</v>
      </c>
      <c r="C203" s="5">
        <v>75</v>
      </c>
      <c r="D203" s="5" t="s">
        <v>2049</v>
      </c>
      <c r="E203" s="5"/>
      <c r="F203" s="5"/>
      <c r="G203" s="5" t="s">
        <v>38</v>
      </c>
      <c r="H203" s="5"/>
      <c r="I203" s="5"/>
      <c r="J203" s="5"/>
      <c r="K203" s="5"/>
      <c r="L203" s="9"/>
      <c r="M203" s="5"/>
      <c r="N203" s="5"/>
      <c r="O203" s="5"/>
    </row>
    <row r="204" spans="1:15" x14ac:dyDescent="0.3">
      <c r="A204" s="5" t="s">
        <v>2004</v>
      </c>
      <c r="B204" s="8" t="s">
        <v>2050</v>
      </c>
      <c r="C204" s="5">
        <v>75</v>
      </c>
      <c r="D204" s="5" t="s">
        <v>2051</v>
      </c>
      <c r="E204" s="5"/>
      <c r="F204" s="5"/>
      <c r="G204" s="5" t="s">
        <v>38</v>
      </c>
      <c r="H204" s="5"/>
      <c r="I204" s="5"/>
      <c r="J204" s="5"/>
      <c r="K204" s="5"/>
      <c r="L204" s="5"/>
      <c r="M204" s="5"/>
      <c r="N204" s="5"/>
      <c r="O204" s="5"/>
    </row>
    <row r="205" spans="1:15" x14ac:dyDescent="0.3">
      <c r="A205" s="5" t="s">
        <v>2004</v>
      </c>
      <c r="B205" s="8" t="s">
        <v>2052</v>
      </c>
      <c r="C205" s="5">
        <v>75</v>
      </c>
      <c r="D205" s="5"/>
      <c r="E205" s="5"/>
      <c r="F205" s="5"/>
      <c r="G205" s="5" t="s">
        <v>74</v>
      </c>
      <c r="H205" s="5"/>
      <c r="I205" s="5"/>
      <c r="J205" s="5"/>
      <c r="K205" s="5"/>
      <c r="L205" s="5"/>
      <c r="M205" s="5"/>
      <c r="N205" s="5"/>
      <c r="O205" s="5"/>
    </row>
    <row r="206" spans="1:15" x14ac:dyDescent="0.3">
      <c r="A206" s="5" t="s">
        <v>2004</v>
      </c>
      <c r="B206" s="8" t="s">
        <v>2053</v>
      </c>
      <c r="C206" s="5">
        <v>78</v>
      </c>
      <c r="D206" s="5" t="s">
        <v>2054</v>
      </c>
      <c r="E206" s="5"/>
      <c r="F206" s="5"/>
      <c r="G206" s="5" t="s">
        <v>38</v>
      </c>
      <c r="H206" s="5"/>
      <c r="I206" s="5"/>
      <c r="J206" s="5"/>
      <c r="K206" s="5"/>
      <c r="L206" s="5"/>
      <c r="M206" s="5"/>
      <c r="N206" s="5"/>
      <c r="O206" s="5"/>
    </row>
    <row r="207" spans="1:15" x14ac:dyDescent="0.3">
      <c r="A207" s="5" t="s">
        <v>2055</v>
      </c>
      <c r="B207" s="5" t="s">
        <v>2056</v>
      </c>
      <c r="C207" s="8">
        <v>75</v>
      </c>
      <c r="D207" s="8"/>
      <c r="E207" s="5"/>
      <c r="F207" s="5"/>
      <c r="G207" s="5" t="s">
        <v>74</v>
      </c>
      <c r="H207" s="5"/>
      <c r="I207" s="5"/>
      <c r="J207" s="5"/>
      <c r="K207" s="5"/>
      <c r="L207" s="5"/>
      <c r="M207" s="5"/>
      <c r="N207" s="5"/>
      <c r="O207" s="5"/>
    </row>
    <row r="208" spans="1:15" ht="28" x14ac:dyDescent="0.3">
      <c r="A208" s="5" t="s">
        <v>2055</v>
      </c>
      <c r="B208" s="5" t="s">
        <v>2057</v>
      </c>
      <c r="C208" s="8">
        <v>75</v>
      </c>
      <c r="D208" s="11" t="s">
        <v>2058</v>
      </c>
      <c r="E208" s="5"/>
      <c r="F208" s="5"/>
      <c r="G208" s="5" t="s">
        <v>38</v>
      </c>
      <c r="H208" s="5"/>
      <c r="I208" s="5"/>
      <c r="J208" s="5"/>
      <c r="K208" s="5"/>
      <c r="L208" s="5"/>
      <c r="M208" s="5"/>
      <c r="N208" s="5"/>
      <c r="O208" s="5"/>
    </row>
    <row r="209" spans="1:15" ht="28" x14ac:dyDescent="0.3">
      <c r="A209" s="5" t="s">
        <v>2055</v>
      </c>
      <c r="B209" s="5" t="s">
        <v>2059</v>
      </c>
      <c r="C209" s="8">
        <v>75</v>
      </c>
      <c r="D209" s="11" t="s">
        <v>2060</v>
      </c>
      <c r="E209" s="5"/>
      <c r="F209" s="5"/>
      <c r="G209" s="5" t="s">
        <v>38</v>
      </c>
      <c r="H209" s="5"/>
      <c r="I209" s="5"/>
      <c r="J209" s="5"/>
      <c r="K209" s="5"/>
      <c r="L209" s="5"/>
      <c r="M209" s="5"/>
      <c r="N209" s="5"/>
      <c r="O209" s="5"/>
    </row>
    <row r="210" spans="1:15" x14ac:dyDescent="0.3">
      <c r="A210" s="5" t="s">
        <v>2055</v>
      </c>
      <c r="B210" s="5" t="s">
        <v>2061</v>
      </c>
      <c r="C210" s="8">
        <v>75</v>
      </c>
      <c r="D210" s="8"/>
      <c r="E210" s="5"/>
      <c r="F210" s="5"/>
      <c r="G210" s="5" t="s">
        <v>74</v>
      </c>
      <c r="H210" s="5"/>
      <c r="I210" s="5"/>
      <c r="J210" s="5"/>
      <c r="K210" s="5"/>
      <c r="L210" s="5"/>
      <c r="M210" s="5"/>
      <c r="N210" s="5"/>
      <c r="O210" s="5"/>
    </row>
    <row r="211" spans="1:15" x14ac:dyDescent="0.3">
      <c r="A211" s="5" t="s">
        <v>2055</v>
      </c>
      <c r="B211" s="5" t="s">
        <v>2062</v>
      </c>
      <c r="C211" s="8">
        <v>75</v>
      </c>
      <c r="D211" s="8"/>
      <c r="E211" s="5"/>
      <c r="F211" s="5"/>
      <c r="G211" s="5" t="s">
        <v>74</v>
      </c>
      <c r="H211" s="5"/>
      <c r="I211" s="5"/>
      <c r="J211" s="5"/>
      <c r="K211" s="5"/>
      <c r="L211" s="5"/>
      <c r="M211" s="5"/>
      <c r="N211" s="5"/>
      <c r="O211" s="5"/>
    </row>
    <row r="212" spans="1:15" x14ac:dyDescent="0.3">
      <c r="A212" s="5" t="s">
        <v>2055</v>
      </c>
      <c r="B212" s="5" t="s">
        <v>2063</v>
      </c>
      <c r="C212" s="8">
        <v>75</v>
      </c>
      <c r="D212" s="8"/>
      <c r="E212" s="5"/>
      <c r="F212" s="5"/>
      <c r="G212" s="5" t="s">
        <v>74</v>
      </c>
      <c r="H212" s="5"/>
      <c r="I212" s="5"/>
      <c r="J212" s="5"/>
      <c r="K212" s="5"/>
      <c r="L212" s="5"/>
      <c r="M212" s="5"/>
      <c r="N212" s="5"/>
      <c r="O212" s="5"/>
    </row>
    <row r="213" spans="1:15" x14ac:dyDescent="0.3">
      <c r="A213" s="5" t="s">
        <v>2055</v>
      </c>
      <c r="B213" s="5" t="s">
        <v>2064</v>
      </c>
      <c r="C213" s="8">
        <v>75</v>
      </c>
      <c r="D213" s="8"/>
      <c r="E213" s="5"/>
      <c r="F213" s="5"/>
      <c r="G213" s="5" t="s">
        <v>74</v>
      </c>
      <c r="H213" s="5"/>
      <c r="I213" s="5"/>
      <c r="J213" s="5"/>
      <c r="K213" s="5"/>
      <c r="L213" s="5"/>
      <c r="M213" s="5"/>
      <c r="N213" s="5"/>
      <c r="O213" s="5"/>
    </row>
    <row r="214" spans="1:15" x14ac:dyDescent="0.3">
      <c r="A214" s="5" t="s">
        <v>2055</v>
      </c>
      <c r="B214" s="5" t="s">
        <v>2065</v>
      </c>
      <c r="C214" s="8">
        <v>75</v>
      </c>
      <c r="D214" s="8"/>
      <c r="E214" s="5"/>
      <c r="F214" s="5"/>
      <c r="G214" s="5" t="s">
        <v>74</v>
      </c>
      <c r="H214" s="5"/>
      <c r="I214" s="5"/>
      <c r="J214" s="5"/>
      <c r="K214" s="5"/>
      <c r="L214" s="5"/>
      <c r="M214" s="5"/>
      <c r="N214" s="5"/>
      <c r="O214" s="5"/>
    </row>
    <row r="215" spans="1:15" x14ac:dyDescent="0.3">
      <c r="A215" s="5" t="s">
        <v>2055</v>
      </c>
      <c r="B215" s="5" t="s">
        <v>2066</v>
      </c>
      <c r="C215" s="8">
        <v>75</v>
      </c>
      <c r="D215" s="8"/>
      <c r="E215" s="5"/>
      <c r="F215" s="5"/>
      <c r="G215" s="5" t="s">
        <v>74</v>
      </c>
      <c r="H215" s="5"/>
      <c r="I215" s="5"/>
      <c r="J215" s="5"/>
      <c r="K215" s="5"/>
      <c r="L215" s="5"/>
      <c r="M215" s="5"/>
      <c r="N215" s="5"/>
      <c r="O215" s="5"/>
    </row>
    <row r="216" spans="1:15" x14ac:dyDescent="0.3">
      <c r="A216" s="5" t="s">
        <v>2055</v>
      </c>
      <c r="B216" s="5" t="s">
        <v>2067</v>
      </c>
      <c r="C216" s="8">
        <v>75</v>
      </c>
      <c r="D216" s="8"/>
      <c r="E216" s="5"/>
      <c r="F216" s="5"/>
      <c r="G216" s="5" t="s">
        <v>74</v>
      </c>
      <c r="H216" s="5"/>
      <c r="I216" s="5"/>
      <c r="J216" s="5"/>
      <c r="K216" s="5"/>
      <c r="L216" s="5"/>
      <c r="M216" s="5"/>
      <c r="N216" s="5"/>
      <c r="O216" s="5"/>
    </row>
    <row r="217" spans="1:15" x14ac:dyDescent="0.3">
      <c r="A217" s="5" t="s">
        <v>2055</v>
      </c>
      <c r="B217" s="5" t="s">
        <v>2068</v>
      </c>
      <c r="C217" s="8">
        <v>75</v>
      </c>
      <c r="D217" s="8"/>
      <c r="E217" s="5"/>
      <c r="F217" s="5"/>
      <c r="G217" s="5" t="s">
        <v>74</v>
      </c>
      <c r="H217" s="5"/>
      <c r="I217" s="5"/>
      <c r="J217" s="5"/>
      <c r="K217" s="5"/>
      <c r="L217" s="5"/>
      <c r="M217" s="5"/>
      <c r="N217" s="5"/>
      <c r="O217" s="5"/>
    </row>
    <row r="218" spans="1:15" x14ac:dyDescent="0.3">
      <c r="A218" s="5" t="s">
        <v>2055</v>
      </c>
      <c r="B218" s="5" t="s">
        <v>2069</v>
      </c>
      <c r="C218" s="8">
        <v>75</v>
      </c>
      <c r="D218" s="8" t="s">
        <v>2035</v>
      </c>
      <c r="E218" s="5"/>
      <c r="F218" s="5"/>
      <c r="G218" s="5" t="s">
        <v>38</v>
      </c>
      <c r="H218" s="5"/>
      <c r="I218" s="5"/>
      <c r="J218" s="5"/>
      <c r="K218" s="5"/>
      <c r="L218" s="5"/>
      <c r="M218" s="5"/>
      <c r="N218" s="5"/>
      <c r="O218" s="5"/>
    </row>
    <row r="219" spans="1:15" x14ac:dyDescent="0.3">
      <c r="A219" s="5" t="s">
        <v>2055</v>
      </c>
      <c r="B219" s="5" t="s">
        <v>2070</v>
      </c>
      <c r="C219" s="8">
        <v>75</v>
      </c>
      <c r="D219" s="8"/>
      <c r="E219" s="5"/>
      <c r="F219" s="5"/>
      <c r="G219" s="5" t="s">
        <v>74</v>
      </c>
      <c r="H219" s="5"/>
      <c r="I219" s="5"/>
      <c r="J219" s="5"/>
      <c r="K219" s="5"/>
      <c r="L219" s="5"/>
      <c r="M219" s="5"/>
      <c r="N219" s="5"/>
      <c r="O219" s="5"/>
    </row>
    <row r="220" spans="1:15" x14ac:dyDescent="0.3">
      <c r="A220" s="5" t="s">
        <v>2055</v>
      </c>
      <c r="B220" s="5" t="s">
        <v>2071</v>
      </c>
      <c r="C220" s="8">
        <v>75</v>
      </c>
      <c r="D220" s="8"/>
      <c r="E220" s="5"/>
      <c r="F220" s="5"/>
      <c r="G220" s="5" t="s">
        <v>74</v>
      </c>
      <c r="H220" s="5"/>
      <c r="I220" s="5"/>
      <c r="J220" s="5"/>
      <c r="K220" s="5"/>
      <c r="L220" s="5"/>
      <c r="M220" s="5"/>
      <c r="N220" s="5"/>
      <c r="O220" s="5"/>
    </row>
    <row r="221" spans="1:15" x14ac:dyDescent="0.3">
      <c r="A221" s="5" t="s">
        <v>2055</v>
      </c>
      <c r="B221" s="5" t="s">
        <v>2072</v>
      </c>
      <c r="C221" s="8">
        <v>75</v>
      </c>
      <c r="D221" s="8"/>
      <c r="E221" s="5"/>
      <c r="F221" s="5"/>
      <c r="G221" s="5" t="s">
        <v>74</v>
      </c>
      <c r="H221" s="5"/>
      <c r="I221" s="5"/>
      <c r="J221" s="5"/>
      <c r="K221" s="5"/>
      <c r="L221" s="5"/>
      <c r="M221" s="5"/>
      <c r="N221" s="5"/>
      <c r="O221" s="5"/>
    </row>
    <row r="222" spans="1:15" x14ac:dyDescent="0.3">
      <c r="A222" s="5" t="s">
        <v>2055</v>
      </c>
      <c r="B222" s="5" t="s">
        <v>2073</v>
      </c>
      <c r="C222" s="8">
        <v>75</v>
      </c>
      <c r="D222" s="8"/>
      <c r="E222" s="5"/>
      <c r="F222" s="5"/>
      <c r="G222" s="5" t="s">
        <v>74</v>
      </c>
      <c r="H222" s="5"/>
      <c r="I222" s="5"/>
      <c r="J222" s="5"/>
      <c r="K222" s="5"/>
      <c r="L222" s="5"/>
      <c r="M222" s="5"/>
      <c r="N222" s="5"/>
      <c r="O222" s="5"/>
    </row>
    <row r="223" spans="1:15" x14ac:dyDescent="0.3">
      <c r="A223" s="5" t="s">
        <v>2055</v>
      </c>
      <c r="B223" s="5" t="s">
        <v>2074</v>
      </c>
      <c r="C223" s="8">
        <v>75</v>
      </c>
      <c r="D223" s="8"/>
      <c r="E223" s="5"/>
      <c r="F223" s="5"/>
      <c r="G223" s="5" t="s">
        <v>74</v>
      </c>
      <c r="H223" s="5"/>
      <c r="I223" s="5"/>
      <c r="J223" s="5"/>
      <c r="K223" s="5"/>
      <c r="L223" s="5"/>
      <c r="M223" s="5"/>
      <c r="N223" s="5"/>
      <c r="O223" s="5"/>
    </row>
    <row r="224" spans="1:15" x14ac:dyDescent="0.3">
      <c r="A224" s="6" t="s">
        <v>2075</v>
      </c>
      <c r="B224" s="7" t="s">
        <v>2076</v>
      </c>
      <c r="C224" s="5">
        <v>27</v>
      </c>
      <c r="D224" s="6" t="s">
        <v>2077</v>
      </c>
      <c r="E224" s="5"/>
      <c r="F224" s="5"/>
      <c r="G224" s="5" t="s">
        <v>38</v>
      </c>
      <c r="H224" s="5"/>
      <c r="I224" s="5"/>
      <c r="J224" s="5"/>
      <c r="K224" s="5"/>
      <c r="L224" s="5"/>
      <c r="M224" s="5"/>
      <c r="N224" s="5"/>
      <c r="O224" s="5"/>
    </row>
    <row r="225" spans="1:15" x14ac:dyDescent="0.3">
      <c r="A225" s="6" t="s">
        <v>2075</v>
      </c>
      <c r="B225" s="7" t="s">
        <v>2078</v>
      </c>
      <c r="C225" s="6">
        <v>27</v>
      </c>
      <c r="D225" s="6" t="s">
        <v>2077</v>
      </c>
      <c r="E225" s="5"/>
      <c r="F225" s="5"/>
      <c r="G225" s="5" t="s">
        <v>38</v>
      </c>
      <c r="H225" s="5"/>
      <c r="I225" s="5"/>
      <c r="J225" s="5"/>
      <c r="K225" s="5"/>
      <c r="L225" s="5"/>
      <c r="M225" s="5"/>
      <c r="N225" s="5"/>
      <c r="O225" s="5"/>
    </row>
    <row r="226" spans="1:15" x14ac:dyDescent="0.3">
      <c r="A226" s="6" t="s">
        <v>2075</v>
      </c>
      <c r="B226" s="7" t="s">
        <v>2079</v>
      </c>
      <c r="C226" s="6">
        <v>27</v>
      </c>
      <c r="D226" s="6" t="s">
        <v>2080</v>
      </c>
      <c r="E226" s="5"/>
      <c r="F226" s="5"/>
      <c r="G226" s="5" t="s">
        <v>38</v>
      </c>
      <c r="H226" s="5"/>
      <c r="I226" s="5"/>
      <c r="J226" s="5"/>
      <c r="K226" s="5"/>
      <c r="L226" s="5"/>
      <c r="M226" s="5"/>
      <c r="N226" s="5"/>
      <c r="O226" s="5"/>
    </row>
    <row r="227" spans="1:15" x14ac:dyDescent="0.3">
      <c r="A227" s="6" t="s">
        <v>2075</v>
      </c>
      <c r="B227" s="7" t="s">
        <v>2081</v>
      </c>
      <c r="C227" s="6">
        <v>27</v>
      </c>
      <c r="D227" s="6" t="s">
        <v>2080</v>
      </c>
      <c r="E227" s="5"/>
      <c r="F227" s="5"/>
      <c r="G227" s="5" t="s">
        <v>38</v>
      </c>
      <c r="H227" s="5"/>
      <c r="I227" s="5"/>
      <c r="J227" s="5"/>
      <c r="K227" s="5"/>
      <c r="L227" s="5"/>
      <c r="M227" s="5"/>
      <c r="N227" s="5"/>
      <c r="O227" s="5"/>
    </row>
    <row r="228" spans="1:15" x14ac:dyDescent="0.3">
      <c r="A228" s="6" t="s">
        <v>2075</v>
      </c>
      <c r="B228" s="7" t="s">
        <v>2082</v>
      </c>
      <c r="C228" s="6">
        <v>43</v>
      </c>
      <c r="D228" s="6" t="s">
        <v>2083</v>
      </c>
      <c r="E228" s="5"/>
      <c r="F228" s="5"/>
      <c r="G228" s="5" t="s">
        <v>38</v>
      </c>
      <c r="H228" s="5"/>
      <c r="I228" s="5"/>
      <c r="J228" s="5"/>
      <c r="K228" s="5"/>
      <c r="L228" s="5"/>
      <c r="M228" s="5"/>
      <c r="N228" s="5"/>
      <c r="O228" s="5"/>
    </row>
    <row r="229" spans="1:15" x14ac:dyDescent="0.3">
      <c r="A229" s="6" t="s">
        <v>2075</v>
      </c>
      <c r="B229" s="7" t="s">
        <v>2084</v>
      </c>
      <c r="C229" s="6">
        <v>27</v>
      </c>
      <c r="D229" s="6" t="s">
        <v>2085</v>
      </c>
      <c r="E229" s="5"/>
      <c r="F229" s="5"/>
      <c r="G229" s="5" t="s">
        <v>38</v>
      </c>
      <c r="H229" s="5"/>
      <c r="I229" s="5"/>
      <c r="J229" s="5"/>
      <c r="K229" s="5"/>
      <c r="L229" s="5"/>
      <c r="M229" s="5"/>
      <c r="N229" s="5"/>
      <c r="O229" s="5"/>
    </row>
    <row r="230" spans="1:15" x14ac:dyDescent="0.3">
      <c r="A230" s="6" t="s">
        <v>2075</v>
      </c>
      <c r="B230" s="7" t="s">
        <v>2086</v>
      </c>
      <c r="C230" s="6">
        <v>27</v>
      </c>
      <c r="D230" s="6" t="s">
        <v>1788</v>
      </c>
      <c r="E230" s="5"/>
      <c r="F230" s="5"/>
      <c r="G230" s="5" t="s">
        <v>38</v>
      </c>
      <c r="H230" s="5"/>
      <c r="I230" s="5"/>
      <c r="J230" s="5"/>
      <c r="K230" s="5"/>
      <c r="L230" s="5"/>
      <c r="M230" s="5"/>
      <c r="N230" s="5"/>
      <c r="O230" s="5"/>
    </row>
    <row r="231" spans="1:15" x14ac:dyDescent="0.3">
      <c r="A231" s="6" t="s">
        <v>2075</v>
      </c>
      <c r="B231" s="7" t="s">
        <v>2087</v>
      </c>
      <c r="C231" s="6">
        <v>27</v>
      </c>
      <c r="D231" s="6" t="s">
        <v>1788</v>
      </c>
      <c r="E231" s="5"/>
      <c r="F231" s="5"/>
      <c r="G231" s="5" t="s">
        <v>38</v>
      </c>
      <c r="H231" s="5"/>
      <c r="I231" s="5"/>
      <c r="J231" s="5"/>
      <c r="K231" s="5"/>
      <c r="L231" s="5"/>
      <c r="M231" s="5"/>
      <c r="N231" s="5"/>
      <c r="O231" s="5"/>
    </row>
    <row r="232" spans="1:15" x14ac:dyDescent="0.3">
      <c r="A232" s="6" t="s">
        <v>2075</v>
      </c>
      <c r="B232" s="7" t="s">
        <v>2088</v>
      </c>
      <c r="C232" s="6">
        <v>27</v>
      </c>
      <c r="D232" s="6" t="s">
        <v>1788</v>
      </c>
      <c r="E232" s="5"/>
      <c r="F232" s="5"/>
      <c r="G232" s="5" t="s">
        <v>38</v>
      </c>
      <c r="H232" s="5"/>
      <c r="I232" s="5"/>
      <c r="J232" s="5"/>
      <c r="K232" s="5"/>
      <c r="L232" s="5"/>
      <c r="M232" s="5"/>
      <c r="N232" s="5"/>
      <c r="O232" s="5"/>
    </row>
    <row r="233" spans="1:15" x14ac:dyDescent="0.3">
      <c r="A233" s="6" t="s">
        <v>2075</v>
      </c>
      <c r="B233" s="7" t="s">
        <v>2089</v>
      </c>
      <c r="C233" s="6">
        <v>27</v>
      </c>
      <c r="D233" s="6" t="s">
        <v>1788</v>
      </c>
      <c r="E233" s="5"/>
      <c r="F233" s="5"/>
      <c r="G233" s="5" t="s">
        <v>38</v>
      </c>
      <c r="H233" s="5"/>
      <c r="I233" s="5"/>
      <c r="J233" s="5"/>
      <c r="K233" s="5"/>
      <c r="L233" s="5"/>
      <c r="M233" s="5"/>
      <c r="N233" s="5"/>
      <c r="O233" s="5"/>
    </row>
    <row r="234" spans="1:15" x14ac:dyDescent="0.3">
      <c r="A234" s="6" t="s">
        <v>2075</v>
      </c>
      <c r="B234" s="7" t="s">
        <v>2090</v>
      </c>
      <c r="C234" s="6">
        <v>27</v>
      </c>
      <c r="D234" s="6" t="s">
        <v>1788</v>
      </c>
      <c r="E234" s="5"/>
      <c r="F234" s="5"/>
      <c r="G234" s="5" t="s">
        <v>38</v>
      </c>
      <c r="H234" s="5"/>
      <c r="I234" s="5"/>
      <c r="J234" s="5"/>
      <c r="K234" s="5"/>
      <c r="L234" s="5"/>
      <c r="M234" s="5"/>
      <c r="N234" s="5"/>
      <c r="O234" s="5"/>
    </row>
    <row r="235" spans="1:15" x14ac:dyDescent="0.3">
      <c r="A235" s="6" t="s">
        <v>2075</v>
      </c>
      <c r="B235" s="7" t="s">
        <v>2091</v>
      </c>
      <c r="C235" s="6">
        <v>64</v>
      </c>
      <c r="D235" s="6" t="s">
        <v>1788</v>
      </c>
      <c r="E235" s="5"/>
      <c r="F235" s="5"/>
      <c r="G235" s="5" t="s">
        <v>38</v>
      </c>
      <c r="H235" s="5"/>
      <c r="I235" s="5"/>
      <c r="J235" s="5"/>
      <c r="K235" s="5"/>
      <c r="L235" s="5"/>
      <c r="M235" s="5"/>
      <c r="N235" s="5"/>
      <c r="O235" s="5"/>
    </row>
    <row r="236" spans="1:15" x14ac:dyDescent="0.3">
      <c r="A236" s="6" t="s">
        <v>2075</v>
      </c>
      <c r="B236" s="7" t="s">
        <v>2092</v>
      </c>
      <c r="C236" s="6">
        <v>64</v>
      </c>
      <c r="D236" s="6" t="s">
        <v>1788</v>
      </c>
      <c r="E236" s="5"/>
      <c r="F236" s="5"/>
      <c r="G236" s="5" t="s">
        <v>38</v>
      </c>
      <c r="H236" s="5"/>
      <c r="I236" s="5"/>
      <c r="J236" s="5"/>
      <c r="K236" s="5"/>
      <c r="L236" s="5"/>
      <c r="M236" s="5"/>
      <c r="N236" s="5"/>
      <c r="O236" s="5"/>
    </row>
    <row r="237" spans="1:15" x14ac:dyDescent="0.3">
      <c r="A237" s="6" t="s">
        <v>2075</v>
      </c>
      <c r="B237" s="7" t="s">
        <v>2093</v>
      </c>
      <c r="C237" s="6">
        <v>64</v>
      </c>
      <c r="D237" s="6" t="s">
        <v>1788</v>
      </c>
      <c r="E237" s="5"/>
      <c r="F237" s="5"/>
      <c r="G237" s="5" t="s">
        <v>38</v>
      </c>
      <c r="H237" s="5"/>
      <c r="I237" s="5"/>
      <c r="J237" s="5"/>
      <c r="K237" s="5"/>
      <c r="L237" s="5"/>
      <c r="M237" s="5"/>
      <c r="N237" s="5"/>
      <c r="O237" s="5"/>
    </row>
    <row r="238" spans="1:15" x14ac:dyDescent="0.3">
      <c r="A238" s="6" t="s">
        <v>2075</v>
      </c>
      <c r="B238" s="7" t="s">
        <v>2094</v>
      </c>
      <c r="C238" s="6">
        <v>59</v>
      </c>
      <c r="D238" s="6" t="s">
        <v>2095</v>
      </c>
      <c r="E238" s="5"/>
      <c r="F238" s="5"/>
      <c r="G238" s="5" t="s">
        <v>38</v>
      </c>
      <c r="H238" s="5"/>
      <c r="I238" s="5"/>
      <c r="J238" s="5"/>
      <c r="K238" s="5"/>
      <c r="L238" s="5"/>
      <c r="M238" s="5"/>
      <c r="N238" s="5"/>
      <c r="O238" s="5"/>
    </row>
    <row r="239" spans="1:15" x14ac:dyDescent="0.3">
      <c r="A239" s="6" t="s">
        <v>2075</v>
      </c>
      <c r="B239" s="7" t="s">
        <v>2096</v>
      </c>
      <c r="C239" s="6">
        <v>60</v>
      </c>
      <c r="D239" s="6" t="s">
        <v>2097</v>
      </c>
      <c r="E239" s="5"/>
      <c r="F239" s="5"/>
      <c r="G239" s="5" t="s">
        <v>38</v>
      </c>
      <c r="H239" s="5"/>
      <c r="I239" s="5"/>
      <c r="J239" s="5"/>
      <c r="K239" s="5"/>
      <c r="L239" s="5"/>
      <c r="M239" s="5"/>
      <c r="N239" s="5"/>
      <c r="O239" s="5"/>
    </row>
    <row r="240" spans="1:15" x14ac:dyDescent="0.3">
      <c r="A240" s="6" t="s">
        <v>2075</v>
      </c>
      <c r="B240" s="7" t="s">
        <v>2098</v>
      </c>
      <c r="C240" s="6">
        <v>50</v>
      </c>
      <c r="D240" s="6" t="s">
        <v>2099</v>
      </c>
      <c r="E240" s="5"/>
      <c r="F240" s="5"/>
      <c r="G240" s="5" t="s">
        <v>38</v>
      </c>
      <c r="H240" s="5"/>
      <c r="I240" s="5"/>
      <c r="J240" s="5"/>
      <c r="K240" s="5"/>
      <c r="L240" s="5"/>
      <c r="M240" s="5"/>
      <c r="N240" s="5"/>
      <c r="O240" s="5"/>
    </row>
    <row r="241" spans="1:15" x14ac:dyDescent="0.3">
      <c r="A241" s="6" t="s">
        <v>2075</v>
      </c>
      <c r="B241" s="7" t="s">
        <v>2100</v>
      </c>
      <c r="C241" s="6">
        <v>60</v>
      </c>
      <c r="D241" s="6" t="s">
        <v>2099</v>
      </c>
      <c r="E241" s="5"/>
      <c r="F241" s="5"/>
      <c r="G241" s="5" t="s">
        <v>38</v>
      </c>
      <c r="H241" s="5"/>
      <c r="I241" s="5"/>
      <c r="J241" s="5"/>
      <c r="K241" s="5"/>
      <c r="L241" s="5"/>
      <c r="M241" s="5"/>
      <c r="N241" s="5"/>
      <c r="O241" s="5"/>
    </row>
    <row r="242" spans="1:15" x14ac:dyDescent="0.3">
      <c r="A242" s="5" t="s">
        <v>2075</v>
      </c>
      <c r="B242" s="8" t="s">
        <v>2101</v>
      </c>
      <c r="C242" s="5">
        <v>64</v>
      </c>
      <c r="D242" s="6" t="s">
        <v>2102</v>
      </c>
      <c r="E242" s="5"/>
      <c r="F242" s="5"/>
      <c r="G242" s="5" t="s">
        <v>38</v>
      </c>
      <c r="H242" s="5"/>
      <c r="I242" s="5"/>
      <c r="J242" s="5"/>
      <c r="K242" s="5"/>
      <c r="L242" s="5"/>
      <c r="M242" s="5"/>
      <c r="N242" s="5"/>
      <c r="O242" s="5"/>
    </row>
    <row r="243" spans="1:15" x14ac:dyDescent="0.3">
      <c r="A243" s="6" t="s">
        <v>2075</v>
      </c>
      <c r="B243" s="7" t="s">
        <v>2103</v>
      </c>
      <c r="C243" s="6">
        <v>64</v>
      </c>
      <c r="D243" s="6" t="s">
        <v>2080</v>
      </c>
      <c r="E243" s="5"/>
      <c r="F243" s="5"/>
      <c r="G243" s="5" t="s">
        <v>38</v>
      </c>
      <c r="H243" s="5"/>
      <c r="I243" s="5"/>
      <c r="J243" s="5"/>
      <c r="K243" s="5"/>
      <c r="L243" s="5"/>
      <c r="M243" s="5"/>
      <c r="N243" s="5"/>
      <c r="O243" s="5"/>
    </row>
    <row r="244" spans="1:15" x14ac:dyDescent="0.3">
      <c r="A244" s="6" t="s">
        <v>2075</v>
      </c>
      <c r="B244" s="7" t="s">
        <v>2104</v>
      </c>
      <c r="C244" s="6">
        <v>64</v>
      </c>
      <c r="D244" s="6" t="s">
        <v>2080</v>
      </c>
      <c r="E244" s="5"/>
      <c r="F244" s="5"/>
      <c r="G244" s="5" t="s">
        <v>38</v>
      </c>
      <c r="H244" s="5"/>
      <c r="I244" s="5"/>
      <c r="J244" s="5"/>
      <c r="K244" s="5"/>
      <c r="L244" s="5"/>
      <c r="M244" s="5"/>
      <c r="N244" s="5"/>
      <c r="O244" s="5"/>
    </row>
    <row r="245" spans="1:15" x14ac:dyDescent="0.3">
      <c r="A245" s="6" t="s">
        <v>2075</v>
      </c>
      <c r="B245" s="7" t="s">
        <v>2105</v>
      </c>
      <c r="C245" s="6">
        <v>64</v>
      </c>
      <c r="D245" s="6" t="s">
        <v>2106</v>
      </c>
      <c r="E245" s="5"/>
      <c r="F245" s="5"/>
      <c r="G245" s="5" t="s">
        <v>38</v>
      </c>
      <c r="H245" s="5"/>
      <c r="I245" s="5"/>
      <c r="J245" s="5"/>
      <c r="K245" s="5"/>
      <c r="L245" s="5"/>
      <c r="M245" s="5"/>
      <c r="N245" s="5"/>
      <c r="O245" s="5"/>
    </row>
    <row r="246" spans="1:15" x14ac:dyDescent="0.3">
      <c r="A246" s="5" t="s">
        <v>2075</v>
      </c>
      <c r="B246" s="8" t="s">
        <v>2107</v>
      </c>
      <c r="C246" s="5">
        <v>64</v>
      </c>
      <c r="D246" s="5" t="s">
        <v>2108</v>
      </c>
      <c r="E246" s="5"/>
      <c r="F246" s="5"/>
      <c r="G246" s="5" t="s">
        <v>38</v>
      </c>
      <c r="H246" s="5"/>
      <c r="I246" s="5"/>
      <c r="J246" s="5"/>
      <c r="K246" s="5"/>
      <c r="L246" s="5"/>
      <c r="M246" s="5"/>
      <c r="N246" s="5"/>
      <c r="O246" s="5"/>
    </row>
    <row r="247" spans="1:15" x14ac:dyDescent="0.3">
      <c r="A247" s="5" t="s">
        <v>2075</v>
      </c>
      <c r="B247" s="8" t="s">
        <v>2109</v>
      </c>
      <c r="C247" s="5">
        <v>86</v>
      </c>
      <c r="D247" s="5" t="s">
        <v>2110</v>
      </c>
      <c r="E247" s="5"/>
      <c r="F247" s="5"/>
      <c r="G247" s="5" t="s">
        <v>38</v>
      </c>
      <c r="H247" s="5"/>
      <c r="I247" s="5"/>
      <c r="J247" s="5"/>
      <c r="K247" s="5"/>
      <c r="L247" s="5"/>
      <c r="M247" s="5"/>
      <c r="N247" s="5"/>
      <c r="O247" s="5"/>
    </row>
    <row r="248" spans="1:15" x14ac:dyDescent="0.3">
      <c r="A248" s="5" t="s">
        <v>2075</v>
      </c>
      <c r="B248" s="8" t="s">
        <v>2111</v>
      </c>
      <c r="C248" s="5">
        <v>86</v>
      </c>
      <c r="D248" s="5" t="s">
        <v>2112</v>
      </c>
      <c r="E248" s="5"/>
      <c r="F248" s="5"/>
      <c r="G248" s="5" t="s">
        <v>38</v>
      </c>
      <c r="H248" s="5"/>
      <c r="I248" s="5"/>
      <c r="J248" s="5"/>
      <c r="K248" s="5"/>
      <c r="L248" s="5"/>
      <c r="M248" s="5"/>
      <c r="N248" s="5"/>
      <c r="O248" s="5"/>
    </row>
    <row r="249" spans="1:15" x14ac:dyDescent="0.3">
      <c r="A249" s="5" t="s">
        <v>2075</v>
      </c>
      <c r="B249" s="8" t="s">
        <v>2113</v>
      </c>
      <c r="C249" s="5">
        <v>86</v>
      </c>
      <c r="D249" s="5"/>
      <c r="E249" s="5"/>
      <c r="F249" s="5"/>
      <c r="G249" s="5" t="s">
        <v>74</v>
      </c>
      <c r="H249" s="5"/>
      <c r="I249" s="5"/>
      <c r="J249" s="5"/>
      <c r="K249" s="5"/>
      <c r="L249" s="5"/>
      <c r="M249" s="5"/>
      <c r="N249" s="5"/>
      <c r="O249" s="5"/>
    </row>
    <row r="250" spans="1:15" x14ac:dyDescent="0.3">
      <c r="A250" s="5" t="s">
        <v>2075</v>
      </c>
      <c r="B250" s="8" t="s">
        <v>2114</v>
      </c>
      <c r="C250" s="5">
        <v>86</v>
      </c>
      <c r="D250" s="5"/>
      <c r="E250" s="5"/>
      <c r="F250" s="5"/>
      <c r="G250" s="5" t="s">
        <v>74</v>
      </c>
      <c r="H250" s="5"/>
      <c r="I250" s="5"/>
      <c r="J250" s="5"/>
      <c r="K250" s="5"/>
      <c r="L250" s="5"/>
      <c r="M250" s="5"/>
      <c r="N250" s="5"/>
      <c r="O250" s="5"/>
    </row>
    <row r="251" spans="1:15" x14ac:dyDescent="0.3">
      <c r="A251" s="5" t="s">
        <v>2075</v>
      </c>
      <c r="B251" s="8" t="s">
        <v>2115</v>
      </c>
      <c r="C251" s="5">
        <v>91</v>
      </c>
      <c r="D251" s="5" t="s">
        <v>2116</v>
      </c>
      <c r="E251" s="5"/>
      <c r="F251" s="5"/>
      <c r="G251" s="5" t="s">
        <v>38</v>
      </c>
      <c r="H251" s="5"/>
      <c r="I251" s="5"/>
      <c r="J251" s="5"/>
      <c r="K251" s="5"/>
      <c r="L251" s="5"/>
      <c r="M251" s="5"/>
      <c r="N251" s="5"/>
      <c r="O251" s="5"/>
    </row>
    <row r="252" spans="1:15" x14ac:dyDescent="0.3">
      <c r="A252" s="5" t="s">
        <v>2117</v>
      </c>
      <c r="B252" s="8" t="s">
        <v>2118</v>
      </c>
      <c r="C252" s="5">
        <v>63</v>
      </c>
      <c r="D252" s="5"/>
      <c r="E252" s="5"/>
      <c r="F252" s="5"/>
      <c r="G252" s="5" t="s">
        <v>74</v>
      </c>
      <c r="H252" s="5"/>
      <c r="I252" s="5"/>
      <c r="J252" s="5"/>
      <c r="K252" s="5"/>
      <c r="L252" s="5"/>
      <c r="M252" s="5"/>
      <c r="N252" s="5"/>
      <c r="O252" s="5"/>
    </row>
    <row r="253" spans="1:15" x14ac:dyDescent="0.3">
      <c r="A253" s="5" t="s">
        <v>2117</v>
      </c>
      <c r="B253" s="8" t="s">
        <v>2119</v>
      </c>
      <c r="C253" s="5">
        <v>60</v>
      </c>
      <c r="D253" s="5"/>
      <c r="E253" s="5"/>
      <c r="F253" s="5"/>
      <c r="G253" s="5" t="s">
        <v>74</v>
      </c>
      <c r="H253" s="5"/>
      <c r="I253" s="5"/>
      <c r="J253" s="5"/>
      <c r="K253" s="5"/>
      <c r="L253" s="5"/>
      <c r="M253" s="5"/>
      <c r="N253" s="5"/>
      <c r="O253" s="5"/>
    </row>
    <row r="254" spans="1:15" x14ac:dyDescent="0.3">
      <c r="A254" s="5" t="s">
        <v>2117</v>
      </c>
      <c r="B254" s="8" t="s">
        <v>2120</v>
      </c>
      <c r="C254" s="5">
        <v>36.6</v>
      </c>
      <c r="D254" s="5"/>
      <c r="E254" s="5"/>
      <c r="F254" s="5"/>
      <c r="G254" s="5" t="s">
        <v>74</v>
      </c>
      <c r="H254" s="5"/>
      <c r="I254" s="5"/>
      <c r="J254" s="5"/>
      <c r="K254" s="5"/>
      <c r="L254" s="5"/>
      <c r="M254" s="5"/>
      <c r="N254" s="5"/>
      <c r="O254" s="5"/>
    </row>
    <row r="255" spans="1:15" x14ac:dyDescent="0.3">
      <c r="A255" s="5" t="s">
        <v>2117</v>
      </c>
      <c r="B255" s="8" t="s">
        <v>2121</v>
      </c>
      <c r="C255" s="5">
        <v>68</v>
      </c>
      <c r="D255" s="5"/>
      <c r="E255" s="5"/>
      <c r="F255" s="5"/>
      <c r="G255" s="5" t="s">
        <v>74</v>
      </c>
      <c r="H255" s="5"/>
      <c r="I255" s="5"/>
      <c r="J255" s="5"/>
      <c r="K255" s="5"/>
      <c r="L255" s="5"/>
      <c r="M255" s="5"/>
      <c r="N255" s="5"/>
      <c r="O255" s="5"/>
    </row>
    <row r="256" spans="1:15" x14ac:dyDescent="0.3">
      <c r="A256" s="5" t="s">
        <v>2117</v>
      </c>
      <c r="B256" s="8" t="s">
        <v>2122</v>
      </c>
      <c r="C256" s="5">
        <v>46.6</v>
      </c>
      <c r="D256" s="5"/>
      <c r="E256" s="5"/>
      <c r="F256" s="5"/>
      <c r="G256" s="5" t="s">
        <v>74</v>
      </c>
      <c r="H256" s="5"/>
      <c r="I256" s="5"/>
      <c r="J256" s="5"/>
      <c r="K256" s="5"/>
      <c r="L256" s="5"/>
      <c r="M256" s="5"/>
      <c r="N256" s="5"/>
      <c r="O256" s="5"/>
    </row>
    <row r="257" spans="1:15" x14ac:dyDescent="0.3">
      <c r="A257" s="5" t="s">
        <v>2117</v>
      </c>
      <c r="B257" s="8" t="s">
        <v>2123</v>
      </c>
      <c r="C257" s="5">
        <v>35</v>
      </c>
      <c r="D257" s="5"/>
      <c r="E257" s="5"/>
      <c r="F257" s="5"/>
      <c r="G257" s="5" t="s">
        <v>74</v>
      </c>
      <c r="H257" s="5"/>
      <c r="I257" s="5"/>
      <c r="J257" s="5"/>
      <c r="K257" s="5"/>
      <c r="L257" s="5"/>
      <c r="M257" s="5"/>
      <c r="N257" s="5"/>
      <c r="O257" s="5"/>
    </row>
    <row r="258" spans="1:15" x14ac:dyDescent="0.3">
      <c r="A258" s="5" t="s">
        <v>2117</v>
      </c>
      <c r="B258" s="8" t="s">
        <v>2124</v>
      </c>
      <c r="C258" s="5">
        <v>33</v>
      </c>
      <c r="D258" s="5"/>
      <c r="E258" s="5"/>
      <c r="F258" s="5"/>
      <c r="G258" s="5" t="s">
        <v>74</v>
      </c>
      <c r="H258" s="5"/>
      <c r="I258" s="5"/>
      <c r="J258" s="5"/>
      <c r="K258" s="5"/>
      <c r="L258" s="5"/>
      <c r="M258" s="5"/>
      <c r="N258" s="5"/>
      <c r="O258" s="5"/>
    </row>
    <row r="259" spans="1:15" x14ac:dyDescent="0.3">
      <c r="A259" s="5" t="s">
        <v>2117</v>
      </c>
      <c r="B259" s="8" t="s">
        <v>2125</v>
      </c>
      <c r="C259" s="5">
        <v>70</v>
      </c>
      <c r="D259" s="5"/>
      <c r="E259" s="5"/>
      <c r="F259" s="5"/>
      <c r="G259" s="5" t="s">
        <v>74</v>
      </c>
      <c r="H259" s="5"/>
      <c r="I259" s="5"/>
      <c r="J259" s="5"/>
      <c r="K259" s="5"/>
      <c r="L259" s="5"/>
      <c r="M259" s="5"/>
      <c r="N259" s="5"/>
      <c r="O259" s="5"/>
    </row>
    <row r="260" spans="1:15" x14ac:dyDescent="0.3">
      <c r="A260" s="5" t="s">
        <v>2117</v>
      </c>
      <c r="B260" s="8" t="s">
        <v>2126</v>
      </c>
      <c r="C260" s="5"/>
      <c r="D260" s="5"/>
      <c r="E260" s="5"/>
      <c r="F260" s="5"/>
      <c r="G260" s="5" t="s">
        <v>74</v>
      </c>
      <c r="H260" s="5"/>
      <c r="I260" s="5"/>
      <c r="J260" s="5"/>
      <c r="K260" s="5"/>
      <c r="L260" s="5"/>
      <c r="M260" s="5"/>
      <c r="N260" s="5"/>
      <c r="O260" s="5"/>
    </row>
    <row r="261" spans="1:15" x14ac:dyDescent="0.3">
      <c r="A261" s="5" t="s">
        <v>2117</v>
      </c>
      <c r="B261" s="8" t="s">
        <v>2127</v>
      </c>
      <c r="C261" s="5">
        <v>70</v>
      </c>
      <c r="D261" s="5"/>
      <c r="E261" s="5"/>
      <c r="F261" s="5"/>
      <c r="G261" s="5" t="s">
        <v>74</v>
      </c>
      <c r="H261" s="5"/>
      <c r="I261" s="5"/>
      <c r="J261" s="5"/>
      <c r="K261" s="5"/>
      <c r="L261" s="5"/>
      <c r="M261" s="5"/>
      <c r="N261" s="5"/>
      <c r="O261" s="5"/>
    </row>
    <row r="262" spans="1:15" x14ac:dyDescent="0.3">
      <c r="A262" s="5" t="s">
        <v>2117</v>
      </c>
      <c r="B262" s="8" t="s">
        <v>2128</v>
      </c>
      <c r="C262" s="5"/>
      <c r="D262" s="5"/>
      <c r="E262" s="5"/>
      <c r="F262" s="5"/>
      <c r="G262" s="5" t="s">
        <v>74</v>
      </c>
      <c r="H262" s="5"/>
      <c r="I262" s="5"/>
      <c r="J262" s="5"/>
      <c r="K262" s="5"/>
      <c r="L262" s="5"/>
      <c r="M262" s="5"/>
      <c r="N262" s="5"/>
      <c r="O262" s="5"/>
    </row>
    <row r="263" spans="1:15" x14ac:dyDescent="0.3">
      <c r="A263" s="5" t="s">
        <v>2117</v>
      </c>
      <c r="B263" s="8" t="s">
        <v>2129</v>
      </c>
      <c r="C263" s="5">
        <v>100</v>
      </c>
      <c r="D263" s="5" t="s">
        <v>2130</v>
      </c>
      <c r="E263" s="5"/>
      <c r="F263" s="5"/>
      <c r="G263" s="5" t="s">
        <v>38</v>
      </c>
      <c r="H263" s="5"/>
      <c r="I263" s="5"/>
      <c r="J263" s="5"/>
      <c r="K263" s="5"/>
      <c r="L263" s="5"/>
      <c r="M263" s="5"/>
      <c r="N263" s="5"/>
      <c r="O263" s="5"/>
    </row>
    <row r="264" spans="1:15" x14ac:dyDescent="0.3">
      <c r="A264" s="5" t="s">
        <v>2117</v>
      </c>
      <c r="B264" s="8" t="s">
        <v>2131</v>
      </c>
      <c r="C264" s="5"/>
      <c r="D264" s="5" t="s">
        <v>2130</v>
      </c>
      <c r="E264" s="5"/>
      <c r="F264" s="5"/>
      <c r="G264" s="5" t="s">
        <v>38</v>
      </c>
      <c r="H264" s="5"/>
      <c r="I264" s="5"/>
      <c r="J264" s="5"/>
      <c r="K264" s="5"/>
      <c r="L264" s="5"/>
      <c r="M264" s="5"/>
      <c r="N264" s="5"/>
      <c r="O264" s="5"/>
    </row>
    <row r="265" spans="1:15" x14ac:dyDescent="0.3">
      <c r="A265" s="5" t="s">
        <v>2117</v>
      </c>
      <c r="B265" s="8" t="s">
        <v>2132</v>
      </c>
      <c r="C265" s="5"/>
      <c r="D265" s="5" t="s">
        <v>2130</v>
      </c>
      <c r="E265" s="5"/>
      <c r="F265" s="5"/>
      <c r="G265" s="5" t="s">
        <v>38</v>
      </c>
      <c r="H265" s="5"/>
      <c r="I265" s="5"/>
      <c r="J265" s="5"/>
      <c r="K265" s="5"/>
      <c r="L265" s="5"/>
      <c r="M265" s="5"/>
      <c r="N265" s="5"/>
      <c r="O265" s="5"/>
    </row>
    <row r="266" spans="1:15" x14ac:dyDescent="0.3">
      <c r="A266" s="5" t="s">
        <v>2117</v>
      </c>
      <c r="B266" s="8" t="s">
        <v>2133</v>
      </c>
      <c r="C266" s="5">
        <v>34</v>
      </c>
      <c r="D266" s="5" t="s">
        <v>2134</v>
      </c>
      <c r="E266" s="5"/>
      <c r="F266" s="5"/>
      <c r="G266" s="5" t="s">
        <v>38</v>
      </c>
      <c r="H266" s="5"/>
      <c r="I266" s="5"/>
      <c r="J266" s="5"/>
      <c r="K266" s="5"/>
      <c r="L266" s="5"/>
      <c r="M266" s="5"/>
      <c r="N266" s="5"/>
      <c r="O266" s="5"/>
    </row>
    <row r="267" spans="1:15" x14ac:dyDescent="0.3">
      <c r="A267" s="5" t="s">
        <v>2117</v>
      </c>
      <c r="B267" s="8" t="s">
        <v>2135</v>
      </c>
      <c r="C267" s="5">
        <v>117</v>
      </c>
      <c r="D267" s="5" t="s">
        <v>2136</v>
      </c>
      <c r="E267" s="5"/>
      <c r="F267" s="5"/>
      <c r="G267" s="5" t="s">
        <v>38</v>
      </c>
      <c r="H267" s="5"/>
      <c r="I267" s="5"/>
      <c r="J267" s="5"/>
      <c r="K267" s="5"/>
      <c r="L267" s="5"/>
      <c r="M267" s="5"/>
      <c r="N267" s="5"/>
      <c r="O267" s="5"/>
    </row>
    <row r="268" spans="1:15" x14ac:dyDescent="0.3">
      <c r="A268" s="5" t="s">
        <v>2117</v>
      </c>
      <c r="B268" s="8" t="s">
        <v>2137</v>
      </c>
      <c r="C268" s="5"/>
      <c r="D268" s="5" t="s">
        <v>2136</v>
      </c>
      <c r="E268" s="5"/>
      <c r="F268" s="5"/>
      <c r="G268" s="5" t="s">
        <v>38</v>
      </c>
      <c r="H268" s="5"/>
      <c r="I268" s="5"/>
      <c r="J268" s="5"/>
      <c r="K268" s="5"/>
      <c r="L268" s="5"/>
      <c r="M268" s="5"/>
      <c r="N268" s="5"/>
      <c r="O268" s="5"/>
    </row>
    <row r="269" spans="1:15" x14ac:dyDescent="0.3">
      <c r="A269" s="5" t="s">
        <v>2117</v>
      </c>
      <c r="B269" s="8" t="s">
        <v>2138</v>
      </c>
      <c r="C269" s="5"/>
      <c r="D269" s="5" t="s">
        <v>2136</v>
      </c>
      <c r="E269" s="5"/>
      <c r="F269" s="5"/>
      <c r="G269" s="5" t="s">
        <v>38</v>
      </c>
      <c r="H269" s="5"/>
      <c r="I269" s="5"/>
      <c r="J269" s="5"/>
      <c r="K269" s="5"/>
      <c r="L269" s="5"/>
      <c r="M269" s="5"/>
      <c r="N269" s="5"/>
      <c r="O269" s="5"/>
    </row>
    <row r="270" spans="1:15" x14ac:dyDescent="0.3">
      <c r="A270" s="5" t="s">
        <v>2117</v>
      </c>
      <c r="B270" s="8" t="s">
        <v>2139</v>
      </c>
      <c r="C270" s="5">
        <v>40</v>
      </c>
      <c r="D270" s="5"/>
      <c r="E270" s="5"/>
      <c r="F270" s="5"/>
      <c r="G270" s="5" t="s">
        <v>74</v>
      </c>
      <c r="H270" s="5"/>
      <c r="I270" s="5"/>
      <c r="J270" s="5"/>
      <c r="K270" s="5"/>
      <c r="L270" s="5"/>
      <c r="M270" s="5"/>
      <c r="N270" s="5"/>
      <c r="O270" s="5"/>
    </row>
    <row r="271" spans="1:15" x14ac:dyDescent="0.3">
      <c r="A271" s="5" t="s">
        <v>2117</v>
      </c>
      <c r="B271" s="8" t="s">
        <v>2140</v>
      </c>
      <c r="C271" s="5">
        <v>30</v>
      </c>
      <c r="D271" s="5"/>
      <c r="E271" s="5"/>
      <c r="F271" s="5"/>
      <c r="G271" s="5" t="s">
        <v>74</v>
      </c>
      <c r="H271" s="5"/>
      <c r="I271" s="5"/>
      <c r="J271" s="5"/>
      <c r="K271" s="5"/>
      <c r="L271" s="5"/>
      <c r="M271" s="5"/>
      <c r="N271" s="5"/>
      <c r="O271" s="5"/>
    </row>
    <row r="272" spans="1:15" x14ac:dyDescent="0.3">
      <c r="A272" s="5" t="s">
        <v>2117</v>
      </c>
      <c r="B272" s="8" t="s">
        <v>2141</v>
      </c>
      <c r="C272" s="5">
        <v>35</v>
      </c>
      <c r="D272" s="5"/>
      <c r="E272" s="5"/>
      <c r="F272" s="5"/>
      <c r="G272" s="5" t="s">
        <v>74</v>
      </c>
      <c r="H272" s="5"/>
      <c r="I272" s="5"/>
      <c r="J272" s="5"/>
      <c r="K272" s="5"/>
      <c r="L272" s="5"/>
      <c r="M272" s="5"/>
      <c r="N272" s="5"/>
      <c r="O272" s="5"/>
    </row>
    <row r="273" spans="1:15" x14ac:dyDescent="0.3">
      <c r="A273" s="5" t="s">
        <v>2117</v>
      </c>
      <c r="B273" s="8" t="s">
        <v>2142</v>
      </c>
      <c r="C273" s="5">
        <v>36</v>
      </c>
      <c r="D273" s="8" t="s">
        <v>2143</v>
      </c>
      <c r="E273" s="5"/>
      <c r="F273" s="5"/>
      <c r="G273" s="5" t="s">
        <v>38</v>
      </c>
      <c r="H273" s="5"/>
      <c r="I273" s="5"/>
      <c r="J273" s="5"/>
      <c r="K273" s="5"/>
      <c r="L273" s="5"/>
      <c r="M273" s="5"/>
      <c r="N273" s="5"/>
      <c r="O273" s="5"/>
    </row>
    <row r="274" spans="1:15" x14ac:dyDescent="0.3">
      <c r="A274" s="5" t="s">
        <v>2117</v>
      </c>
      <c r="B274" s="8" t="s">
        <v>2144</v>
      </c>
      <c r="C274" s="5">
        <v>70</v>
      </c>
      <c r="D274" s="5"/>
      <c r="E274" s="5"/>
      <c r="F274" s="5"/>
      <c r="G274" s="5" t="s">
        <v>74</v>
      </c>
      <c r="H274" s="5"/>
      <c r="I274" s="5"/>
      <c r="J274" s="5"/>
      <c r="K274" s="5"/>
      <c r="L274" s="5"/>
      <c r="M274" s="5"/>
      <c r="N274" s="5"/>
      <c r="O274" s="5"/>
    </row>
    <row r="275" spans="1:15" x14ac:dyDescent="0.3">
      <c r="A275" s="5" t="s">
        <v>2117</v>
      </c>
      <c r="B275" s="8" t="s">
        <v>2145</v>
      </c>
      <c r="C275" s="5"/>
      <c r="D275" s="5"/>
      <c r="E275" s="5"/>
      <c r="F275" s="5"/>
      <c r="G275" s="5" t="s">
        <v>74</v>
      </c>
      <c r="H275" s="5"/>
      <c r="I275" s="5"/>
      <c r="J275" s="5"/>
      <c r="K275" s="5"/>
      <c r="L275" s="5"/>
      <c r="M275" s="5"/>
      <c r="N275" s="5"/>
      <c r="O275" s="5"/>
    </row>
    <row r="276" spans="1:15" x14ac:dyDescent="0.3">
      <c r="A276" s="5" t="s">
        <v>2117</v>
      </c>
      <c r="B276" s="8" t="s">
        <v>2146</v>
      </c>
      <c r="C276" s="5">
        <v>70</v>
      </c>
      <c r="D276" s="5"/>
      <c r="E276" s="5"/>
      <c r="F276" s="5"/>
      <c r="G276" s="5" t="s">
        <v>74</v>
      </c>
      <c r="H276" s="5"/>
      <c r="I276" s="5"/>
      <c r="J276" s="5"/>
      <c r="K276" s="5"/>
      <c r="L276" s="5"/>
      <c r="M276" s="5"/>
      <c r="N276" s="5"/>
      <c r="O276" s="5"/>
    </row>
    <row r="277" spans="1:15" x14ac:dyDescent="0.3">
      <c r="A277" s="5" t="s">
        <v>2117</v>
      </c>
      <c r="B277" s="8" t="s">
        <v>2147</v>
      </c>
      <c r="C277" s="5"/>
      <c r="D277" s="5"/>
      <c r="E277" s="5"/>
      <c r="F277" s="5"/>
      <c r="G277" s="5" t="s">
        <v>74</v>
      </c>
      <c r="H277" s="5"/>
      <c r="I277" s="5"/>
      <c r="J277" s="5"/>
      <c r="K277" s="5"/>
      <c r="L277" s="5"/>
      <c r="M277" s="5"/>
      <c r="N277" s="5"/>
      <c r="O277" s="5"/>
    </row>
    <row r="278" spans="1:15" x14ac:dyDescent="0.3">
      <c r="A278" s="5" t="s">
        <v>2117</v>
      </c>
      <c r="B278" s="8" t="s">
        <v>2148</v>
      </c>
      <c r="C278" s="5">
        <v>70</v>
      </c>
      <c r="D278" s="5"/>
      <c r="E278" s="5"/>
      <c r="F278" s="5"/>
      <c r="G278" s="5" t="s">
        <v>74</v>
      </c>
      <c r="H278" s="5"/>
      <c r="I278" s="5"/>
      <c r="J278" s="5"/>
      <c r="K278" s="5"/>
      <c r="L278" s="5"/>
      <c r="M278" s="5"/>
      <c r="N278" s="5"/>
      <c r="O278" s="5"/>
    </row>
    <row r="279" spans="1:15" x14ac:dyDescent="0.3">
      <c r="A279" s="5" t="s">
        <v>2117</v>
      </c>
      <c r="B279" s="8" t="s">
        <v>2149</v>
      </c>
      <c r="C279" s="5"/>
      <c r="D279" s="5"/>
      <c r="E279" s="5"/>
      <c r="F279" s="5"/>
      <c r="G279" s="5" t="s">
        <v>74</v>
      </c>
      <c r="H279" s="5"/>
      <c r="I279" s="5"/>
      <c r="J279" s="5"/>
      <c r="K279" s="5"/>
      <c r="L279" s="5"/>
      <c r="M279" s="5"/>
      <c r="N279" s="5"/>
      <c r="O279" s="5"/>
    </row>
    <row r="280" spans="1:15" x14ac:dyDescent="0.3">
      <c r="A280" s="5" t="s">
        <v>2117</v>
      </c>
      <c r="B280" s="8" t="s">
        <v>2150</v>
      </c>
      <c r="C280" s="5">
        <v>71</v>
      </c>
      <c r="D280" s="5" t="s">
        <v>2151</v>
      </c>
      <c r="E280" s="5"/>
      <c r="F280" s="5"/>
      <c r="G280" s="5" t="s">
        <v>38</v>
      </c>
      <c r="H280" s="5"/>
      <c r="I280" s="5"/>
      <c r="J280" s="5"/>
      <c r="K280" s="5"/>
      <c r="L280" s="5"/>
      <c r="M280" s="5"/>
      <c r="N280" s="5"/>
      <c r="O280" s="5"/>
    </row>
    <row r="281" spans="1:15" x14ac:dyDescent="0.3">
      <c r="A281" s="5" t="s">
        <v>2117</v>
      </c>
      <c r="B281" s="8" t="s">
        <v>2152</v>
      </c>
      <c r="C281" s="5"/>
      <c r="D281" s="5" t="s">
        <v>2151</v>
      </c>
      <c r="E281" s="5"/>
      <c r="F281" s="5"/>
      <c r="G281" s="5" t="s">
        <v>38</v>
      </c>
      <c r="H281" s="5"/>
      <c r="I281" s="5"/>
      <c r="J281" s="5"/>
      <c r="K281" s="5"/>
      <c r="L281" s="5"/>
      <c r="M281" s="5"/>
      <c r="N281" s="5"/>
      <c r="O281" s="5"/>
    </row>
    <row r="282" spans="1:15" x14ac:dyDescent="0.3">
      <c r="A282" s="5" t="s">
        <v>2117</v>
      </c>
      <c r="B282" s="8" t="s">
        <v>2153</v>
      </c>
      <c r="C282" s="5">
        <v>38</v>
      </c>
      <c r="D282" s="5" t="s">
        <v>2154</v>
      </c>
      <c r="E282" s="5"/>
      <c r="F282" s="5"/>
      <c r="G282" s="5" t="s">
        <v>38</v>
      </c>
      <c r="H282" s="5"/>
      <c r="I282" s="5"/>
      <c r="J282" s="5"/>
      <c r="K282" s="5" t="s">
        <v>1826</v>
      </c>
      <c r="L282" s="5" t="s">
        <v>2155</v>
      </c>
      <c r="M282" s="5"/>
      <c r="N282" s="5"/>
      <c r="O282" s="5"/>
    </row>
    <row r="283" spans="1:15" x14ac:dyDescent="0.3">
      <c r="A283" s="5" t="s">
        <v>2117</v>
      </c>
      <c r="B283" s="8" t="s">
        <v>2156</v>
      </c>
      <c r="C283" s="5">
        <v>35</v>
      </c>
      <c r="D283" s="5"/>
      <c r="E283" s="5"/>
      <c r="F283" s="5"/>
      <c r="G283" s="5" t="s">
        <v>74</v>
      </c>
      <c r="H283" s="5"/>
      <c r="I283" s="5"/>
      <c r="J283" s="5"/>
      <c r="K283" s="5"/>
      <c r="L283" s="5"/>
      <c r="M283" s="5"/>
      <c r="N283" s="5"/>
      <c r="O283" s="5"/>
    </row>
    <row r="284" spans="1:15" x14ac:dyDescent="0.3">
      <c r="A284" s="5" t="s">
        <v>2117</v>
      </c>
      <c r="B284" s="8" t="s">
        <v>2157</v>
      </c>
      <c r="C284" s="5">
        <v>35</v>
      </c>
      <c r="D284" s="5"/>
      <c r="E284" s="5"/>
      <c r="F284" s="5"/>
      <c r="G284" s="5" t="s">
        <v>74</v>
      </c>
      <c r="H284" s="5"/>
      <c r="I284" s="5"/>
      <c r="J284" s="5"/>
      <c r="K284" s="5"/>
      <c r="L284" s="5"/>
      <c r="M284" s="5"/>
      <c r="N284" s="5"/>
      <c r="O284" s="5"/>
    </row>
    <row r="285" spans="1:15" x14ac:dyDescent="0.3">
      <c r="A285" s="5" t="s">
        <v>2117</v>
      </c>
      <c r="B285" s="8" t="s">
        <v>2158</v>
      </c>
      <c r="C285" s="5">
        <v>35</v>
      </c>
      <c r="D285" s="5"/>
      <c r="E285" s="5"/>
      <c r="F285" s="5"/>
      <c r="G285" s="5" t="s">
        <v>74</v>
      </c>
      <c r="H285" s="5"/>
      <c r="I285" s="5"/>
      <c r="J285" s="5"/>
      <c r="K285" s="5"/>
      <c r="L285" s="5"/>
      <c r="M285" s="5"/>
      <c r="N285" s="5"/>
      <c r="O285" s="5"/>
    </row>
    <row r="286" spans="1:15" x14ac:dyDescent="0.3">
      <c r="A286" s="5" t="s">
        <v>2117</v>
      </c>
      <c r="B286" s="8" t="s">
        <v>2159</v>
      </c>
      <c r="C286" s="5">
        <v>35</v>
      </c>
      <c r="D286" s="5" t="s">
        <v>2160</v>
      </c>
      <c r="E286" s="5"/>
      <c r="F286" s="5"/>
      <c r="G286" s="5" t="s">
        <v>38</v>
      </c>
      <c r="H286" s="5"/>
      <c r="I286" s="5"/>
      <c r="J286" s="5"/>
      <c r="K286" s="5" t="s">
        <v>1964</v>
      </c>
      <c r="L286" s="5" t="s">
        <v>1965</v>
      </c>
      <c r="M286" s="5"/>
      <c r="N286" s="5"/>
      <c r="O286" s="5"/>
    </row>
    <row r="287" spans="1:15" ht="28" x14ac:dyDescent="0.3">
      <c r="A287" s="5" t="s">
        <v>2161</v>
      </c>
      <c r="B287" s="8" t="s">
        <v>2162</v>
      </c>
      <c r="C287" s="5">
        <v>545</v>
      </c>
      <c r="D287" s="5" t="s">
        <v>2163</v>
      </c>
      <c r="E287" s="5"/>
      <c r="F287" s="5"/>
      <c r="G287" s="5" t="s">
        <v>38</v>
      </c>
      <c r="H287" s="5"/>
      <c r="I287" s="5"/>
      <c r="J287" s="5"/>
      <c r="K287" s="5"/>
      <c r="L287" s="5"/>
      <c r="M287" s="5"/>
      <c r="N287" s="5"/>
      <c r="O287" s="5"/>
    </row>
    <row r="288" spans="1:15" ht="28" x14ac:dyDescent="0.3">
      <c r="A288" s="5" t="s">
        <v>2161</v>
      </c>
      <c r="B288" s="8" t="s">
        <v>2164</v>
      </c>
      <c r="C288" s="5"/>
      <c r="D288" s="5" t="s">
        <v>2163</v>
      </c>
      <c r="E288" s="5"/>
      <c r="F288" s="5"/>
      <c r="G288" s="5" t="s">
        <v>38</v>
      </c>
      <c r="H288" s="5"/>
      <c r="I288" s="5"/>
      <c r="J288" s="5"/>
      <c r="K288" s="5"/>
      <c r="L288" s="5"/>
      <c r="M288" s="5"/>
      <c r="N288" s="5"/>
      <c r="O288" s="5"/>
    </row>
    <row r="289" spans="1:15" ht="28" x14ac:dyDescent="0.3">
      <c r="A289" s="5" t="s">
        <v>2161</v>
      </c>
      <c r="B289" s="8" t="s">
        <v>2165</v>
      </c>
      <c r="C289" s="5"/>
      <c r="D289" s="5" t="s">
        <v>2163</v>
      </c>
      <c r="E289" s="5"/>
      <c r="F289" s="5"/>
      <c r="G289" s="5" t="s">
        <v>38</v>
      </c>
      <c r="H289" s="5"/>
      <c r="I289" s="5"/>
      <c r="J289" s="5"/>
      <c r="K289" s="5"/>
      <c r="L289" s="5"/>
      <c r="M289" s="5"/>
      <c r="N289" s="5"/>
      <c r="O289" s="5"/>
    </row>
    <row r="290" spans="1:15" ht="28" x14ac:dyDescent="0.3">
      <c r="A290" s="5" t="s">
        <v>2161</v>
      </c>
      <c r="B290" s="8" t="s">
        <v>2166</v>
      </c>
      <c r="C290" s="5"/>
      <c r="D290" s="5" t="s">
        <v>2163</v>
      </c>
      <c r="E290" s="5"/>
      <c r="F290" s="5"/>
      <c r="G290" s="5" t="s">
        <v>38</v>
      </c>
      <c r="H290" s="5"/>
      <c r="I290" s="5"/>
      <c r="J290" s="5"/>
      <c r="K290" s="5"/>
      <c r="L290" s="5"/>
      <c r="M290" s="5"/>
      <c r="N290" s="5"/>
      <c r="O290" s="5"/>
    </row>
    <row r="291" spans="1:15" ht="28" x14ac:dyDescent="0.3">
      <c r="A291" s="5" t="s">
        <v>2161</v>
      </c>
      <c r="B291" s="8" t="s">
        <v>2167</v>
      </c>
      <c r="C291" s="5"/>
      <c r="D291" s="5" t="s">
        <v>2163</v>
      </c>
      <c r="E291" s="5"/>
      <c r="F291" s="5"/>
      <c r="G291" s="5" t="s">
        <v>38</v>
      </c>
      <c r="H291" s="5"/>
      <c r="I291" s="5"/>
      <c r="J291" s="5"/>
      <c r="K291" s="5"/>
      <c r="L291" s="5"/>
      <c r="M291" s="5"/>
      <c r="N291" s="5"/>
      <c r="O291" s="5"/>
    </row>
    <row r="292" spans="1:15" ht="28" x14ac:dyDescent="0.3">
      <c r="A292" s="5" t="s">
        <v>2161</v>
      </c>
      <c r="B292" s="8" t="s">
        <v>2168</v>
      </c>
      <c r="C292" s="5"/>
      <c r="D292" s="5" t="s">
        <v>2163</v>
      </c>
      <c r="E292" s="5"/>
      <c r="F292" s="5"/>
      <c r="G292" s="5" t="s">
        <v>38</v>
      </c>
      <c r="H292" s="5"/>
      <c r="I292" s="5"/>
      <c r="J292" s="5"/>
      <c r="K292" s="5"/>
      <c r="L292" s="5"/>
      <c r="M292" s="5"/>
      <c r="N292" s="5"/>
      <c r="O292" s="5"/>
    </row>
    <row r="293" spans="1:15" ht="28" x14ac:dyDescent="0.3">
      <c r="A293" s="5" t="s">
        <v>2161</v>
      </c>
      <c r="B293" s="8" t="s">
        <v>2169</v>
      </c>
      <c r="C293" s="5"/>
      <c r="D293" s="5" t="s">
        <v>2163</v>
      </c>
      <c r="E293" s="5"/>
      <c r="F293" s="5"/>
      <c r="G293" s="5" t="s">
        <v>38</v>
      </c>
      <c r="H293" s="5"/>
      <c r="I293" s="5"/>
      <c r="J293" s="5"/>
      <c r="K293" s="5"/>
      <c r="L293" s="5"/>
      <c r="M293" s="5"/>
      <c r="N293" s="5"/>
      <c r="O293" s="5"/>
    </row>
    <row r="294" spans="1:15" ht="28" x14ac:dyDescent="0.3">
      <c r="A294" s="5" t="s">
        <v>2161</v>
      </c>
      <c r="B294" s="8" t="s">
        <v>2170</v>
      </c>
      <c r="C294" s="5"/>
      <c r="D294" s="5" t="s">
        <v>2163</v>
      </c>
      <c r="E294" s="5"/>
      <c r="F294" s="5"/>
      <c r="G294" s="5" t="s">
        <v>38</v>
      </c>
      <c r="H294" s="5"/>
      <c r="I294" s="5"/>
      <c r="J294" s="5"/>
      <c r="K294" s="5"/>
      <c r="L294" s="5"/>
      <c r="M294" s="5"/>
      <c r="N294" s="5"/>
      <c r="O294" s="5"/>
    </row>
    <row r="295" spans="1:15" ht="28" x14ac:dyDescent="0.3">
      <c r="A295" s="5" t="s">
        <v>2161</v>
      </c>
      <c r="B295" s="8" t="s">
        <v>2171</v>
      </c>
      <c r="C295" s="5"/>
      <c r="D295" s="5" t="s">
        <v>2163</v>
      </c>
      <c r="E295" s="5"/>
      <c r="F295" s="5"/>
      <c r="G295" s="5" t="s">
        <v>38</v>
      </c>
      <c r="H295" s="5"/>
      <c r="I295" s="5"/>
      <c r="J295" s="5"/>
      <c r="K295" s="5"/>
      <c r="L295" s="5"/>
      <c r="M295" s="5"/>
      <c r="N295" s="5"/>
      <c r="O295" s="5"/>
    </row>
    <row r="296" spans="1:15" x14ac:dyDescent="0.3">
      <c r="A296" s="5" t="s">
        <v>2161</v>
      </c>
      <c r="B296" s="8" t="s">
        <v>2172</v>
      </c>
      <c r="C296" s="5">
        <v>35</v>
      </c>
      <c r="D296" s="5" t="s">
        <v>2173</v>
      </c>
      <c r="E296" s="5"/>
      <c r="F296" s="5"/>
      <c r="G296" s="5" t="s">
        <v>38</v>
      </c>
      <c r="H296" s="5"/>
      <c r="I296" s="5"/>
      <c r="J296" s="5"/>
      <c r="K296" s="5"/>
      <c r="L296" s="5"/>
      <c r="M296" s="5"/>
      <c r="N296" s="5"/>
      <c r="O296" s="5"/>
    </row>
    <row r="297" spans="1:15" x14ac:dyDescent="0.3">
      <c r="A297" s="5" t="s">
        <v>2161</v>
      </c>
      <c r="B297" s="8" t="s">
        <v>2174</v>
      </c>
      <c r="C297" s="5"/>
      <c r="D297" s="5" t="s">
        <v>2173</v>
      </c>
      <c r="E297" s="5"/>
      <c r="F297" s="5"/>
      <c r="G297" s="5" t="s">
        <v>38</v>
      </c>
      <c r="H297" s="5"/>
      <c r="I297" s="5"/>
      <c r="J297" s="5"/>
      <c r="K297" s="5"/>
      <c r="L297" s="5"/>
      <c r="M297" s="5"/>
      <c r="N297" s="5"/>
      <c r="O297" s="5"/>
    </row>
    <row r="298" spans="1:15" x14ac:dyDescent="0.3">
      <c r="A298" s="5" t="s">
        <v>2161</v>
      </c>
      <c r="B298" s="8" t="s">
        <v>2175</v>
      </c>
      <c r="C298" s="5">
        <v>23</v>
      </c>
      <c r="D298" s="5" t="s">
        <v>2176</v>
      </c>
      <c r="E298" s="5"/>
      <c r="F298" s="5"/>
      <c r="G298" s="5" t="s">
        <v>38</v>
      </c>
      <c r="H298" s="5"/>
      <c r="I298" s="5"/>
      <c r="J298" s="5"/>
      <c r="K298" s="5"/>
      <c r="L298" s="5"/>
      <c r="M298" s="5"/>
      <c r="N298" s="5"/>
      <c r="O298" s="5"/>
    </row>
    <row r="299" spans="1:15" x14ac:dyDescent="0.3">
      <c r="A299" s="5" t="s">
        <v>2161</v>
      </c>
      <c r="B299" s="8" t="s">
        <v>2177</v>
      </c>
      <c r="C299" s="5">
        <v>24</v>
      </c>
      <c r="D299" s="5" t="s">
        <v>2176</v>
      </c>
      <c r="E299" s="5"/>
      <c r="F299" s="5"/>
      <c r="G299" s="5" t="s">
        <v>38</v>
      </c>
      <c r="H299" s="5"/>
      <c r="I299" s="5"/>
      <c r="J299" s="5"/>
      <c r="K299" s="5"/>
      <c r="L299" s="5"/>
      <c r="M299" s="5"/>
      <c r="N299" s="5"/>
      <c r="O299" s="5"/>
    </row>
    <row r="300" spans="1:15" x14ac:dyDescent="0.3">
      <c r="A300" s="5" t="s">
        <v>2161</v>
      </c>
      <c r="B300" s="8" t="s">
        <v>2178</v>
      </c>
      <c r="C300" s="5">
        <v>25</v>
      </c>
      <c r="D300" s="5" t="s">
        <v>2179</v>
      </c>
      <c r="E300" s="5"/>
      <c r="F300" s="5"/>
      <c r="G300" s="5" t="s">
        <v>38</v>
      </c>
      <c r="H300" s="5"/>
      <c r="I300" s="5"/>
      <c r="J300" s="5"/>
      <c r="K300" s="5"/>
      <c r="L300" s="5"/>
      <c r="M300" s="5"/>
      <c r="N300" s="5"/>
      <c r="O300" s="5"/>
    </row>
    <row r="301" spans="1:15" x14ac:dyDescent="0.3">
      <c r="A301" s="5" t="s">
        <v>2161</v>
      </c>
      <c r="B301" s="8" t="s">
        <v>2180</v>
      </c>
      <c r="C301" s="5">
        <v>25</v>
      </c>
      <c r="D301" s="5" t="s">
        <v>2179</v>
      </c>
      <c r="E301" s="5"/>
      <c r="F301" s="5"/>
      <c r="G301" s="5" t="s">
        <v>38</v>
      </c>
      <c r="H301" s="5"/>
      <c r="I301" s="5"/>
      <c r="J301" s="5"/>
      <c r="K301" s="5"/>
      <c r="L301" s="5"/>
      <c r="M301" s="5"/>
      <c r="N301" s="5"/>
      <c r="O301" s="5"/>
    </row>
    <row r="302" spans="1:15" x14ac:dyDescent="0.3">
      <c r="A302" s="5" t="s">
        <v>2161</v>
      </c>
      <c r="B302" s="8" t="s">
        <v>2181</v>
      </c>
      <c r="C302" s="5">
        <v>24</v>
      </c>
      <c r="D302" s="8" t="s">
        <v>2182</v>
      </c>
      <c r="E302" s="5"/>
      <c r="F302" s="5"/>
      <c r="G302" s="5" t="s">
        <v>38</v>
      </c>
      <c r="H302" s="5"/>
      <c r="I302" s="5"/>
      <c r="J302" s="5"/>
      <c r="K302" s="5" t="s">
        <v>2183</v>
      </c>
      <c r="L302" s="5" t="s">
        <v>2184</v>
      </c>
      <c r="M302" s="5"/>
      <c r="N302" s="5"/>
      <c r="O302" s="5"/>
    </row>
    <row r="303" spans="1:15" x14ac:dyDescent="0.3">
      <c r="A303" s="5" t="s">
        <v>2161</v>
      </c>
      <c r="B303" s="8" t="s">
        <v>2185</v>
      </c>
      <c r="C303" s="5">
        <v>24</v>
      </c>
      <c r="D303" s="5" t="s">
        <v>2186</v>
      </c>
      <c r="E303" s="5"/>
      <c r="F303" s="5"/>
      <c r="G303" s="5" t="s">
        <v>38</v>
      </c>
      <c r="H303" s="5"/>
      <c r="I303" s="5"/>
      <c r="J303" s="5"/>
      <c r="K303" s="5"/>
      <c r="L303" s="5"/>
      <c r="M303" s="5"/>
      <c r="N303" s="5"/>
      <c r="O303" s="5"/>
    </row>
    <row r="304" spans="1:15" x14ac:dyDescent="0.3">
      <c r="A304" s="5" t="s">
        <v>2161</v>
      </c>
      <c r="B304" s="8" t="s">
        <v>2187</v>
      </c>
      <c r="C304" s="5">
        <v>25</v>
      </c>
      <c r="D304" s="5" t="s">
        <v>2188</v>
      </c>
      <c r="E304" s="5"/>
      <c r="F304" s="5"/>
      <c r="G304" s="5" t="s">
        <v>38</v>
      </c>
      <c r="H304" s="5"/>
      <c r="I304" s="5"/>
      <c r="J304" s="5"/>
      <c r="K304" s="5" t="s">
        <v>1826</v>
      </c>
      <c r="L304" s="5" t="s">
        <v>1827</v>
      </c>
      <c r="M304" s="5"/>
      <c r="N304" s="5"/>
      <c r="O304" s="5"/>
    </row>
    <row r="305" spans="1:15" x14ac:dyDescent="0.3">
      <c r="A305" s="5" t="s">
        <v>2161</v>
      </c>
      <c r="B305" s="8" t="s">
        <v>2189</v>
      </c>
      <c r="C305" s="5">
        <v>25</v>
      </c>
      <c r="D305" s="5" t="s">
        <v>2188</v>
      </c>
      <c r="E305" s="5"/>
      <c r="F305" s="5"/>
      <c r="G305" s="5" t="s">
        <v>38</v>
      </c>
      <c r="H305" s="5"/>
      <c r="I305" s="5"/>
      <c r="J305" s="5"/>
      <c r="K305" s="5" t="s">
        <v>1826</v>
      </c>
      <c r="L305" s="5" t="s">
        <v>1827</v>
      </c>
      <c r="M305" s="5"/>
      <c r="N305" s="5"/>
      <c r="O305" s="5"/>
    </row>
    <row r="306" spans="1:15" x14ac:dyDescent="0.3">
      <c r="A306" s="5" t="s">
        <v>2161</v>
      </c>
      <c r="B306" s="8" t="s">
        <v>2190</v>
      </c>
      <c r="C306" s="5">
        <v>110</v>
      </c>
      <c r="D306" s="5" t="s">
        <v>2191</v>
      </c>
      <c r="E306" s="5"/>
      <c r="F306" s="5"/>
      <c r="G306" s="5" t="s">
        <v>38</v>
      </c>
      <c r="H306" s="5"/>
      <c r="I306" s="5"/>
      <c r="J306" s="5"/>
      <c r="K306" s="5"/>
      <c r="L306" s="5"/>
      <c r="M306" s="5"/>
      <c r="N306" s="5"/>
      <c r="O306" s="5"/>
    </row>
    <row r="307" spans="1:15" x14ac:dyDescent="0.3">
      <c r="A307" s="5" t="s">
        <v>2161</v>
      </c>
      <c r="B307" s="8" t="s">
        <v>2192</v>
      </c>
      <c r="C307" s="5"/>
      <c r="D307" s="5" t="s">
        <v>2191</v>
      </c>
      <c r="E307" s="5"/>
      <c r="F307" s="5"/>
      <c r="G307" s="5" t="s">
        <v>38</v>
      </c>
      <c r="H307" s="5"/>
      <c r="I307" s="5"/>
      <c r="J307" s="5"/>
      <c r="K307" s="5"/>
      <c r="L307" s="5"/>
      <c r="M307" s="5"/>
      <c r="N307" s="5"/>
      <c r="O307" s="5"/>
    </row>
    <row r="308" spans="1:15" x14ac:dyDescent="0.3">
      <c r="A308" s="5" t="s">
        <v>2161</v>
      </c>
      <c r="B308" s="8" t="s">
        <v>2193</v>
      </c>
      <c r="C308" s="5">
        <v>284</v>
      </c>
      <c r="D308" s="5" t="s">
        <v>2194</v>
      </c>
      <c r="E308" s="5"/>
      <c r="F308" s="5"/>
      <c r="G308" s="5" t="s">
        <v>38</v>
      </c>
      <c r="H308" s="5"/>
      <c r="I308" s="5"/>
      <c r="J308" s="5"/>
      <c r="K308" s="5"/>
      <c r="L308" s="5"/>
      <c r="M308" s="5"/>
      <c r="N308" s="5"/>
      <c r="O308" s="5"/>
    </row>
    <row r="309" spans="1:15" x14ac:dyDescent="0.3">
      <c r="A309" s="5" t="s">
        <v>2161</v>
      </c>
      <c r="B309" s="8" t="s">
        <v>2195</v>
      </c>
      <c r="C309" s="5"/>
      <c r="D309" s="5" t="s">
        <v>2194</v>
      </c>
      <c r="E309" s="5"/>
      <c r="F309" s="5"/>
      <c r="G309" s="5" t="s">
        <v>38</v>
      </c>
      <c r="H309" s="5"/>
      <c r="I309" s="5"/>
      <c r="J309" s="5"/>
      <c r="K309" s="5"/>
      <c r="L309" s="5"/>
      <c r="M309" s="5"/>
      <c r="N309" s="5"/>
      <c r="O309" s="5"/>
    </row>
    <row r="310" spans="1:15" x14ac:dyDescent="0.3">
      <c r="A310" s="5" t="s">
        <v>2161</v>
      </c>
      <c r="B310" s="8" t="s">
        <v>2196</v>
      </c>
      <c r="C310" s="5"/>
      <c r="D310" s="5" t="s">
        <v>2194</v>
      </c>
      <c r="E310" s="5"/>
      <c r="F310" s="5"/>
      <c r="G310" s="5" t="s">
        <v>38</v>
      </c>
      <c r="H310" s="5"/>
      <c r="I310" s="5"/>
      <c r="J310" s="5"/>
      <c r="K310" s="5"/>
      <c r="L310" s="5"/>
      <c r="M310" s="5"/>
      <c r="N310" s="5"/>
      <c r="O310" s="5"/>
    </row>
    <row r="311" spans="1:15" x14ac:dyDescent="0.3">
      <c r="A311" s="5" t="s">
        <v>2161</v>
      </c>
      <c r="B311" s="8" t="s">
        <v>2197</v>
      </c>
      <c r="C311" s="5"/>
      <c r="D311" s="5" t="s">
        <v>2194</v>
      </c>
      <c r="E311" s="5"/>
      <c r="F311" s="5"/>
      <c r="G311" s="5" t="s">
        <v>38</v>
      </c>
      <c r="H311" s="5"/>
      <c r="I311" s="5"/>
      <c r="J311" s="5"/>
      <c r="K311" s="5"/>
      <c r="L311" s="5"/>
      <c r="M311" s="5"/>
      <c r="N311" s="5"/>
      <c r="O311" s="5"/>
    </row>
    <row r="312" spans="1:15" x14ac:dyDescent="0.3">
      <c r="A312" s="5" t="s">
        <v>2161</v>
      </c>
      <c r="B312" s="8" t="s">
        <v>2198</v>
      </c>
      <c r="C312" s="5">
        <v>71.400000000000006</v>
      </c>
      <c r="D312" s="5" t="s">
        <v>2116</v>
      </c>
      <c r="E312" s="5"/>
      <c r="F312" s="5"/>
      <c r="G312" s="5" t="s">
        <v>38</v>
      </c>
      <c r="H312" s="5"/>
      <c r="I312" s="5"/>
      <c r="J312" s="5"/>
      <c r="K312" s="5"/>
      <c r="L312" s="5"/>
      <c r="M312" s="5"/>
      <c r="N312" s="5"/>
      <c r="O312" s="5"/>
    </row>
    <row r="313" spans="1:15" x14ac:dyDescent="0.3">
      <c r="A313" s="5" t="s">
        <v>2161</v>
      </c>
      <c r="B313" s="8" t="s">
        <v>2199</v>
      </c>
      <c r="C313" s="5">
        <v>52.7</v>
      </c>
      <c r="D313" s="5" t="s">
        <v>2116</v>
      </c>
      <c r="E313" s="5"/>
      <c r="F313" s="5"/>
      <c r="G313" s="5" t="s">
        <v>38</v>
      </c>
      <c r="H313" s="5"/>
      <c r="I313" s="5"/>
      <c r="J313" s="5"/>
      <c r="K313" s="5"/>
      <c r="L313" s="5"/>
      <c r="M313" s="5"/>
      <c r="N313" s="5"/>
      <c r="O313" s="5"/>
    </row>
    <row r="314" spans="1:15" x14ac:dyDescent="0.3">
      <c r="A314" s="5" t="s">
        <v>2200</v>
      </c>
      <c r="B314" s="8" t="s">
        <v>2201</v>
      </c>
      <c r="C314" s="5"/>
      <c r="D314" s="5" t="s">
        <v>2194</v>
      </c>
      <c r="E314" s="5"/>
      <c r="F314" s="5"/>
      <c r="G314" s="5" t="s">
        <v>38</v>
      </c>
      <c r="H314" s="5"/>
      <c r="I314" s="5"/>
      <c r="J314" s="5"/>
      <c r="K314" s="5"/>
      <c r="L314" s="5"/>
      <c r="M314" s="5"/>
      <c r="N314" s="5"/>
      <c r="O314" s="5"/>
    </row>
    <row r="315" spans="1:15" x14ac:dyDescent="0.3">
      <c r="A315" s="5" t="s">
        <v>2200</v>
      </c>
      <c r="B315" s="8" t="s">
        <v>2202</v>
      </c>
      <c r="C315" s="5"/>
      <c r="D315" s="5" t="s">
        <v>2194</v>
      </c>
      <c r="E315" s="5"/>
      <c r="F315" s="5"/>
      <c r="G315" s="5" t="s">
        <v>38</v>
      </c>
      <c r="H315" s="5"/>
      <c r="I315" s="5"/>
      <c r="J315" s="5"/>
      <c r="K315" s="5"/>
      <c r="L315" s="5"/>
      <c r="M315" s="5"/>
      <c r="N315" s="5"/>
      <c r="O315" s="5"/>
    </row>
    <row r="316" spans="1:15" x14ac:dyDescent="0.3">
      <c r="A316" s="5" t="s">
        <v>2200</v>
      </c>
      <c r="B316" s="8" t="s">
        <v>2203</v>
      </c>
      <c r="C316" s="5"/>
      <c r="D316" s="5" t="s">
        <v>2194</v>
      </c>
      <c r="E316" s="5"/>
      <c r="F316" s="5"/>
      <c r="G316" s="5" t="s">
        <v>38</v>
      </c>
      <c r="H316" s="5"/>
      <c r="I316" s="5"/>
      <c r="J316" s="5"/>
      <c r="K316" s="5"/>
      <c r="L316" s="5"/>
      <c r="M316" s="5"/>
      <c r="N316" s="5"/>
      <c r="O316" s="5"/>
    </row>
    <row r="317" spans="1:15" x14ac:dyDescent="0.3">
      <c r="A317" s="5" t="s">
        <v>2200</v>
      </c>
      <c r="B317" s="8" t="s">
        <v>2204</v>
      </c>
      <c r="C317" s="5"/>
      <c r="D317" s="5" t="s">
        <v>2191</v>
      </c>
      <c r="E317" s="5"/>
      <c r="F317" s="5"/>
      <c r="G317" s="5" t="s">
        <v>38</v>
      </c>
      <c r="H317" s="5"/>
      <c r="I317" s="5"/>
      <c r="J317" s="5"/>
      <c r="K317" s="5"/>
      <c r="L317" s="5"/>
      <c r="M317" s="5"/>
      <c r="N317" s="5"/>
      <c r="O317" s="5"/>
    </row>
    <row r="318" spans="1:15" x14ac:dyDescent="0.3">
      <c r="A318" s="5" t="s">
        <v>2200</v>
      </c>
      <c r="B318" s="8" t="s">
        <v>2205</v>
      </c>
      <c r="C318" s="5"/>
      <c r="D318" s="5" t="s">
        <v>2191</v>
      </c>
      <c r="E318" s="5"/>
      <c r="F318" s="5"/>
      <c r="G318" s="5" t="s">
        <v>38</v>
      </c>
      <c r="H318" s="5"/>
      <c r="I318" s="5"/>
      <c r="J318" s="5"/>
      <c r="K318" s="5"/>
      <c r="L318" s="5"/>
      <c r="M318" s="5"/>
      <c r="N318" s="5"/>
      <c r="O318" s="5"/>
    </row>
    <row r="319" spans="1:15" x14ac:dyDescent="0.3">
      <c r="A319" s="5" t="s">
        <v>2200</v>
      </c>
      <c r="B319" s="8" t="s">
        <v>2206</v>
      </c>
      <c r="C319" s="5">
        <v>16</v>
      </c>
      <c r="D319" s="5" t="s">
        <v>2188</v>
      </c>
      <c r="E319" s="5"/>
      <c r="F319" s="5"/>
      <c r="G319" s="5" t="s">
        <v>38</v>
      </c>
      <c r="H319" s="5"/>
      <c r="I319" s="5"/>
      <c r="J319" s="5"/>
      <c r="K319" s="5" t="s">
        <v>1826</v>
      </c>
      <c r="L319" s="5" t="s">
        <v>1827</v>
      </c>
      <c r="M319" s="5"/>
      <c r="N319" s="5"/>
      <c r="O319" s="5"/>
    </row>
    <row r="320" spans="1:15" x14ac:dyDescent="0.3">
      <c r="A320" s="5" t="s">
        <v>2200</v>
      </c>
      <c r="B320" s="8" t="s">
        <v>2207</v>
      </c>
      <c r="C320" s="5">
        <v>16</v>
      </c>
      <c r="D320" s="5" t="s">
        <v>2188</v>
      </c>
      <c r="E320" s="5"/>
      <c r="F320" s="5"/>
      <c r="G320" s="5" t="s">
        <v>38</v>
      </c>
      <c r="H320" s="5"/>
      <c r="I320" s="5"/>
      <c r="J320" s="5"/>
      <c r="K320" s="5" t="s">
        <v>1826</v>
      </c>
      <c r="L320" s="5" t="s">
        <v>1827</v>
      </c>
      <c r="M320" s="5"/>
      <c r="N320" s="5"/>
      <c r="O320" s="5"/>
    </row>
    <row r="321" spans="1:15" x14ac:dyDescent="0.3">
      <c r="A321" s="5" t="s">
        <v>2200</v>
      </c>
      <c r="B321" s="8" t="s">
        <v>2208</v>
      </c>
      <c r="C321" s="5">
        <v>20</v>
      </c>
      <c r="D321" s="5" t="s">
        <v>2186</v>
      </c>
      <c r="E321" s="5"/>
      <c r="F321" s="5"/>
      <c r="G321" s="5" t="s">
        <v>38</v>
      </c>
      <c r="H321" s="5"/>
      <c r="I321" s="5"/>
      <c r="J321" s="5"/>
      <c r="K321" s="5"/>
      <c r="L321" s="5"/>
      <c r="M321" s="5"/>
      <c r="N321" s="5"/>
      <c r="O321" s="5"/>
    </row>
    <row r="322" spans="1:15" x14ac:dyDescent="0.3">
      <c r="A322" s="5" t="s">
        <v>2200</v>
      </c>
      <c r="B322" s="8" t="s">
        <v>2209</v>
      </c>
      <c r="C322" s="5">
        <v>21</v>
      </c>
      <c r="D322" s="5" t="s">
        <v>2182</v>
      </c>
      <c r="E322" s="5"/>
      <c r="F322" s="5"/>
      <c r="G322" s="5" t="s">
        <v>38</v>
      </c>
      <c r="H322" s="5"/>
      <c r="I322" s="5"/>
      <c r="J322" s="5"/>
      <c r="K322" s="5"/>
      <c r="L322" s="5"/>
      <c r="M322" s="5"/>
      <c r="N322" s="5"/>
      <c r="O322" s="5"/>
    </row>
    <row r="323" spans="1:15" x14ac:dyDescent="0.3">
      <c r="A323" s="5" t="s">
        <v>2200</v>
      </c>
      <c r="B323" s="8" t="s">
        <v>2210</v>
      </c>
      <c r="C323" s="5">
        <v>14</v>
      </c>
      <c r="D323" s="5" t="s">
        <v>2179</v>
      </c>
      <c r="E323" s="5"/>
      <c r="F323" s="5"/>
      <c r="G323" s="5" t="s">
        <v>38</v>
      </c>
      <c r="H323" s="5"/>
      <c r="I323" s="5"/>
      <c r="J323" s="5"/>
      <c r="K323" s="5"/>
      <c r="L323" s="5"/>
      <c r="M323" s="5"/>
      <c r="N323" s="5"/>
      <c r="O323" s="5"/>
    </row>
    <row r="324" spans="1:15" x14ac:dyDescent="0.3">
      <c r="A324" s="5" t="s">
        <v>2200</v>
      </c>
      <c r="B324" s="8" t="s">
        <v>2211</v>
      </c>
      <c r="C324" s="5">
        <v>14</v>
      </c>
      <c r="D324" s="5" t="s">
        <v>2179</v>
      </c>
      <c r="E324" s="5"/>
      <c r="F324" s="5"/>
      <c r="G324" s="5" t="s">
        <v>38</v>
      </c>
      <c r="H324" s="5"/>
      <c r="I324" s="5"/>
      <c r="J324" s="5"/>
      <c r="K324" s="5"/>
      <c r="L324" s="5"/>
      <c r="M324" s="5"/>
      <c r="N324" s="5"/>
      <c r="O324" s="5"/>
    </row>
    <row r="325" spans="1:15" x14ac:dyDescent="0.3">
      <c r="A325" s="5" t="s">
        <v>2200</v>
      </c>
      <c r="B325" s="8" t="s">
        <v>2212</v>
      </c>
      <c r="C325" s="5">
        <v>14</v>
      </c>
      <c r="D325" s="5" t="s">
        <v>2176</v>
      </c>
      <c r="E325" s="5"/>
      <c r="F325" s="5"/>
      <c r="G325" s="5" t="s">
        <v>38</v>
      </c>
      <c r="H325" s="5"/>
      <c r="I325" s="5"/>
      <c r="J325" s="5"/>
      <c r="K325" s="5"/>
      <c r="L325" s="5"/>
      <c r="M325" s="5"/>
      <c r="N325" s="5"/>
      <c r="O325" s="5"/>
    </row>
    <row r="326" spans="1:15" x14ac:dyDescent="0.3">
      <c r="A326" s="5" t="s">
        <v>2200</v>
      </c>
      <c r="B326" s="8" t="s">
        <v>2213</v>
      </c>
      <c r="C326" s="5">
        <v>14</v>
      </c>
      <c r="D326" s="5" t="s">
        <v>2176</v>
      </c>
      <c r="E326" s="5"/>
      <c r="F326" s="5"/>
      <c r="G326" s="5" t="s">
        <v>38</v>
      </c>
      <c r="H326" s="5"/>
      <c r="I326" s="5"/>
      <c r="J326" s="5"/>
      <c r="K326" s="5"/>
      <c r="L326" s="5"/>
      <c r="M326" s="5"/>
      <c r="N326" s="5"/>
      <c r="O326" s="5"/>
    </row>
    <row r="327" spans="1:15" x14ac:dyDescent="0.3">
      <c r="A327" s="12" t="s">
        <v>2200</v>
      </c>
      <c r="B327" s="13" t="s">
        <v>2214</v>
      </c>
      <c r="C327" s="12">
        <v>20</v>
      </c>
      <c r="D327" s="13" t="s">
        <v>2215</v>
      </c>
      <c r="E327" s="5"/>
      <c r="F327" s="5"/>
      <c r="G327" s="5" t="s">
        <v>38</v>
      </c>
      <c r="H327" s="5"/>
      <c r="I327" s="5"/>
      <c r="J327" s="5"/>
      <c r="K327" s="5"/>
      <c r="L327" s="5"/>
      <c r="M327" s="5"/>
      <c r="N327" s="5"/>
      <c r="O327" s="5"/>
    </row>
    <row r="328" spans="1:15" x14ac:dyDescent="0.3">
      <c r="A328" s="5" t="s">
        <v>2216</v>
      </c>
      <c r="B328" s="8" t="s">
        <v>2217</v>
      </c>
      <c r="C328" s="5">
        <v>36.6</v>
      </c>
      <c r="D328" s="5" t="s">
        <v>2218</v>
      </c>
      <c r="E328" s="5"/>
      <c r="F328" s="5"/>
      <c r="G328" s="5" t="s">
        <v>38</v>
      </c>
      <c r="H328" s="5"/>
      <c r="I328" s="5"/>
      <c r="J328" s="5"/>
      <c r="K328" s="5"/>
      <c r="L328" s="5"/>
      <c r="M328" s="5"/>
      <c r="N328" s="5"/>
      <c r="O328" s="5"/>
    </row>
    <row r="329" spans="1:15" x14ac:dyDescent="0.3">
      <c r="A329" s="5" t="s">
        <v>2216</v>
      </c>
      <c r="B329" s="8" t="s">
        <v>2219</v>
      </c>
      <c r="C329" s="5">
        <v>36.6</v>
      </c>
      <c r="D329" s="5" t="s">
        <v>2218</v>
      </c>
      <c r="E329" s="5"/>
      <c r="F329" s="5"/>
      <c r="G329" s="5" t="s">
        <v>38</v>
      </c>
      <c r="H329" s="5"/>
      <c r="I329" s="5"/>
      <c r="J329" s="5"/>
      <c r="K329" s="5"/>
      <c r="L329" s="5"/>
      <c r="M329" s="5"/>
      <c r="N329" s="5"/>
      <c r="O329" s="5"/>
    </row>
    <row r="330" spans="1:15" x14ac:dyDescent="0.3">
      <c r="A330" s="5" t="s">
        <v>2216</v>
      </c>
      <c r="B330" s="8" t="s">
        <v>2220</v>
      </c>
      <c r="C330" s="5">
        <v>35</v>
      </c>
      <c r="D330" s="5" t="s">
        <v>2218</v>
      </c>
      <c r="E330" s="5"/>
      <c r="F330" s="5"/>
      <c r="G330" s="5" t="s">
        <v>38</v>
      </c>
      <c r="H330" s="5"/>
      <c r="I330" s="5"/>
      <c r="J330" s="5"/>
      <c r="K330" s="5"/>
      <c r="L330" s="5"/>
      <c r="M330" s="5"/>
      <c r="N330" s="5"/>
      <c r="O330" s="5"/>
    </row>
    <row r="331" spans="1:15" x14ac:dyDescent="0.3">
      <c r="A331" s="5" t="s">
        <v>2216</v>
      </c>
      <c r="B331" s="8" t="s">
        <v>2221</v>
      </c>
      <c r="C331" s="5">
        <v>38.299999999999997</v>
      </c>
      <c r="D331" s="5" t="s">
        <v>2218</v>
      </c>
      <c r="E331" s="5"/>
      <c r="F331" s="5"/>
      <c r="G331" s="5" t="s">
        <v>38</v>
      </c>
      <c r="H331" s="5"/>
      <c r="I331" s="5"/>
      <c r="J331" s="5"/>
      <c r="K331" s="5"/>
      <c r="L331" s="5"/>
      <c r="M331" s="5"/>
      <c r="N331" s="5"/>
      <c r="O331" s="5"/>
    </row>
    <row r="332" spans="1:15" x14ac:dyDescent="0.3">
      <c r="A332" s="5" t="s">
        <v>2216</v>
      </c>
      <c r="B332" s="8" t="s">
        <v>2222</v>
      </c>
      <c r="C332" s="5">
        <v>38.299999999999997</v>
      </c>
      <c r="D332" s="5" t="s">
        <v>2218</v>
      </c>
      <c r="E332" s="5"/>
      <c r="F332" s="5"/>
      <c r="G332" s="5" t="s">
        <v>38</v>
      </c>
      <c r="H332" s="5"/>
      <c r="I332" s="5"/>
      <c r="J332" s="5"/>
      <c r="K332" s="5"/>
      <c r="L332" s="5"/>
      <c r="M332" s="5"/>
      <c r="N332" s="5"/>
      <c r="O332" s="5"/>
    </row>
    <row r="333" spans="1:15" x14ac:dyDescent="0.3">
      <c r="A333" s="5" t="s">
        <v>2216</v>
      </c>
      <c r="B333" s="8" t="s">
        <v>2223</v>
      </c>
      <c r="C333" s="5">
        <v>40</v>
      </c>
      <c r="D333" s="5" t="s">
        <v>2218</v>
      </c>
      <c r="E333" s="5"/>
      <c r="F333" s="5"/>
      <c r="G333" s="5" t="s">
        <v>38</v>
      </c>
      <c r="H333" s="5"/>
      <c r="I333" s="5"/>
      <c r="J333" s="5"/>
      <c r="K333" s="5"/>
      <c r="L333" s="5"/>
      <c r="M333" s="5"/>
      <c r="N333" s="5"/>
      <c r="O333" s="5"/>
    </row>
    <row r="334" spans="1:15" x14ac:dyDescent="0.3">
      <c r="A334" s="5" t="s">
        <v>2216</v>
      </c>
      <c r="B334" s="8" t="s">
        <v>2224</v>
      </c>
      <c r="C334" s="5">
        <v>38.299999999999997</v>
      </c>
      <c r="D334" s="5" t="s">
        <v>2218</v>
      </c>
      <c r="E334" s="5"/>
      <c r="F334" s="5"/>
      <c r="G334" s="5" t="s">
        <v>38</v>
      </c>
      <c r="H334" s="5"/>
      <c r="I334" s="5"/>
      <c r="J334" s="5"/>
      <c r="K334" s="5"/>
      <c r="L334" s="5"/>
      <c r="M334" s="5"/>
      <c r="N334" s="5"/>
      <c r="O334" s="5"/>
    </row>
    <row r="335" spans="1:15" x14ac:dyDescent="0.3">
      <c r="A335" s="5" t="s">
        <v>2216</v>
      </c>
      <c r="B335" s="8" t="s">
        <v>2225</v>
      </c>
      <c r="C335" s="5">
        <v>38.299999999999997</v>
      </c>
      <c r="D335" s="5" t="s">
        <v>2218</v>
      </c>
      <c r="E335" s="5"/>
      <c r="F335" s="5"/>
      <c r="G335" s="5" t="s">
        <v>38</v>
      </c>
      <c r="H335" s="5"/>
      <c r="I335" s="5"/>
      <c r="J335" s="5"/>
      <c r="K335" s="5"/>
      <c r="L335" s="5"/>
      <c r="M335" s="5"/>
      <c r="N335" s="5"/>
      <c r="O335" s="5"/>
    </row>
    <row r="336" spans="1:15" x14ac:dyDescent="0.3">
      <c r="A336" s="5" t="s">
        <v>2216</v>
      </c>
      <c r="B336" s="8" t="s">
        <v>2226</v>
      </c>
      <c r="C336" s="5">
        <v>38.299999999999997</v>
      </c>
      <c r="D336" s="5" t="s">
        <v>2218</v>
      </c>
      <c r="E336" s="5"/>
      <c r="F336" s="5"/>
      <c r="G336" s="5" t="s">
        <v>38</v>
      </c>
      <c r="H336" s="5"/>
      <c r="I336" s="5"/>
      <c r="J336" s="5"/>
      <c r="K336" s="5"/>
      <c r="L336" s="5"/>
      <c r="M336" s="5"/>
      <c r="N336" s="5"/>
      <c r="O336" s="5"/>
    </row>
    <row r="337" spans="1:15" x14ac:dyDescent="0.3">
      <c r="A337" s="6" t="s">
        <v>2227</v>
      </c>
      <c r="B337" s="7" t="s">
        <v>2228</v>
      </c>
      <c r="C337" s="6">
        <v>570</v>
      </c>
      <c r="D337" s="6" t="s">
        <v>2229</v>
      </c>
      <c r="E337" s="5"/>
      <c r="F337" s="5"/>
      <c r="G337" s="5" t="s">
        <v>38</v>
      </c>
      <c r="H337" s="5"/>
      <c r="I337" s="5"/>
      <c r="J337" s="5"/>
      <c r="K337" s="5"/>
      <c r="L337" s="5"/>
      <c r="M337" s="5"/>
      <c r="N337" s="5"/>
      <c r="O337" s="5"/>
    </row>
    <row r="338" spans="1:15" x14ac:dyDescent="0.3">
      <c r="A338" s="6" t="s">
        <v>2227</v>
      </c>
      <c r="B338" s="7" t="s">
        <v>2230</v>
      </c>
      <c r="C338" s="6"/>
      <c r="D338" s="6" t="s">
        <v>2229</v>
      </c>
      <c r="E338" s="5"/>
      <c r="F338" s="5"/>
      <c r="G338" s="5" t="s">
        <v>38</v>
      </c>
      <c r="H338" s="5"/>
      <c r="I338" s="5"/>
      <c r="J338" s="5"/>
      <c r="K338" s="5"/>
      <c r="L338" s="5"/>
      <c r="M338" s="5"/>
      <c r="N338" s="5"/>
      <c r="O338" s="5"/>
    </row>
    <row r="339" spans="1:15" x14ac:dyDescent="0.3">
      <c r="A339" s="6" t="s">
        <v>2227</v>
      </c>
      <c r="B339" s="7" t="s">
        <v>2231</v>
      </c>
      <c r="C339" s="6"/>
      <c r="D339" s="6" t="s">
        <v>2229</v>
      </c>
      <c r="E339" s="5"/>
      <c r="F339" s="5"/>
      <c r="G339" s="5" t="s">
        <v>38</v>
      </c>
      <c r="H339" s="5"/>
      <c r="I339" s="5"/>
      <c r="J339" s="5"/>
      <c r="K339" s="5"/>
      <c r="L339" s="5"/>
      <c r="M339" s="5"/>
      <c r="N339" s="5"/>
      <c r="O339" s="5"/>
    </row>
    <row r="340" spans="1:15" x14ac:dyDescent="0.3">
      <c r="A340" s="6" t="s">
        <v>2227</v>
      </c>
      <c r="B340" s="7" t="s">
        <v>2232</v>
      </c>
      <c r="C340" s="6"/>
      <c r="D340" s="6" t="s">
        <v>2229</v>
      </c>
      <c r="E340" s="5"/>
      <c r="F340" s="5"/>
      <c r="G340" s="5" t="s">
        <v>38</v>
      </c>
      <c r="H340" s="5"/>
      <c r="I340" s="5"/>
      <c r="J340" s="5"/>
      <c r="K340" s="5"/>
      <c r="L340" s="5"/>
      <c r="M340" s="5"/>
      <c r="N340" s="5"/>
      <c r="O340" s="5"/>
    </row>
    <row r="341" spans="1:15" x14ac:dyDescent="0.3">
      <c r="A341" s="6" t="s">
        <v>2227</v>
      </c>
      <c r="B341" s="7" t="s">
        <v>2233</v>
      </c>
      <c r="C341" s="6"/>
      <c r="D341" s="6" t="s">
        <v>2229</v>
      </c>
      <c r="E341" s="5"/>
      <c r="F341" s="5"/>
      <c r="G341" s="5" t="s">
        <v>38</v>
      </c>
      <c r="H341" s="5"/>
      <c r="I341" s="5"/>
      <c r="J341" s="5"/>
      <c r="K341" s="5"/>
      <c r="L341" s="5"/>
      <c r="M341" s="5"/>
      <c r="N341" s="5"/>
      <c r="O341" s="5"/>
    </row>
    <row r="342" spans="1:15" x14ac:dyDescent="0.3">
      <c r="A342" s="6" t="s">
        <v>2227</v>
      </c>
      <c r="B342" s="7" t="s">
        <v>2234</v>
      </c>
      <c r="C342" s="6"/>
      <c r="D342" s="6" t="s">
        <v>2229</v>
      </c>
      <c r="E342" s="5"/>
      <c r="F342" s="5"/>
      <c r="G342" s="5" t="s">
        <v>38</v>
      </c>
      <c r="H342" s="5"/>
      <c r="I342" s="5"/>
      <c r="J342" s="5"/>
      <c r="K342" s="5"/>
      <c r="L342" s="5"/>
      <c r="M342" s="5"/>
      <c r="N342" s="5"/>
      <c r="O342" s="5"/>
    </row>
    <row r="343" spans="1:15" x14ac:dyDescent="0.3">
      <c r="A343" s="6" t="s">
        <v>2227</v>
      </c>
      <c r="B343" s="7" t="s">
        <v>2235</v>
      </c>
      <c r="C343" s="6"/>
      <c r="D343" s="6" t="s">
        <v>2229</v>
      </c>
      <c r="E343" s="5"/>
      <c r="F343" s="5"/>
      <c r="G343" s="5" t="s">
        <v>38</v>
      </c>
      <c r="H343" s="5"/>
      <c r="I343" s="5"/>
      <c r="J343" s="5"/>
      <c r="K343" s="5"/>
      <c r="L343" s="5"/>
      <c r="M343" s="5"/>
      <c r="N343" s="5"/>
      <c r="O343" s="5"/>
    </row>
    <row r="344" spans="1:15" x14ac:dyDescent="0.3">
      <c r="A344" s="6" t="s">
        <v>2227</v>
      </c>
      <c r="B344" s="7" t="s">
        <v>2236</v>
      </c>
      <c r="C344" s="6"/>
      <c r="D344" s="6" t="s">
        <v>2229</v>
      </c>
      <c r="E344" s="5"/>
      <c r="F344" s="5"/>
      <c r="G344" s="5" t="s">
        <v>38</v>
      </c>
      <c r="H344" s="5"/>
      <c r="I344" s="5"/>
      <c r="J344" s="5"/>
      <c r="K344" s="5"/>
      <c r="L344" s="5"/>
      <c r="M344" s="5"/>
      <c r="N344" s="5"/>
      <c r="O344" s="5"/>
    </row>
    <row r="345" spans="1:15" x14ac:dyDescent="0.3">
      <c r="A345" s="6" t="s">
        <v>2227</v>
      </c>
      <c r="B345" s="7" t="s">
        <v>2237</v>
      </c>
      <c r="C345" s="6"/>
      <c r="D345" s="6" t="s">
        <v>2229</v>
      </c>
      <c r="E345" s="5"/>
      <c r="F345" s="5"/>
      <c r="G345" s="5" t="s">
        <v>38</v>
      </c>
      <c r="H345" s="5"/>
      <c r="I345" s="5"/>
      <c r="J345" s="5"/>
      <c r="K345" s="5"/>
      <c r="L345" s="5"/>
      <c r="M345" s="5"/>
      <c r="N345" s="5"/>
      <c r="O345" s="5"/>
    </row>
    <row r="346" spans="1:15" x14ac:dyDescent="0.3">
      <c r="A346" s="6" t="s">
        <v>2227</v>
      </c>
      <c r="B346" s="7" t="s">
        <v>2238</v>
      </c>
      <c r="C346" s="6"/>
      <c r="D346" s="6" t="s">
        <v>2229</v>
      </c>
      <c r="E346" s="5"/>
      <c r="F346" s="5"/>
      <c r="G346" s="5" t="s">
        <v>38</v>
      </c>
      <c r="H346" s="5"/>
      <c r="I346" s="5"/>
      <c r="J346" s="5"/>
      <c r="K346" s="5"/>
      <c r="L346" s="5"/>
      <c r="M346" s="5"/>
      <c r="N346" s="5"/>
      <c r="O346" s="5"/>
    </row>
    <row r="347" spans="1:15" x14ac:dyDescent="0.3">
      <c r="A347" s="6" t="s">
        <v>2227</v>
      </c>
      <c r="B347" s="7" t="s">
        <v>2239</v>
      </c>
      <c r="C347" s="6"/>
      <c r="D347" s="6" t="s">
        <v>2229</v>
      </c>
      <c r="E347" s="5"/>
      <c r="F347" s="5"/>
      <c r="G347" s="5" t="s">
        <v>38</v>
      </c>
      <c r="H347" s="5"/>
      <c r="I347" s="5"/>
      <c r="J347" s="5"/>
      <c r="K347" s="5"/>
      <c r="L347" s="5"/>
      <c r="M347" s="5"/>
      <c r="N347" s="5"/>
      <c r="O347" s="5"/>
    </row>
    <row r="348" spans="1:15" x14ac:dyDescent="0.3">
      <c r="A348" s="6" t="s">
        <v>2227</v>
      </c>
      <c r="B348" s="7" t="s">
        <v>2240</v>
      </c>
      <c r="C348" s="6"/>
      <c r="D348" s="6" t="s">
        <v>2229</v>
      </c>
      <c r="E348" s="5"/>
      <c r="F348" s="5"/>
      <c r="G348" s="5" t="s">
        <v>38</v>
      </c>
      <c r="H348" s="5"/>
      <c r="I348" s="5"/>
      <c r="J348" s="5"/>
      <c r="K348" s="5"/>
      <c r="L348" s="5"/>
      <c r="M348" s="5"/>
      <c r="N348" s="5"/>
      <c r="O348" s="5"/>
    </row>
    <row r="349" spans="1:15" x14ac:dyDescent="0.3">
      <c r="A349" s="6" t="s">
        <v>2227</v>
      </c>
      <c r="B349" s="7" t="s">
        <v>2241</v>
      </c>
      <c r="C349" s="6"/>
      <c r="D349" s="6" t="s">
        <v>2229</v>
      </c>
      <c r="E349" s="5"/>
      <c r="F349" s="5"/>
      <c r="G349" s="5" t="s">
        <v>38</v>
      </c>
      <c r="H349" s="5"/>
      <c r="I349" s="5"/>
      <c r="J349" s="5"/>
      <c r="K349" s="5"/>
      <c r="L349" s="5"/>
      <c r="M349" s="5"/>
      <c r="N349" s="5"/>
      <c r="O349" s="5"/>
    </row>
    <row r="350" spans="1:15" x14ac:dyDescent="0.3">
      <c r="A350" s="6" t="s">
        <v>2227</v>
      </c>
      <c r="B350" s="7" t="s">
        <v>2242</v>
      </c>
      <c r="C350" s="6"/>
      <c r="D350" s="6" t="s">
        <v>2229</v>
      </c>
      <c r="E350" s="5"/>
      <c r="F350" s="5"/>
      <c r="G350" s="5" t="s">
        <v>38</v>
      </c>
      <c r="H350" s="5"/>
      <c r="I350" s="5"/>
      <c r="J350" s="5"/>
      <c r="K350" s="5"/>
      <c r="L350" s="5"/>
      <c r="M350" s="5"/>
      <c r="N350" s="5"/>
      <c r="O350" s="5"/>
    </row>
    <row r="351" spans="1:15" x14ac:dyDescent="0.3">
      <c r="A351" s="6" t="s">
        <v>2227</v>
      </c>
      <c r="B351" s="7" t="s">
        <v>2243</v>
      </c>
      <c r="C351" s="6"/>
      <c r="D351" s="6" t="s">
        <v>2229</v>
      </c>
      <c r="E351" s="5"/>
      <c r="F351" s="5"/>
      <c r="G351" s="5" t="s">
        <v>38</v>
      </c>
      <c r="H351" s="5"/>
      <c r="I351" s="5"/>
      <c r="J351" s="5"/>
      <c r="K351" s="5"/>
      <c r="L351" s="5"/>
      <c r="M351" s="5"/>
      <c r="N351" s="5"/>
      <c r="O351" s="5"/>
    </row>
    <row r="352" spans="1:15" x14ac:dyDescent="0.3">
      <c r="A352" s="6" t="s">
        <v>2227</v>
      </c>
      <c r="B352" s="7" t="s">
        <v>2244</v>
      </c>
      <c r="C352" s="6"/>
      <c r="D352" s="6" t="s">
        <v>2229</v>
      </c>
      <c r="E352" s="5"/>
      <c r="F352" s="5"/>
      <c r="G352" s="5" t="s">
        <v>38</v>
      </c>
      <c r="H352" s="5"/>
      <c r="I352" s="5"/>
      <c r="J352" s="5"/>
      <c r="K352" s="5"/>
      <c r="L352" s="5"/>
      <c r="M352" s="5"/>
      <c r="N352" s="5"/>
      <c r="O352" s="5"/>
    </row>
    <row r="353" spans="1:15" x14ac:dyDescent="0.3">
      <c r="A353" s="6" t="s">
        <v>2227</v>
      </c>
      <c r="B353" s="7" t="s">
        <v>2245</v>
      </c>
      <c r="C353" s="6"/>
      <c r="D353" s="6" t="s">
        <v>2229</v>
      </c>
      <c r="E353" s="5"/>
      <c r="F353" s="5"/>
      <c r="G353" s="5" t="s">
        <v>38</v>
      </c>
      <c r="H353" s="5"/>
      <c r="I353" s="5"/>
      <c r="J353" s="5"/>
      <c r="K353" s="5"/>
      <c r="L353" s="5"/>
      <c r="M353" s="5"/>
      <c r="N353" s="5"/>
      <c r="O353" s="5"/>
    </row>
    <row r="354" spans="1:15" x14ac:dyDescent="0.3">
      <c r="A354" s="6" t="s">
        <v>2227</v>
      </c>
      <c r="B354" s="7" t="s">
        <v>2246</v>
      </c>
      <c r="C354" s="6"/>
      <c r="D354" s="6" t="s">
        <v>2229</v>
      </c>
      <c r="E354" s="5"/>
      <c r="F354" s="5"/>
      <c r="G354" s="5" t="s">
        <v>38</v>
      </c>
      <c r="H354" s="5"/>
      <c r="I354" s="5"/>
      <c r="J354" s="5"/>
      <c r="K354" s="5"/>
      <c r="L354" s="5"/>
      <c r="M354" s="5"/>
      <c r="N354" s="5"/>
      <c r="O354" s="5"/>
    </row>
    <row r="355" spans="1:15" x14ac:dyDescent="0.3">
      <c r="A355" s="6" t="s">
        <v>2227</v>
      </c>
      <c r="B355" s="7" t="s">
        <v>2247</v>
      </c>
      <c r="C355" s="6"/>
      <c r="D355" s="6" t="s">
        <v>2229</v>
      </c>
      <c r="E355" s="5"/>
      <c r="F355" s="5"/>
      <c r="G355" s="5" t="s">
        <v>38</v>
      </c>
      <c r="H355" s="5"/>
      <c r="I355" s="5"/>
      <c r="J355" s="5"/>
      <c r="K355" s="5"/>
      <c r="L355" s="5"/>
      <c r="M355" s="5"/>
      <c r="N355" s="5"/>
      <c r="O355" s="5"/>
    </row>
    <row r="356" spans="1:15" x14ac:dyDescent="0.3">
      <c r="A356" s="6" t="s">
        <v>2227</v>
      </c>
      <c r="B356" s="7" t="s">
        <v>2248</v>
      </c>
      <c r="C356" s="6"/>
      <c r="D356" s="6" t="s">
        <v>2229</v>
      </c>
      <c r="E356" s="5"/>
      <c r="F356" s="5"/>
      <c r="G356" s="5" t="s">
        <v>38</v>
      </c>
      <c r="H356" s="5"/>
      <c r="I356" s="5"/>
      <c r="J356" s="5"/>
      <c r="K356" s="5"/>
      <c r="L356" s="5"/>
      <c r="M356" s="5"/>
      <c r="N356" s="5"/>
      <c r="O356" s="5"/>
    </row>
    <row r="357" spans="1:15" x14ac:dyDescent="0.3">
      <c r="A357" s="6" t="s">
        <v>2227</v>
      </c>
      <c r="B357" s="7" t="s">
        <v>2249</v>
      </c>
      <c r="C357" s="6"/>
      <c r="D357" s="6" t="s">
        <v>2229</v>
      </c>
      <c r="E357" s="5"/>
      <c r="F357" s="5"/>
      <c r="G357" s="5" t="s">
        <v>38</v>
      </c>
      <c r="H357" s="5"/>
      <c r="I357" s="5"/>
      <c r="J357" s="5"/>
      <c r="K357" s="5"/>
      <c r="L357" s="5"/>
      <c r="M357" s="5"/>
      <c r="N357" s="5"/>
      <c r="O357" s="5"/>
    </row>
    <row r="358" spans="1:15" x14ac:dyDescent="0.3">
      <c r="A358" s="6" t="s">
        <v>2227</v>
      </c>
      <c r="B358" s="7" t="s">
        <v>2250</v>
      </c>
      <c r="C358" s="6"/>
      <c r="D358" s="6" t="s">
        <v>2229</v>
      </c>
      <c r="E358" s="5"/>
      <c r="F358" s="5"/>
      <c r="G358" s="5" t="s">
        <v>38</v>
      </c>
      <c r="H358" s="5"/>
      <c r="I358" s="5"/>
      <c r="J358" s="5"/>
      <c r="K358" s="5"/>
      <c r="L358" s="5"/>
      <c r="M358" s="5"/>
      <c r="N358" s="5"/>
      <c r="O358" s="5"/>
    </row>
    <row r="359" spans="1:15" x14ac:dyDescent="0.3">
      <c r="A359" s="6" t="s">
        <v>2227</v>
      </c>
      <c r="B359" s="7" t="s">
        <v>2251</v>
      </c>
      <c r="C359" s="6"/>
      <c r="D359" s="6" t="s">
        <v>2229</v>
      </c>
      <c r="E359" s="5"/>
      <c r="F359" s="5"/>
      <c r="G359" s="5" t="s">
        <v>38</v>
      </c>
      <c r="H359" s="5"/>
      <c r="I359" s="5"/>
      <c r="J359" s="5"/>
      <c r="K359" s="5"/>
      <c r="L359" s="5"/>
      <c r="M359" s="5"/>
      <c r="N359" s="5"/>
      <c r="O359" s="5"/>
    </row>
    <row r="360" spans="1:15" x14ac:dyDescent="0.3">
      <c r="A360" s="6" t="s">
        <v>2227</v>
      </c>
      <c r="B360" s="7" t="s">
        <v>2252</v>
      </c>
      <c r="C360" s="6"/>
      <c r="D360" s="6" t="s">
        <v>2229</v>
      </c>
      <c r="E360" s="5"/>
      <c r="F360" s="5"/>
      <c r="G360" s="5" t="s">
        <v>38</v>
      </c>
      <c r="H360" s="5"/>
      <c r="I360" s="5"/>
      <c r="J360" s="5"/>
      <c r="K360" s="5"/>
      <c r="L360" s="5"/>
      <c r="M360" s="5"/>
      <c r="N360" s="5"/>
      <c r="O360" s="5"/>
    </row>
    <row r="361" spans="1:15" x14ac:dyDescent="0.3">
      <c r="A361" s="6" t="s">
        <v>2227</v>
      </c>
      <c r="B361" s="7" t="s">
        <v>2253</v>
      </c>
      <c r="C361" s="6"/>
      <c r="D361" s="6" t="s">
        <v>2229</v>
      </c>
      <c r="E361" s="5"/>
      <c r="F361" s="5"/>
      <c r="G361" s="5" t="s">
        <v>38</v>
      </c>
      <c r="H361" s="5"/>
      <c r="I361" s="5"/>
      <c r="J361" s="5"/>
      <c r="K361" s="5"/>
      <c r="L361" s="5"/>
      <c r="M361" s="5"/>
      <c r="N361" s="5"/>
      <c r="O361" s="5"/>
    </row>
    <row r="362" spans="1:15" x14ac:dyDescent="0.3">
      <c r="A362" s="6" t="s">
        <v>2227</v>
      </c>
      <c r="B362" s="7" t="s">
        <v>2254</v>
      </c>
      <c r="C362" s="6"/>
      <c r="D362" s="6" t="s">
        <v>2229</v>
      </c>
      <c r="E362" s="5"/>
      <c r="F362" s="5"/>
      <c r="G362" s="5" t="s">
        <v>38</v>
      </c>
      <c r="H362" s="5"/>
      <c r="I362" s="5"/>
      <c r="J362" s="5"/>
      <c r="K362" s="5"/>
      <c r="L362" s="5"/>
      <c r="M362" s="5"/>
      <c r="N362" s="5"/>
      <c r="O362" s="5"/>
    </row>
    <row r="363" spans="1:15" x14ac:dyDescent="0.3">
      <c r="A363" s="6" t="s">
        <v>2227</v>
      </c>
      <c r="B363" s="7" t="s">
        <v>2255</v>
      </c>
      <c r="C363" s="6"/>
      <c r="D363" s="6" t="s">
        <v>2229</v>
      </c>
      <c r="E363" s="5"/>
      <c r="F363" s="5"/>
      <c r="G363" s="5" t="s">
        <v>38</v>
      </c>
      <c r="H363" s="5"/>
      <c r="I363" s="5"/>
      <c r="J363" s="5"/>
      <c r="K363" s="5"/>
      <c r="L363" s="5"/>
      <c r="M363" s="5"/>
      <c r="N363" s="5"/>
      <c r="O363" s="5"/>
    </row>
    <row r="364" spans="1:15" x14ac:dyDescent="0.3">
      <c r="A364" s="6" t="s">
        <v>2227</v>
      </c>
      <c r="B364" s="7" t="s">
        <v>2256</v>
      </c>
      <c r="C364" s="6"/>
      <c r="D364" s="6" t="s">
        <v>2229</v>
      </c>
      <c r="E364" s="5"/>
      <c r="F364" s="5"/>
      <c r="G364" s="5" t="s">
        <v>38</v>
      </c>
      <c r="H364" s="5"/>
      <c r="I364" s="5"/>
      <c r="J364" s="5"/>
      <c r="K364" s="5"/>
      <c r="L364" s="5"/>
      <c r="M364" s="5"/>
      <c r="N364" s="5"/>
      <c r="O364" s="5"/>
    </row>
    <row r="365" spans="1:15" x14ac:dyDescent="0.3">
      <c r="A365" s="6" t="s">
        <v>2227</v>
      </c>
      <c r="B365" s="7" t="s">
        <v>2257</v>
      </c>
      <c r="C365" s="6"/>
      <c r="D365" s="6" t="s">
        <v>2229</v>
      </c>
      <c r="E365" s="5"/>
      <c r="F365" s="5"/>
      <c r="G365" s="5" t="s">
        <v>38</v>
      </c>
      <c r="H365" s="5"/>
      <c r="I365" s="5"/>
      <c r="J365" s="5"/>
      <c r="K365" s="5"/>
      <c r="L365" s="5"/>
      <c r="M365" s="5"/>
      <c r="N365" s="5"/>
      <c r="O365" s="5"/>
    </row>
    <row r="366" spans="1:15" x14ac:dyDescent="0.3">
      <c r="A366" s="6" t="s">
        <v>2227</v>
      </c>
      <c r="B366" s="7" t="s">
        <v>2258</v>
      </c>
      <c r="C366" s="6"/>
      <c r="D366" s="6" t="s">
        <v>2229</v>
      </c>
      <c r="E366" s="5"/>
      <c r="F366" s="5"/>
      <c r="G366" s="5" t="s">
        <v>38</v>
      </c>
      <c r="H366" s="5"/>
      <c r="I366" s="5"/>
      <c r="J366" s="5"/>
      <c r="K366" s="5"/>
      <c r="L366" s="5"/>
      <c r="M366" s="5"/>
      <c r="N366" s="5"/>
      <c r="O366" s="5"/>
    </row>
    <row r="367" spans="1:15" ht="28" x14ac:dyDescent="0.3">
      <c r="A367" s="5" t="s">
        <v>2259</v>
      </c>
      <c r="B367" s="8" t="s">
        <v>2260</v>
      </c>
      <c r="C367" s="5"/>
      <c r="D367" s="5" t="s">
        <v>2163</v>
      </c>
      <c r="E367" s="5"/>
      <c r="F367" s="5"/>
      <c r="G367" s="5" t="s">
        <v>38</v>
      </c>
      <c r="H367" s="5"/>
      <c r="I367" s="5"/>
      <c r="J367" s="5"/>
      <c r="K367" s="5"/>
      <c r="L367" s="5"/>
      <c r="M367" s="5"/>
      <c r="N367" s="5"/>
      <c r="O367" s="5"/>
    </row>
    <row r="368" spans="1:15" ht="28" x14ac:dyDescent="0.3">
      <c r="A368" s="5" t="s">
        <v>2259</v>
      </c>
      <c r="B368" s="8" t="s">
        <v>2261</v>
      </c>
      <c r="C368" s="5"/>
      <c r="D368" s="5" t="s">
        <v>2163</v>
      </c>
      <c r="E368" s="5"/>
      <c r="F368" s="5"/>
      <c r="G368" s="5" t="s">
        <v>38</v>
      </c>
      <c r="H368" s="5"/>
      <c r="I368" s="5"/>
      <c r="J368" s="5"/>
      <c r="K368" s="5"/>
      <c r="L368" s="5"/>
      <c r="M368" s="5"/>
      <c r="N368" s="5"/>
      <c r="O368" s="5"/>
    </row>
    <row r="369" spans="1:15" ht="28" x14ac:dyDescent="0.3">
      <c r="A369" s="5" t="s">
        <v>2259</v>
      </c>
      <c r="B369" s="8" t="s">
        <v>2262</v>
      </c>
      <c r="C369" s="5"/>
      <c r="D369" s="5" t="s">
        <v>2163</v>
      </c>
      <c r="E369" s="5"/>
      <c r="F369" s="5"/>
      <c r="G369" s="5" t="s">
        <v>38</v>
      </c>
      <c r="H369" s="5"/>
      <c r="I369" s="5"/>
      <c r="J369" s="5"/>
      <c r="K369" s="5"/>
      <c r="L369" s="5"/>
      <c r="M369" s="5"/>
      <c r="N369" s="5"/>
      <c r="O369" s="5"/>
    </row>
    <row r="370" spans="1:15" x14ac:dyDescent="0.3">
      <c r="A370" s="5" t="s">
        <v>2259</v>
      </c>
      <c r="B370" s="8" t="s">
        <v>2263</v>
      </c>
      <c r="C370" s="5"/>
      <c r="D370" s="5" t="s">
        <v>2264</v>
      </c>
      <c r="E370" s="5"/>
      <c r="F370" s="5"/>
      <c r="G370" s="5" t="s">
        <v>38</v>
      </c>
      <c r="H370" s="5"/>
      <c r="I370" s="5"/>
      <c r="J370" s="5"/>
      <c r="K370" s="5"/>
      <c r="L370" s="5"/>
      <c r="M370" s="5"/>
      <c r="N370" s="5"/>
      <c r="O370" s="5"/>
    </row>
    <row r="371" spans="1:15" x14ac:dyDescent="0.3">
      <c r="A371" s="5" t="s">
        <v>2259</v>
      </c>
      <c r="B371" s="8" t="s">
        <v>2265</v>
      </c>
      <c r="C371" s="5">
        <v>57</v>
      </c>
      <c r="D371" s="5" t="s">
        <v>2266</v>
      </c>
      <c r="E371" s="5"/>
      <c r="F371" s="5"/>
      <c r="G371" s="5" t="s">
        <v>38</v>
      </c>
      <c r="H371" s="5"/>
      <c r="I371" s="5"/>
      <c r="J371" s="5"/>
      <c r="K371" s="5"/>
      <c r="L371" s="5"/>
      <c r="M371" s="5"/>
      <c r="N371" s="5"/>
      <c r="O371" s="5"/>
    </row>
    <row r="372" spans="1:15" x14ac:dyDescent="0.3">
      <c r="A372" s="5" t="s">
        <v>2259</v>
      </c>
      <c r="B372" s="8" t="s">
        <v>2267</v>
      </c>
      <c r="C372" s="5">
        <v>57</v>
      </c>
      <c r="D372" s="14" t="s">
        <v>2268</v>
      </c>
      <c r="E372" s="5"/>
      <c r="F372" s="5"/>
      <c r="G372" s="5" t="s">
        <v>38</v>
      </c>
      <c r="H372" s="5"/>
      <c r="I372" s="5"/>
      <c r="J372" s="5"/>
      <c r="K372" s="5"/>
      <c r="L372" s="5"/>
      <c r="M372" s="5"/>
      <c r="N372" s="5"/>
      <c r="O372" s="5"/>
    </row>
    <row r="373" spans="1:15" x14ac:dyDescent="0.3">
      <c r="A373" s="5" t="s">
        <v>2259</v>
      </c>
      <c r="B373" s="8" t="s">
        <v>2269</v>
      </c>
      <c r="C373" s="5">
        <v>57</v>
      </c>
      <c r="D373" s="5" t="s">
        <v>2270</v>
      </c>
      <c r="E373" s="5"/>
      <c r="F373" s="5"/>
      <c r="G373" s="5" t="s">
        <v>38</v>
      </c>
      <c r="H373" s="5"/>
      <c r="I373" s="5"/>
      <c r="J373" s="5"/>
      <c r="K373" s="5"/>
      <c r="L373" s="5"/>
      <c r="M373" s="5"/>
      <c r="N373" s="5"/>
      <c r="O373" s="5"/>
    </row>
    <row r="374" spans="1:15" x14ac:dyDescent="0.3">
      <c r="A374" s="5" t="s">
        <v>2259</v>
      </c>
      <c r="B374" s="8" t="s">
        <v>2271</v>
      </c>
      <c r="C374" s="5">
        <v>76</v>
      </c>
      <c r="D374" s="5" t="s">
        <v>2272</v>
      </c>
      <c r="E374" s="5"/>
      <c r="F374" s="5"/>
      <c r="G374" s="5" t="s">
        <v>38</v>
      </c>
      <c r="H374" s="5"/>
      <c r="I374" s="5"/>
      <c r="J374" s="5"/>
      <c r="K374" s="5"/>
      <c r="L374" s="5"/>
      <c r="M374" s="5"/>
      <c r="N374" s="5"/>
      <c r="O374" s="5"/>
    </row>
    <row r="375" spans="1:15" x14ac:dyDescent="0.3">
      <c r="A375" s="5" t="s">
        <v>2259</v>
      </c>
      <c r="B375" s="8" t="s">
        <v>2273</v>
      </c>
      <c r="C375" s="8"/>
      <c r="D375" s="8" t="s">
        <v>2272</v>
      </c>
      <c r="E375" s="5"/>
      <c r="F375" s="5"/>
      <c r="G375" s="5" t="s">
        <v>38</v>
      </c>
      <c r="H375" s="5"/>
      <c r="I375" s="5"/>
      <c r="J375" s="5"/>
      <c r="K375" s="5"/>
      <c r="L375" s="5"/>
      <c r="M375" s="5"/>
      <c r="N375" s="5"/>
      <c r="O375" s="5"/>
    </row>
    <row r="376" spans="1:15" x14ac:dyDescent="0.3">
      <c r="A376" s="5" t="s">
        <v>2259</v>
      </c>
      <c r="B376" s="8" t="s">
        <v>2274</v>
      </c>
      <c r="C376" s="5">
        <v>57</v>
      </c>
      <c r="D376" s="5" t="s">
        <v>2275</v>
      </c>
      <c r="E376" s="5"/>
      <c r="F376" s="5"/>
      <c r="G376" s="5" t="s">
        <v>38</v>
      </c>
      <c r="H376" s="5"/>
      <c r="I376" s="5"/>
      <c r="J376" s="5"/>
      <c r="K376" s="5"/>
      <c r="L376" s="5"/>
      <c r="M376" s="5"/>
      <c r="N376" s="5"/>
      <c r="O376" s="5"/>
    </row>
    <row r="377" spans="1:15" x14ac:dyDescent="0.3">
      <c r="A377" s="5" t="s">
        <v>2259</v>
      </c>
      <c r="B377" s="8" t="s">
        <v>2276</v>
      </c>
      <c r="C377" s="5">
        <v>57</v>
      </c>
      <c r="D377" s="5" t="s">
        <v>2277</v>
      </c>
      <c r="E377" s="5"/>
      <c r="F377" s="5"/>
      <c r="G377" s="5" t="s">
        <v>38</v>
      </c>
      <c r="H377" s="5"/>
      <c r="I377" s="5"/>
      <c r="J377" s="5"/>
      <c r="K377" s="5"/>
      <c r="L377" s="5"/>
      <c r="M377" s="5"/>
      <c r="N377" s="5"/>
      <c r="O377" s="5"/>
    </row>
    <row r="378" spans="1:15" x14ac:dyDescent="0.3">
      <c r="A378" s="5" t="s">
        <v>2259</v>
      </c>
      <c r="B378" s="8" t="s">
        <v>2278</v>
      </c>
      <c r="C378" s="5">
        <v>57</v>
      </c>
      <c r="D378" s="5" t="s">
        <v>2279</v>
      </c>
      <c r="E378" s="5"/>
      <c r="F378" s="5"/>
      <c r="G378" s="5" t="s">
        <v>38</v>
      </c>
      <c r="H378" s="5"/>
      <c r="I378" s="5"/>
      <c r="J378" s="5"/>
      <c r="K378" s="5" t="s">
        <v>2280</v>
      </c>
      <c r="L378" s="5" t="s">
        <v>2281</v>
      </c>
      <c r="M378" s="5"/>
      <c r="N378" s="5"/>
      <c r="O378" s="5"/>
    </row>
    <row r="379" spans="1:15" x14ac:dyDescent="0.3">
      <c r="A379" s="5" t="s">
        <v>2259</v>
      </c>
      <c r="B379" s="8" t="s">
        <v>2282</v>
      </c>
      <c r="C379" s="5">
        <v>57</v>
      </c>
      <c r="D379" s="5" t="s">
        <v>2283</v>
      </c>
      <c r="E379" s="5"/>
      <c r="F379" s="5"/>
      <c r="G379" s="5" t="s">
        <v>38</v>
      </c>
      <c r="H379" s="5"/>
      <c r="I379" s="5"/>
      <c r="J379" s="5"/>
      <c r="K379" s="5"/>
      <c r="L379" s="5"/>
      <c r="M379" s="5"/>
      <c r="N379" s="5"/>
      <c r="O379" s="5"/>
    </row>
    <row r="380" spans="1:15" x14ac:dyDescent="0.3">
      <c r="A380" s="5" t="s">
        <v>2259</v>
      </c>
      <c r="B380" s="8" t="s">
        <v>2284</v>
      </c>
      <c r="C380" s="5">
        <v>57</v>
      </c>
      <c r="D380" s="5" t="s">
        <v>2285</v>
      </c>
      <c r="E380" s="5"/>
      <c r="F380" s="5"/>
      <c r="G380" s="5" t="s">
        <v>38</v>
      </c>
      <c r="H380" s="5"/>
      <c r="I380" s="5"/>
      <c r="J380" s="5"/>
      <c r="K380" s="5"/>
      <c r="L380" s="5"/>
      <c r="M380" s="5"/>
      <c r="N380" s="5"/>
      <c r="O380" s="5"/>
    </row>
    <row r="381" spans="1:15" x14ac:dyDescent="0.3">
      <c r="A381" s="5" t="s">
        <v>2259</v>
      </c>
      <c r="B381" s="8" t="s">
        <v>2286</v>
      </c>
      <c r="C381" s="5">
        <v>57</v>
      </c>
      <c r="D381" s="5" t="s">
        <v>2287</v>
      </c>
      <c r="E381" s="5"/>
      <c r="F381" s="5"/>
      <c r="G381" s="5" t="s">
        <v>38</v>
      </c>
      <c r="H381" s="5"/>
      <c r="I381" s="5"/>
      <c r="J381" s="5"/>
      <c r="K381" s="5"/>
      <c r="L381" s="5"/>
      <c r="M381" s="5"/>
      <c r="N381" s="5"/>
      <c r="O381" s="5"/>
    </row>
    <row r="382" spans="1:15" x14ac:dyDescent="0.3">
      <c r="A382" s="5" t="s">
        <v>2259</v>
      </c>
      <c r="B382" s="8" t="s">
        <v>2288</v>
      </c>
      <c r="C382" s="5">
        <v>57</v>
      </c>
      <c r="D382" s="5" t="s">
        <v>2289</v>
      </c>
      <c r="E382" s="5"/>
      <c r="F382" s="5"/>
      <c r="G382" s="5" t="s">
        <v>38</v>
      </c>
      <c r="H382" s="5"/>
      <c r="I382" s="5"/>
      <c r="J382" s="5"/>
      <c r="K382" s="5"/>
      <c r="L382" s="5"/>
      <c r="M382" s="5"/>
      <c r="N382" s="5"/>
      <c r="O382" s="5"/>
    </row>
    <row r="383" spans="1:15" x14ac:dyDescent="0.3">
      <c r="A383" s="5" t="s">
        <v>2259</v>
      </c>
      <c r="B383" s="8" t="s">
        <v>2290</v>
      </c>
      <c r="C383" s="5">
        <v>57</v>
      </c>
      <c r="D383" s="5" t="s">
        <v>2291</v>
      </c>
      <c r="E383" s="5"/>
      <c r="F383" s="5"/>
      <c r="G383" s="5" t="s">
        <v>38</v>
      </c>
      <c r="H383" s="5"/>
      <c r="I383" s="5"/>
      <c r="J383" s="5"/>
      <c r="K383" s="5"/>
      <c r="L383" s="5"/>
      <c r="M383" s="5"/>
      <c r="N383" s="5"/>
      <c r="O383" s="5"/>
    </row>
    <row r="384" spans="1:15" x14ac:dyDescent="0.3">
      <c r="A384" s="5" t="s">
        <v>2259</v>
      </c>
      <c r="B384" s="8" t="s">
        <v>2292</v>
      </c>
      <c r="C384" s="5">
        <v>57</v>
      </c>
      <c r="D384" s="5" t="s">
        <v>2293</v>
      </c>
      <c r="E384" s="5"/>
      <c r="F384" s="5"/>
      <c r="G384" s="5" t="s">
        <v>38</v>
      </c>
      <c r="H384" s="5"/>
      <c r="I384" s="5"/>
      <c r="J384" s="5"/>
      <c r="K384" s="5"/>
      <c r="L384" s="5"/>
      <c r="M384" s="5"/>
      <c r="N384" s="5"/>
      <c r="O384" s="5"/>
    </row>
    <row r="385" spans="1:15" x14ac:dyDescent="0.3">
      <c r="A385" s="5" t="s">
        <v>2259</v>
      </c>
      <c r="B385" s="8" t="s">
        <v>2294</v>
      </c>
      <c r="C385" s="5">
        <v>57</v>
      </c>
      <c r="D385" s="5" t="s">
        <v>2295</v>
      </c>
      <c r="E385" s="5"/>
      <c r="F385" s="5"/>
      <c r="G385" s="5" t="s">
        <v>38</v>
      </c>
      <c r="H385" s="5"/>
      <c r="I385" s="5"/>
      <c r="J385" s="5"/>
      <c r="K385" s="5"/>
      <c r="L385" s="5"/>
      <c r="M385" s="5"/>
      <c r="N385" s="5"/>
      <c r="O385" s="5"/>
    </row>
    <row r="386" spans="1:15" x14ac:dyDescent="0.3">
      <c r="A386" s="5" t="s">
        <v>2259</v>
      </c>
      <c r="B386" s="8" t="s">
        <v>2296</v>
      </c>
      <c r="C386" s="5">
        <v>57</v>
      </c>
      <c r="D386" s="5" t="s">
        <v>2297</v>
      </c>
      <c r="E386" s="5"/>
      <c r="F386" s="5"/>
      <c r="G386" s="5" t="s">
        <v>38</v>
      </c>
      <c r="H386" s="5"/>
      <c r="I386" s="5"/>
      <c r="J386" s="5"/>
      <c r="K386" s="5"/>
      <c r="L386" s="5"/>
      <c r="M386" s="5"/>
      <c r="N386" s="5"/>
      <c r="O386" s="5"/>
    </row>
    <row r="387" spans="1:15" x14ac:dyDescent="0.3">
      <c r="A387" s="5" t="s">
        <v>2259</v>
      </c>
      <c r="B387" s="8" t="s">
        <v>2298</v>
      </c>
      <c r="C387" s="5">
        <v>57</v>
      </c>
      <c r="D387" s="5" t="s">
        <v>2299</v>
      </c>
      <c r="E387" s="5"/>
      <c r="F387" s="5"/>
      <c r="G387" s="5" t="s">
        <v>38</v>
      </c>
      <c r="H387" s="5"/>
      <c r="I387" s="5"/>
      <c r="J387" s="5"/>
      <c r="K387" s="5"/>
      <c r="L387" s="5"/>
      <c r="M387" s="5"/>
      <c r="N387" s="5"/>
      <c r="O387" s="5"/>
    </row>
    <row r="388" spans="1:15" x14ac:dyDescent="0.3">
      <c r="A388" s="5" t="s">
        <v>2259</v>
      </c>
      <c r="B388" s="8" t="s">
        <v>2300</v>
      </c>
      <c r="C388" s="5">
        <v>57</v>
      </c>
      <c r="D388" s="5" t="s">
        <v>2301</v>
      </c>
      <c r="E388" s="5"/>
      <c r="F388" s="5"/>
      <c r="G388" s="5" t="s">
        <v>38</v>
      </c>
      <c r="H388" s="5"/>
      <c r="I388" s="5"/>
      <c r="J388" s="5"/>
      <c r="K388" s="5"/>
      <c r="L388" s="5"/>
      <c r="M388" s="5"/>
      <c r="N388" s="5"/>
      <c r="O388" s="5"/>
    </row>
    <row r="389" spans="1:15" x14ac:dyDescent="0.3">
      <c r="A389" s="5" t="s">
        <v>2259</v>
      </c>
      <c r="B389" s="8" t="s">
        <v>2302</v>
      </c>
      <c r="C389" s="5">
        <v>57</v>
      </c>
      <c r="D389" s="5" t="s">
        <v>2303</v>
      </c>
      <c r="E389" s="5"/>
      <c r="F389" s="5"/>
      <c r="G389" s="5" t="s">
        <v>38</v>
      </c>
      <c r="H389" s="5"/>
      <c r="I389" s="5"/>
      <c r="J389" s="5"/>
      <c r="K389" s="5"/>
      <c r="L389" s="5"/>
      <c r="M389" s="5"/>
      <c r="N389" s="5"/>
      <c r="O389" s="5"/>
    </row>
    <row r="390" spans="1:15" x14ac:dyDescent="0.3">
      <c r="A390" s="5" t="s">
        <v>2259</v>
      </c>
      <c r="B390" s="8" t="s">
        <v>2304</v>
      </c>
      <c r="C390" s="5">
        <v>57</v>
      </c>
      <c r="D390" s="5" t="s">
        <v>2305</v>
      </c>
      <c r="E390" s="5"/>
      <c r="F390" s="5"/>
      <c r="G390" s="5" t="s">
        <v>38</v>
      </c>
      <c r="H390" s="5"/>
      <c r="I390" s="5"/>
      <c r="J390" s="5"/>
      <c r="K390" s="5"/>
      <c r="L390" s="5"/>
      <c r="M390" s="5"/>
      <c r="N390" s="5"/>
      <c r="O390" s="5"/>
    </row>
    <row r="391" spans="1:15" x14ac:dyDescent="0.3">
      <c r="A391" s="5" t="s">
        <v>2259</v>
      </c>
      <c r="B391" s="8" t="s">
        <v>2306</v>
      </c>
      <c r="C391" s="5">
        <v>57</v>
      </c>
      <c r="D391" s="5" t="s">
        <v>2307</v>
      </c>
      <c r="E391" s="5"/>
      <c r="F391" s="5"/>
      <c r="G391" s="5" t="s">
        <v>38</v>
      </c>
      <c r="H391" s="5"/>
      <c r="I391" s="5"/>
      <c r="J391" s="5"/>
      <c r="K391" s="5"/>
      <c r="L391" s="5"/>
      <c r="M391" s="5"/>
      <c r="N391" s="5"/>
      <c r="O391" s="5"/>
    </row>
    <row r="392" spans="1:15" x14ac:dyDescent="0.3">
      <c r="A392" s="5" t="s">
        <v>2259</v>
      </c>
      <c r="B392" s="8" t="s">
        <v>2308</v>
      </c>
      <c r="C392" s="5">
        <v>57</v>
      </c>
      <c r="D392" s="5" t="s">
        <v>2307</v>
      </c>
      <c r="E392" s="5"/>
      <c r="F392" s="5"/>
      <c r="G392" s="5" t="s">
        <v>38</v>
      </c>
      <c r="H392" s="5"/>
      <c r="I392" s="5"/>
      <c r="J392" s="5"/>
      <c r="K392" s="5"/>
      <c r="L392" s="5"/>
      <c r="M392" s="5"/>
      <c r="N392" s="5"/>
      <c r="O392" s="5"/>
    </row>
    <row r="393" spans="1:15" x14ac:dyDescent="0.3">
      <c r="A393" s="5" t="s">
        <v>2259</v>
      </c>
      <c r="B393" s="8" t="s">
        <v>2309</v>
      </c>
      <c r="C393" s="5">
        <v>108</v>
      </c>
      <c r="D393" s="8" t="s">
        <v>2310</v>
      </c>
      <c r="E393" s="5"/>
      <c r="F393" s="5"/>
      <c r="G393" s="5" t="s">
        <v>38</v>
      </c>
      <c r="H393" s="5"/>
      <c r="I393" s="5"/>
      <c r="J393" s="5"/>
      <c r="K393" s="5"/>
      <c r="L393" s="5"/>
      <c r="M393" s="5"/>
      <c r="N393" s="5"/>
      <c r="O393" s="5"/>
    </row>
    <row r="394" spans="1:15" x14ac:dyDescent="0.3">
      <c r="A394" s="5" t="s">
        <v>2259</v>
      </c>
      <c r="B394" s="8" t="s">
        <v>2311</v>
      </c>
      <c r="C394" s="5"/>
      <c r="D394" s="8" t="s">
        <v>2312</v>
      </c>
      <c r="E394" s="5"/>
      <c r="F394" s="5"/>
      <c r="G394" s="5" t="s">
        <v>38</v>
      </c>
      <c r="H394" s="5"/>
      <c r="I394" s="5"/>
      <c r="J394" s="5"/>
      <c r="K394" s="5"/>
      <c r="L394" s="5"/>
      <c r="M394" s="5"/>
      <c r="N394" s="5"/>
      <c r="O394" s="5"/>
    </row>
    <row r="395" spans="1:15" x14ac:dyDescent="0.3">
      <c r="A395" s="5" t="s">
        <v>2259</v>
      </c>
      <c r="B395" s="8" t="s">
        <v>2313</v>
      </c>
      <c r="C395" s="5">
        <v>727</v>
      </c>
      <c r="D395" s="5" t="s">
        <v>2314</v>
      </c>
      <c r="E395" s="5"/>
      <c r="F395" s="5"/>
      <c r="G395" s="5" t="s">
        <v>38</v>
      </c>
      <c r="H395" s="5"/>
      <c r="I395" s="5"/>
      <c r="J395" s="5"/>
      <c r="K395" s="5"/>
      <c r="L395" s="5"/>
      <c r="M395" s="5"/>
      <c r="N395" s="5"/>
      <c r="O395" s="5"/>
    </row>
    <row r="396" spans="1:15" x14ac:dyDescent="0.3">
      <c r="A396" s="5" t="s">
        <v>2259</v>
      </c>
      <c r="B396" s="8" t="s">
        <v>2315</v>
      </c>
      <c r="C396" s="5"/>
      <c r="D396" s="5" t="s">
        <v>2312</v>
      </c>
      <c r="E396" s="5"/>
      <c r="F396" s="5"/>
      <c r="G396" s="5" t="s">
        <v>38</v>
      </c>
      <c r="H396" s="5"/>
      <c r="I396" s="5"/>
      <c r="J396" s="5"/>
      <c r="K396" s="5"/>
      <c r="L396" s="5"/>
      <c r="M396" s="5"/>
      <c r="N396" s="5"/>
      <c r="O396" s="5"/>
    </row>
    <row r="397" spans="1:15" x14ac:dyDescent="0.3">
      <c r="A397" s="5" t="s">
        <v>2259</v>
      </c>
      <c r="B397" s="8" t="s">
        <v>2316</v>
      </c>
      <c r="C397" s="5"/>
      <c r="D397" s="5" t="s">
        <v>2312</v>
      </c>
      <c r="E397" s="5"/>
      <c r="F397" s="5"/>
      <c r="G397" s="5" t="s">
        <v>38</v>
      </c>
      <c r="H397" s="5"/>
      <c r="I397" s="5"/>
      <c r="J397" s="5"/>
      <c r="K397" s="5"/>
      <c r="L397" s="5"/>
      <c r="M397" s="5"/>
      <c r="N397" s="5"/>
      <c r="O397" s="5"/>
    </row>
    <row r="398" spans="1:15" x14ac:dyDescent="0.3">
      <c r="A398" s="5" t="s">
        <v>2259</v>
      </c>
      <c r="B398" s="8" t="s">
        <v>2317</v>
      </c>
      <c r="C398" s="5"/>
      <c r="D398" s="5" t="s">
        <v>2312</v>
      </c>
      <c r="E398" s="5"/>
      <c r="F398" s="5"/>
      <c r="G398" s="5" t="s">
        <v>38</v>
      </c>
      <c r="H398" s="5"/>
      <c r="I398" s="5"/>
      <c r="J398" s="5"/>
      <c r="K398" s="5"/>
      <c r="L398" s="5"/>
      <c r="M398" s="5"/>
      <c r="N398" s="5"/>
      <c r="O398" s="5"/>
    </row>
    <row r="399" spans="1:15" x14ac:dyDescent="0.3">
      <c r="A399" s="5" t="s">
        <v>2259</v>
      </c>
      <c r="B399" s="8" t="s">
        <v>2318</v>
      </c>
      <c r="C399" s="5"/>
      <c r="D399" s="5" t="s">
        <v>2312</v>
      </c>
      <c r="E399" s="5"/>
      <c r="F399" s="5"/>
      <c r="G399" s="5" t="s">
        <v>38</v>
      </c>
      <c r="H399" s="5"/>
      <c r="I399" s="5"/>
      <c r="J399" s="5"/>
      <c r="K399" s="5"/>
      <c r="L399" s="5"/>
      <c r="M399" s="5"/>
      <c r="N399" s="5"/>
      <c r="O399" s="5"/>
    </row>
    <row r="400" spans="1:15" x14ac:dyDescent="0.3">
      <c r="A400" s="5" t="s">
        <v>2259</v>
      </c>
      <c r="B400" s="8" t="s">
        <v>2319</v>
      </c>
      <c r="C400" s="5"/>
      <c r="D400" s="5" t="s">
        <v>2312</v>
      </c>
      <c r="E400" s="5"/>
      <c r="F400" s="5"/>
      <c r="G400" s="5" t="s">
        <v>38</v>
      </c>
      <c r="H400" s="5"/>
      <c r="I400" s="5"/>
      <c r="J400" s="5"/>
      <c r="K400" s="5"/>
      <c r="L400" s="5"/>
      <c r="M400" s="5"/>
      <c r="N400" s="5"/>
      <c r="O400" s="5"/>
    </row>
    <row r="401" spans="1:15" x14ac:dyDescent="0.3">
      <c r="A401" s="5" t="s">
        <v>2259</v>
      </c>
      <c r="B401" s="8" t="s">
        <v>2320</v>
      </c>
      <c r="C401" s="5">
        <v>235</v>
      </c>
      <c r="D401" s="5" t="s">
        <v>2321</v>
      </c>
      <c r="E401" s="5"/>
      <c r="F401" s="5"/>
      <c r="G401" s="5" t="s">
        <v>38</v>
      </c>
      <c r="H401" s="5"/>
      <c r="I401" s="5"/>
      <c r="J401" s="5"/>
      <c r="K401" s="5"/>
      <c r="L401" s="5"/>
      <c r="M401" s="5"/>
      <c r="N401" s="5"/>
      <c r="O401" s="5"/>
    </row>
    <row r="402" spans="1:15" x14ac:dyDescent="0.3">
      <c r="A402" s="5" t="s">
        <v>2259</v>
      </c>
      <c r="B402" s="8" t="s">
        <v>2322</v>
      </c>
      <c r="C402" s="5">
        <v>145</v>
      </c>
      <c r="D402" s="5" t="s">
        <v>2323</v>
      </c>
      <c r="E402" s="5"/>
      <c r="F402" s="5"/>
      <c r="G402" s="5" t="s">
        <v>38</v>
      </c>
      <c r="H402" s="5"/>
      <c r="I402" s="5"/>
      <c r="J402" s="5"/>
      <c r="K402" s="5"/>
      <c r="L402" s="5"/>
      <c r="M402" s="5"/>
      <c r="N402" s="5"/>
      <c r="O402" s="5"/>
    </row>
    <row r="403" spans="1:15" ht="28" x14ac:dyDescent="0.3">
      <c r="A403" s="5" t="s">
        <v>2324</v>
      </c>
      <c r="B403" s="8" t="s">
        <v>2325</v>
      </c>
      <c r="C403" s="5"/>
      <c r="D403" s="5" t="s">
        <v>2163</v>
      </c>
      <c r="E403" s="5"/>
      <c r="F403" s="5"/>
      <c r="G403" s="5" t="s">
        <v>38</v>
      </c>
      <c r="H403" s="5"/>
      <c r="I403" s="5"/>
      <c r="J403" s="5"/>
      <c r="K403" s="5"/>
      <c r="L403" s="5"/>
      <c r="M403" s="5"/>
      <c r="N403" s="5"/>
      <c r="O403" s="5"/>
    </row>
    <row r="404" spans="1:15" ht="28" x14ac:dyDescent="0.3">
      <c r="A404" s="5" t="s">
        <v>2324</v>
      </c>
      <c r="B404" s="8" t="s">
        <v>2326</v>
      </c>
      <c r="C404" s="5"/>
      <c r="D404" s="5" t="s">
        <v>2163</v>
      </c>
      <c r="E404" s="5"/>
      <c r="F404" s="5"/>
      <c r="G404" s="5" t="s">
        <v>38</v>
      </c>
      <c r="H404" s="5"/>
      <c r="I404" s="5"/>
      <c r="J404" s="5"/>
      <c r="K404" s="5"/>
      <c r="L404" s="5"/>
      <c r="M404" s="5"/>
      <c r="N404" s="5"/>
      <c r="O404" s="5"/>
    </row>
    <row r="405" spans="1:15" ht="28" x14ac:dyDescent="0.3">
      <c r="A405" s="5" t="s">
        <v>2324</v>
      </c>
      <c r="B405" s="8" t="s">
        <v>2327</v>
      </c>
      <c r="C405" s="5"/>
      <c r="D405" s="5" t="s">
        <v>2163</v>
      </c>
      <c r="E405" s="5"/>
      <c r="F405" s="5"/>
      <c r="G405" s="5" t="s">
        <v>38</v>
      </c>
      <c r="H405" s="5"/>
      <c r="I405" s="5"/>
      <c r="J405" s="5"/>
      <c r="K405" s="5"/>
      <c r="L405" s="5"/>
      <c r="M405" s="5"/>
      <c r="N405" s="5"/>
      <c r="O405" s="5"/>
    </row>
    <row r="406" spans="1:15" ht="28" x14ac:dyDescent="0.3">
      <c r="A406" s="5" t="s">
        <v>2324</v>
      </c>
      <c r="B406" s="8" t="s">
        <v>2328</v>
      </c>
      <c r="C406" s="5"/>
      <c r="D406" s="5" t="s">
        <v>2163</v>
      </c>
      <c r="E406" s="5"/>
      <c r="F406" s="5"/>
      <c r="G406" s="5" t="s">
        <v>38</v>
      </c>
      <c r="H406" s="5"/>
      <c r="I406" s="5"/>
      <c r="J406" s="5"/>
      <c r="K406" s="5"/>
      <c r="L406" s="5"/>
      <c r="M406" s="5"/>
      <c r="N406" s="5"/>
      <c r="O406" s="5"/>
    </row>
    <row r="407" spans="1:15" x14ac:dyDescent="0.3">
      <c r="A407" s="5" t="s">
        <v>2324</v>
      </c>
      <c r="B407" s="8" t="s">
        <v>2329</v>
      </c>
      <c r="C407" s="5">
        <v>1267</v>
      </c>
      <c r="D407" s="5" t="s">
        <v>2330</v>
      </c>
      <c r="E407" s="5"/>
      <c r="F407" s="5"/>
      <c r="G407" s="5" t="s">
        <v>38</v>
      </c>
      <c r="H407" s="5"/>
      <c r="I407" s="5"/>
      <c r="J407" s="5"/>
      <c r="K407" s="5"/>
      <c r="L407" s="5"/>
      <c r="M407" s="5"/>
      <c r="N407" s="5"/>
      <c r="O407" s="5"/>
    </row>
    <row r="408" spans="1:15" x14ac:dyDescent="0.3">
      <c r="A408" s="5" t="s">
        <v>2324</v>
      </c>
      <c r="B408" s="8" t="s">
        <v>2331</v>
      </c>
      <c r="C408" s="5"/>
      <c r="D408" s="5" t="s">
        <v>2330</v>
      </c>
      <c r="E408" s="5"/>
      <c r="F408" s="5"/>
      <c r="G408" s="5" t="s">
        <v>38</v>
      </c>
      <c r="H408" s="5"/>
      <c r="I408" s="5"/>
      <c r="J408" s="5"/>
      <c r="K408" s="5"/>
      <c r="L408" s="5"/>
      <c r="M408" s="5"/>
      <c r="N408" s="5"/>
      <c r="O408" s="5"/>
    </row>
    <row r="409" spans="1:15" x14ac:dyDescent="0.3">
      <c r="A409" s="5" t="s">
        <v>2324</v>
      </c>
      <c r="B409" s="8" t="s">
        <v>2332</v>
      </c>
      <c r="C409" s="5"/>
      <c r="D409" s="5" t="s">
        <v>2330</v>
      </c>
      <c r="E409" s="5"/>
      <c r="F409" s="5"/>
      <c r="G409" s="5" t="s">
        <v>38</v>
      </c>
      <c r="H409" s="5"/>
      <c r="I409" s="5"/>
      <c r="J409" s="5"/>
      <c r="K409" s="5"/>
      <c r="L409" s="5"/>
      <c r="M409" s="5"/>
      <c r="N409" s="5"/>
      <c r="O409" s="5"/>
    </row>
    <row r="410" spans="1:15" x14ac:dyDescent="0.3">
      <c r="A410" s="5" t="s">
        <v>2324</v>
      </c>
      <c r="B410" s="8" t="s">
        <v>2333</v>
      </c>
      <c r="C410" s="5"/>
      <c r="D410" s="5" t="s">
        <v>2330</v>
      </c>
      <c r="E410" s="5"/>
      <c r="F410" s="5"/>
      <c r="G410" s="5" t="s">
        <v>38</v>
      </c>
      <c r="H410" s="5"/>
      <c r="I410" s="5"/>
      <c r="J410" s="5"/>
      <c r="K410" s="5"/>
      <c r="L410" s="5"/>
      <c r="M410" s="5"/>
      <c r="N410" s="5"/>
      <c r="O410" s="5"/>
    </row>
    <row r="411" spans="1:15" x14ac:dyDescent="0.3">
      <c r="A411" s="5" t="s">
        <v>2324</v>
      </c>
      <c r="B411" s="8" t="s">
        <v>2334</v>
      </c>
      <c r="C411" s="5"/>
      <c r="D411" s="5" t="s">
        <v>2330</v>
      </c>
      <c r="E411" s="5"/>
      <c r="F411" s="5"/>
      <c r="G411" s="5" t="s">
        <v>38</v>
      </c>
      <c r="H411" s="5"/>
      <c r="I411" s="5"/>
      <c r="J411" s="5"/>
      <c r="K411" s="5"/>
      <c r="L411" s="5"/>
      <c r="M411" s="5"/>
      <c r="N411" s="5"/>
      <c r="O411" s="5"/>
    </row>
    <row r="412" spans="1:15" x14ac:dyDescent="0.3">
      <c r="A412" s="5" t="s">
        <v>2324</v>
      </c>
      <c r="B412" s="8" t="s">
        <v>2335</v>
      </c>
      <c r="C412" s="5"/>
      <c r="D412" s="5" t="s">
        <v>2330</v>
      </c>
      <c r="E412" s="5"/>
      <c r="F412" s="5"/>
      <c r="G412" s="5" t="s">
        <v>38</v>
      </c>
      <c r="H412" s="5"/>
      <c r="I412" s="5"/>
      <c r="J412" s="5"/>
      <c r="K412" s="5"/>
      <c r="L412" s="5"/>
      <c r="M412" s="5"/>
      <c r="N412" s="5"/>
      <c r="O412" s="5"/>
    </row>
    <row r="413" spans="1:15" x14ac:dyDescent="0.3">
      <c r="A413" s="5" t="s">
        <v>2324</v>
      </c>
      <c r="B413" s="8" t="s">
        <v>2336</v>
      </c>
      <c r="C413" s="5"/>
      <c r="D413" s="5" t="s">
        <v>2330</v>
      </c>
      <c r="E413" s="5"/>
      <c r="F413" s="5"/>
      <c r="G413" s="5" t="s">
        <v>38</v>
      </c>
      <c r="H413" s="5"/>
      <c r="I413" s="5"/>
      <c r="J413" s="5"/>
      <c r="K413" s="5"/>
      <c r="L413" s="5"/>
      <c r="M413" s="5"/>
      <c r="N413" s="5"/>
      <c r="O413" s="5"/>
    </row>
    <row r="414" spans="1:15" x14ac:dyDescent="0.3">
      <c r="A414" s="5" t="s">
        <v>2324</v>
      </c>
      <c r="B414" s="8" t="s">
        <v>2337</v>
      </c>
      <c r="C414" s="5"/>
      <c r="D414" s="5" t="s">
        <v>2330</v>
      </c>
      <c r="E414" s="5"/>
      <c r="F414" s="5"/>
      <c r="G414" s="5" t="s">
        <v>38</v>
      </c>
      <c r="H414" s="5"/>
      <c r="I414" s="5"/>
      <c r="J414" s="5"/>
      <c r="K414" s="5"/>
      <c r="L414" s="5"/>
      <c r="M414" s="5"/>
      <c r="N414" s="5"/>
      <c r="O414" s="5"/>
    </row>
    <row r="415" spans="1:15" x14ac:dyDescent="0.3">
      <c r="A415" s="5" t="s">
        <v>2324</v>
      </c>
      <c r="B415" s="8" t="s">
        <v>2338</v>
      </c>
      <c r="C415" s="5"/>
      <c r="D415" s="5" t="s">
        <v>2330</v>
      </c>
      <c r="E415" s="5"/>
      <c r="F415" s="5"/>
      <c r="G415" s="5" t="s">
        <v>38</v>
      </c>
      <c r="H415" s="5"/>
      <c r="I415" s="5"/>
      <c r="J415" s="5"/>
      <c r="K415" s="5"/>
      <c r="L415" s="5"/>
      <c r="M415" s="5"/>
      <c r="N415" s="5"/>
      <c r="O415" s="5"/>
    </row>
    <row r="416" spans="1:15" x14ac:dyDescent="0.3">
      <c r="A416" s="5" t="s">
        <v>2324</v>
      </c>
      <c r="B416" s="8" t="s">
        <v>2339</v>
      </c>
      <c r="C416" s="5"/>
      <c r="D416" s="5" t="s">
        <v>2330</v>
      </c>
      <c r="E416" s="5"/>
      <c r="F416" s="5"/>
      <c r="G416" s="5" t="s">
        <v>38</v>
      </c>
      <c r="H416" s="5"/>
      <c r="I416" s="5"/>
      <c r="J416" s="5"/>
      <c r="K416" s="5"/>
      <c r="L416" s="5"/>
      <c r="M416" s="5"/>
      <c r="N416" s="5"/>
      <c r="O416" s="5"/>
    </row>
    <row r="417" spans="1:15" x14ac:dyDescent="0.3">
      <c r="A417" s="5" t="s">
        <v>2324</v>
      </c>
      <c r="B417" s="8" t="s">
        <v>2340</v>
      </c>
      <c r="C417" s="5"/>
      <c r="D417" s="5" t="s">
        <v>2330</v>
      </c>
      <c r="E417" s="5"/>
      <c r="F417" s="5"/>
      <c r="G417" s="5" t="s">
        <v>38</v>
      </c>
      <c r="H417" s="5"/>
      <c r="I417" s="5"/>
      <c r="J417" s="5"/>
      <c r="K417" s="5"/>
      <c r="L417" s="5"/>
      <c r="M417" s="5"/>
      <c r="N417" s="5"/>
      <c r="O417" s="5"/>
    </row>
    <row r="418" spans="1:15" x14ac:dyDescent="0.3">
      <c r="A418" s="5" t="s">
        <v>2324</v>
      </c>
      <c r="B418" s="8" t="s">
        <v>2341</v>
      </c>
      <c r="C418" s="5"/>
      <c r="D418" s="5" t="s">
        <v>2330</v>
      </c>
      <c r="E418" s="5"/>
      <c r="F418" s="5"/>
      <c r="G418" s="5" t="s">
        <v>38</v>
      </c>
      <c r="H418" s="5"/>
      <c r="I418" s="5"/>
      <c r="J418" s="5"/>
      <c r="K418" s="5"/>
      <c r="L418" s="5"/>
      <c r="M418" s="5"/>
      <c r="N418" s="5"/>
      <c r="O418" s="5"/>
    </row>
    <row r="419" spans="1:15" x14ac:dyDescent="0.3">
      <c r="A419" s="5" t="s">
        <v>2324</v>
      </c>
      <c r="B419" s="8" t="s">
        <v>2342</v>
      </c>
      <c r="C419" s="5"/>
      <c r="D419" s="5" t="s">
        <v>2330</v>
      </c>
      <c r="E419" s="5"/>
      <c r="F419" s="5"/>
      <c r="G419" s="5" t="s">
        <v>38</v>
      </c>
      <c r="H419" s="5"/>
      <c r="I419" s="5"/>
      <c r="J419" s="5"/>
      <c r="K419" s="5"/>
      <c r="L419" s="5"/>
      <c r="M419" s="5"/>
      <c r="N419" s="5"/>
      <c r="O419" s="5"/>
    </row>
    <row r="420" spans="1:15" x14ac:dyDescent="0.3">
      <c r="A420" s="5" t="s">
        <v>2324</v>
      </c>
      <c r="B420" s="8" t="s">
        <v>2343</v>
      </c>
      <c r="C420" s="5"/>
      <c r="D420" s="5" t="s">
        <v>2330</v>
      </c>
      <c r="E420" s="5"/>
      <c r="F420" s="5"/>
      <c r="G420" s="5" t="s">
        <v>38</v>
      </c>
      <c r="H420" s="5"/>
      <c r="I420" s="5"/>
      <c r="J420" s="5"/>
      <c r="K420" s="5"/>
      <c r="L420" s="5"/>
      <c r="M420" s="5"/>
      <c r="N420" s="5"/>
      <c r="O420" s="5"/>
    </row>
    <row r="421" spans="1:15" x14ac:dyDescent="0.3">
      <c r="A421" s="5" t="s">
        <v>2324</v>
      </c>
      <c r="B421" s="8" t="s">
        <v>2344</v>
      </c>
      <c r="C421" s="5"/>
      <c r="D421" s="5" t="s">
        <v>2330</v>
      </c>
      <c r="E421" s="5"/>
      <c r="F421" s="5"/>
      <c r="G421" s="5" t="s">
        <v>38</v>
      </c>
      <c r="H421" s="5"/>
      <c r="I421" s="5"/>
      <c r="J421" s="5"/>
      <c r="K421" s="5"/>
      <c r="L421" s="5"/>
      <c r="M421" s="5"/>
      <c r="N421" s="5"/>
      <c r="O421" s="5"/>
    </row>
    <row r="422" spans="1:15" x14ac:dyDescent="0.3">
      <c r="A422" s="5" t="s">
        <v>2324</v>
      </c>
      <c r="B422" s="8" t="s">
        <v>2345</v>
      </c>
      <c r="C422" s="5"/>
      <c r="D422" s="5" t="s">
        <v>2330</v>
      </c>
      <c r="E422" s="5"/>
      <c r="F422" s="5"/>
      <c r="G422" s="5" t="s">
        <v>38</v>
      </c>
      <c r="H422" s="5"/>
      <c r="I422" s="5"/>
      <c r="J422" s="5"/>
      <c r="K422" s="5"/>
      <c r="L422" s="5"/>
      <c r="M422" s="5"/>
      <c r="N422" s="5"/>
      <c r="O422" s="5"/>
    </row>
    <row r="423" spans="1:15" x14ac:dyDescent="0.3">
      <c r="A423" s="5" t="s">
        <v>2324</v>
      </c>
      <c r="B423" s="8" t="s">
        <v>2346</v>
      </c>
      <c r="C423" s="5"/>
      <c r="D423" s="5" t="s">
        <v>2330</v>
      </c>
      <c r="E423" s="5"/>
      <c r="F423" s="5"/>
      <c r="G423" s="5" t="s">
        <v>38</v>
      </c>
      <c r="H423" s="5"/>
      <c r="I423" s="5"/>
      <c r="J423" s="5"/>
      <c r="K423" s="5"/>
      <c r="L423" s="5"/>
      <c r="M423" s="5"/>
      <c r="N423" s="5"/>
      <c r="O423" s="5"/>
    </row>
    <row r="424" spans="1:15" x14ac:dyDescent="0.3">
      <c r="A424" s="5" t="s">
        <v>2324</v>
      </c>
      <c r="B424" s="8" t="s">
        <v>2347</v>
      </c>
      <c r="C424" s="5"/>
      <c r="D424" s="5" t="s">
        <v>2330</v>
      </c>
      <c r="E424" s="5"/>
      <c r="F424" s="5"/>
      <c r="G424" s="5" t="s">
        <v>38</v>
      </c>
      <c r="H424" s="5"/>
      <c r="I424" s="5"/>
      <c r="J424" s="5"/>
      <c r="K424" s="5"/>
      <c r="L424" s="5"/>
      <c r="M424" s="5"/>
      <c r="N424" s="5"/>
      <c r="O424" s="5"/>
    </row>
    <row r="425" spans="1:15" x14ac:dyDescent="0.3">
      <c r="A425" s="5" t="s">
        <v>2324</v>
      </c>
      <c r="B425" s="8" t="s">
        <v>2348</v>
      </c>
      <c r="C425" s="5"/>
      <c r="D425" s="5" t="s">
        <v>2330</v>
      </c>
      <c r="E425" s="5"/>
      <c r="F425" s="5"/>
      <c r="G425" s="5" t="s">
        <v>38</v>
      </c>
      <c r="H425" s="5"/>
      <c r="I425" s="5"/>
      <c r="J425" s="5"/>
      <c r="K425" s="5"/>
      <c r="L425" s="5"/>
      <c r="M425" s="5"/>
      <c r="N425" s="5"/>
      <c r="O425" s="5"/>
    </row>
    <row r="426" spans="1:15" x14ac:dyDescent="0.3">
      <c r="A426" s="5" t="s">
        <v>2324</v>
      </c>
      <c r="B426" s="8" t="s">
        <v>2349</v>
      </c>
      <c r="C426" s="5"/>
      <c r="D426" s="5" t="s">
        <v>2330</v>
      </c>
      <c r="E426" s="5"/>
      <c r="F426" s="5"/>
      <c r="G426" s="5" t="s">
        <v>38</v>
      </c>
      <c r="H426" s="5"/>
      <c r="I426" s="5"/>
      <c r="J426" s="5"/>
      <c r="K426" s="5"/>
      <c r="L426" s="5"/>
      <c r="M426" s="5"/>
      <c r="N426" s="5"/>
      <c r="O426" s="5"/>
    </row>
    <row r="427" spans="1:15" x14ac:dyDescent="0.3">
      <c r="A427" s="5" t="s">
        <v>2324</v>
      </c>
      <c r="B427" s="8" t="s">
        <v>2350</v>
      </c>
      <c r="C427" s="5"/>
      <c r="D427" s="5" t="s">
        <v>2330</v>
      </c>
      <c r="E427" s="5"/>
      <c r="F427" s="5"/>
      <c r="G427" s="5" t="s">
        <v>38</v>
      </c>
      <c r="H427" s="5"/>
      <c r="I427" s="5"/>
      <c r="J427" s="5"/>
      <c r="K427" s="5"/>
      <c r="L427" s="5"/>
      <c r="M427" s="5"/>
      <c r="N427" s="5"/>
      <c r="O427" s="5"/>
    </row>
    <row r="428" spans="1:15" x14ac:dyDescent="0.3">
      <c r="A428" s="5" t="s">
        <v>2324</v>
      </c>
      <c r="B428" s="8" t="s">
        <v>2351</v>
      </c>
      <c r="C428" s="5"/>
      <c r="D428" s="5" t="s">
        <v>2330</v>
      </c>
      <c r="E428" s="5"/>
      <c r="F428" s="5"/>
      <c r="G428" s="5" t="s">
        <v>38</v>
      </c>
      <c r="H428" s="5"/>
      <c r="I428" s="5"/>
      <c r="J428" s="5"/>
      <c r="K428" s="5"/>
      <c r="L428" s="5"/>
      <c r="M428" s="5"/>
      <c r="N428" s="5"/>
      <c r="O428" s="5"/>
    </row>
    <row r="429" spans="1:15" x14ac:dyDescent="0.3">
      <c r="A429" s="5" t="s">
        <v>2324</v>
      </c>
      <c r="B429" s="8" t="s">
        <v>2352</v>
      </c>
      <c r="C429" s="5"/>
      <c r="D429" s="5" t="s">
        <v>2330</v>
      </c>
      <c r="E429" s="5"/>
      <c r="F429" s="5"/>
      <c r="G429" s="5" t="s">
        <v>38</v>
      </c>
      <c r="H429" s="5"/>
      <c r="I429" s="5"/>
      <c r="J429" s="5"/>
      <c r="K429" s="5"/>
      <c r="L429" s="5"/>
      <c r="M429" s="5"/>
      <c r="N429" s="5"/>
      <c r="O429" s="5"/>
    </row>
    <row r="430" spans="1:15" x14ac:dyDescent="0.3">
      <c r="A430" s="5" t="s">
        <v>2324</v>
      </c>
      <c r="B430" s="8" t="s">
        <v>2353</v>
      </c>
      <c r="C430" s="5"/>
      <c r="D430" s="5" t="s">
        <v>2330</v>
      </c>
      <c r="E430" s="5"/>
      <c r="F430" s="5"/>
      <c r="G430" s="5" t="s">
        <v>38</v>
      </c>
      <c r="H430" s="5"/>
      <c r="I430" s="5"/>
      <c r="J430" s="5"/>
      <c r="K430" s="5"/>
      <c r="L430" s="5"/>
      <c r="M430" s="5"/>
      <c r="N430" s="5"/>
      <c r="O430" s="5"/>
    </row>
    <row r="431" spans="1:15" x14ac:dyDescent="0.3">
      <c r="A431" s="5" t="s">
        <v>2354</v>
      </c>
      <c r="B431" s="8" t="s">
        <v>2355</v>
      </c>
      <c r="C431" s="5">
        <v>72</v>
      </c>
      <c r="D431" s="5" t="s">
        <v>2356</v>
      </c>
      <c r="E431" s="5"/>
      <c r="F431" s="5"/>
      <c r="G431" s="5" t="s">
        <v>38</v>
      </c>
      <c r="H431" s="5"/>
      <c r="I431" s="5"/>
      <c r="J431" s="5"/>
      <c r="K431" s="5"/>
      <c r="L431" s="5"/>
      <c r="M431" s="5"/>
      <c r="N431" s="5"/>
      <c r="O431" s="5"/>
    </row>
    <row r="432" spans="1:15" x14ac:dyDescent="0.3">
      <c r="A432" s="5" t="s">
        <v>2354</v>
      </c>
      <c r="B432" s="8" t="s">
        <v>2357</v>
      </c>
      <c r="C432" s="5">
        <v>72</v>
      </c>
      <c r="D432" s="5" t="s">
        <v>2358</v>
      </c>
      <c r="E432" s="5"/>
      <c r="F432" s="5"/>
      <c r="G432" s="5" t="s">
        <v>38</v>
      </c>
      <c r="H432" s="5"/>
      <c r="I432" s="5"/>
      <c r="J432" s="5"/>
      <c r="K432" s="5"/>
      <c r="L432" s="5"/>
      <c r="M432" s="5"/>
      <c r="N432" s="5"/>
      <c r="O432" s="5"/>
    </row>
    <row r="433" spans="1:15" x14ac:dyDescent="0.3">
      <c r="A433" s="5" t="s">
        <v>2354</v>
      </c>
      <c r="B433" s="8" t="s">
        <v>2359</v>
      </c>
      <c r="C433" s="5">
        <v>38</v>
      </c>
      <c r="D433" s="5" t="s">
        <v>1788</v>
      </c>
      <c r="E433" s="5"/>
      <c r="F433" s="5"/>
      <c r="G433" s="5" t="s">
        <v>38</v>
      </c>
      <c r="H433" s="5"/>
      <c r="I433" s="5"/>
      <c r="J433" s="5"/>
      <c r="K433" s="5"/>
      <c r="L433" s="5"/>
      <c r="M433" s="5"/>
      <c r="N433" s="5"/>
      <c r="O433" s="5"/>
    </row>
    <row r="434" spans="1:15" x14ac:dyDescent="0.3">
      <c r="A434" s="5" t="s">
        <v>2354</v>
      </c>
      <c r="B434" s="8" t="s">
        <v>2360</v>
      </c>
      <c r="C434" s="5">
        <v>38</v>
      </c>
      <c r="D434" s="5" t="s">
        <v>1788</v>
      </c>
      <c r="E434" s="5"/>
      <c r="F434" s="5"/>
      <c r="G434" s="5" t="s">
        <v>38</v>
      </c>
      <c r="H434" s="5"/>
      <c r="I434" s="5"/>
      <c r="J434" s="5"/>
      <c r="K434" s="5"/>
      <c r="L434" s="5"/>
      <c r="M434" s="5"/>
      <c r="N434" s="5"/>
      <c r="O434" s="5"/>
    </row>
    <row r="435" spans="1:15" x14ac:dyDescent="0.3">
      <c r="A435" s="5" t="s">
        <v>2354</v>
      </c>
      <c r="B435" s="8" t="s">
        <v>2361</v>
      </c>
      <c r="C435" s="5">
        <v>139</v>
      </c>
      <c r="D435" s="5" t="s">
        <v>1788</v>
      </c>
      <c r="E435" s="5"/>
      <c r="F435" s="5"/>
      <c r="G435" s="5" t="s">
        <v>38</v>
      </c>
      <c r="H435" s="5"/>
      <c r="I435" s="5"/>
      <c r="J435" s="5"/>
      <c r="K435" s="5"/>
      <c r="L435" s="5"/>
      <c r="M435" s="5"/>
      <c r="N435" s="5"/>
      <c r="O435" s="5"/>
    </row>
    <row r="436" spans="1:15" x14ac:dyDescent="0.3">
      <c r="A436" s="5" t="s">
        <v>2354</v>
      </c>
      <c r="B436" s="8" t="s">
        <v>2362</v>
      </c>
      <c r="C436" s="5">
        <v>489</v>
      </c>
      <c r="D436" s="5" t="s">
        <v>1788</v>
      </c>
      <c r="E436" s="5"/>
      <c r="F436" s="5"/>
      <c r="G436" s="5" t="s">
        <v>38</v>
      </c>
      <c r="H436" s="5"/>
      <c r="I436" s="5"/>
      <c r="J436" s="5"/>
      <c r="K436" s="5"/>
      <c r="L436" s="5"/>
      <c r="M436" s="5"/>
      <c r="N436" s="5"/>
      <c r="O436" s="5"/>
    </row>
    <row r="437" spans="1:15" x14ac:dyDescent="0.3">
      <c r="A437" s="5" t="s">
        <v>2354</v>
      </c>
      <c r="B437" s="8" t="s">
        <v>2363</v>
      </c>
      <c r="C437" s="5">
        <v>89</v>
      </c>
      <c r="D437" s="5" t="s">
        <v>1788</v>
      </c>
      <c r="E437" s="5"/>
      <c r="F437" s="5"/>
      <c r="G437" s="5" t="s">
        <v>38</v>
      </c>
      <c r="H437" s="5"/>
      <c r="I437" s="5"/>
      <c r="J437" s="5"/>
      <c r="K437" s="5"/>
      <c r="L437" s="5"/>
      <c r="M437" s="5"/>
      <c r="N437" s="5"/>
      <c r="O437" s="5"/>
    </row>
    <row r="438" spans="1:15" x14ac:dyDescent="0.3">
      <c r="A438" s="5" t="s">
        <v>2354</v>
      </c>
      <c r="B438" s="8" t="s">
        <v>2364</v>
      </c>
      <c r="C438" s="5">
        <v>432</v>
      </c>
      <c r="D438" s="5" t="s">
        <v>1788</v>
      </c>
      <c r="E438" s="5"/>
      <c r="F438" s="5"/>
      <c r="G438" s="5" t="s">
        <v>38</v>
      </c>
      <c r="H438" s="5"/>
      <c r="I438" s="5"/>
      <c r="J438" s="5"/>
      <c r="K438" s="5"/>
      <c r="L438" s="5"/>
      <c r="M438" s="5"/>
      <c r="N438" s="5"/>
      <c r="O438" s="5"/>
    </row>
    <row r="439" spans="1:15" x14ac:dyDescent="0.3">
      <c r="A439" s="5" t="s">
        <v>2354</v>
      </c>
      <c r="B439" s="8" t="s">
        <v>2365</v>
      </c>
      <c r="C439" s="5"/>
      <c r="D439" s="5" t="s">
        <v>1788</v>
      </c>
      <c r="E439" s="5"/>
      <c r="F439" s="5"/>
      <c r="G439" s="5" t="s">
        <v>38</v>
      </c>
      <c r="H439" s="5"/>
      <c r="I439" s="5"/>
      <c r="J439" s="5"/>
      <c r="K439" s="5"/>
      <c r="L439" s="5"/>
      <c r="M439" s="5"/>
      <c r="N439" s="5"/>
      <c r="O439" s="5"/>
    </row>
    <row r="440" spans="1:15" x14ac:dyDescent="0.3">
      <c r="A440" s="5" t="s">
        <v>2354</v>
      </c>
      <c r="B440" s="8" t="s">
        <v>2366</v>
      </c>
      <c r="C440" s="5"/>
      <c r="D440" s="5" t="s">
        <v>1788</v>
      </c>
      <c r="E440" s="5"/>
      <c r="F440" s="5"/>
      <c r="G440" s="5" t="s">
        <v>38</v>
      </c>
      <c r="H440" s="5"/>
      <c r="I440" s="5"/>
      <c r="J440" s="5"/>
      <c r="K440" s="5"/>
      <c r="L440" s="5"/>
      <c r="M440" s="5"/>
      <c r="N440" s="5"/>
      <c r="O440" s="5"/>
    </row>
    <row r="441" spans="1:15" x14ac:dyDescent="0.3">
      <c r="A441" s="5" t="s">
        <v>2354</v>
      </c>
      <c r="B441" s="8" t="s">
        <v>2367</v>
      </c>
      <c r="C441" s="5"/>
      <c r="D441" s="5" t="s">
        <v>1788</v>
      </c>
      <c r="E441" s="5"/>
      <c r="F441" s="5"/>
      <c r="G441" s="5" t="s">
        <v>38</v>
      </c>
      <c r="H441" s="5"/>
      <c r="I441" s="5"/>
      <c r="J441" s="5"/>
      <c r="K441" s="5"/>
      <c r="L441" s="5"/>
      <c r="M441" s="5"/>
      <c r="N441" s="5"/>
      <c r="O441" s="5"/>
    </row>
    <row r="442" spans="1:15" x14ac:dyDescent="0.3">
      <c r="A442" s="5" t="s">
        <v>2354</v>
      </c>
      <c r="B442" s="8" t="s">
        <v>2368</v>
      </c>
      <c r="C442" s="5"/>
      <c r="D442" s="5" t="s">
        <v>1788</v>
      </c>
      <c r="E442" s="5"/>
      <c r="F442" s="5"/>
      <c r="G442" s="5" t="s">
        <v>38</v>
      </c>
      <c r="H442" s="5"/>
      <c r="I442" s="5"/>
      <c r="J442" s="5"/>
      <c r="K442" s="5"/>
      <c r="L442" s="5"/>
      <c r="M442" s="5"/>
      <c r="N442" s="5"/>
      <c r="O442" s="5"/>
    </row>
    <row r="443" spans="1:15" x14ac:dyDescent="0.3">
      <c r="A443" s="5" t="s">
        <v>2354</v>
      </c>
      <c r="B443" s="8" t="s">
        <v>2369</v>
      </c>
      <c r="C443" s="5"/>
      <c r="D443" s="5" t="s">
        <v>1788</v>
      </c>
      <c r="E443" s="5"/>
      <c r="F443" s="5"/>
      <c r="G443" s="5" t="s">
        <v>38</v>
      </c>
      <c r="H443" s="5"/>
      <c r="I443" s="5"/>
      <c r="J443" s="5"/>
      <c r="K443" s="5"/>
      <c r="L443" s="5"/>
      <c r="M443" s="5"/>
      <c r="N443" s="5"/>
      <c r="O443" s="5"/>
    </row>
    <row r="444" spans="1:15" x14ac:dyDescent="0.3">
      <c r="A444" s="5" t="s">
        <v>2354</v>
      </c>
      <c r="B444" s="8" t="s">
        <v>2370</v>
      </c>
      <c r="C444" s="5">
        <v>75</v>
      </c>
      <c r="D444" s="5" t="s">
        <v>2371</v>
      </c>
      <c r="E444" s="5"/>
      <c r="F444" s="5"/>
      <c r="G444" s="5" t="s">
        <v>38</v>
      </c>
      <c r="H444" s="5"/>
      <c r="I444" s="5"/>
      <c r="J444" s="5"/>
      <c r="K444" s="5"/>
      <c r="L444" s="5"/>
      <c r="M444" s="5"/>
      <c r="N444" s="5"/>
      <c r="O444" s="5"/>
    </row>
    <row r="445" spans="1:15" x14ac:dyDescent="0.3">
      <c r="A445" s="5" t="s">
        <v>2354</v>
      </c>
      <c r="B445" s="8" t="s">
        <v>2372</v>
      </c>
      <c r="C445" s="5">
        <v>75</v>
      </c>
      <c r="D445" s="5" t="s">
        <v>2371</v>
      </c>
      <c r="E445" s="5"/>
      <c r="F445" s="5"/>
      <c r="G445" s="5" t="s">
        <v>38</v>
      </c>
      <c r="H445" s="5"/>
      <c r="I445" s="5"/>
      <c r="J445" s="5"/>
      <c r="K445" s="5"/>
      <c r="L445" s="5"/>
      <c r="M445" s="5"/>
      <c r="N445" s="5"/>
      <c r="O445" s="5"/>
    </row>
    <row r="446" spans="1:15" x14ac:dyDescent="0.3">
      <c r="A446" s="5" t="s">
        <v>2354</v>
      </c>
      <c r="B446" s="8" t="s">
        <v>2373</v>
      </c>
      <c r="C446" s="5">
        <v>75</v>
      </c>
      <c r="D446" s="5" t="s">
        <v>2371</v>
      </c>
      <c r="E446" s="5"/>
      <c r="F446" s="5"/>
      <c r="G446" s="5" t="s">
        <v>38</v>
      </c>
      <c r="H446" s="5"/>
      <c r="I446" s="5"/>
      <c r="J446" s="5"/>
      <c r="K446" s="5"/>
      <c r="L446" s="5"/>
      <c r="M446" s="5"/>
      <c r="N446" s="5"/>
      <c r="O446" s="5"/>
    </row>
    <row r="447" spans="1:15" x14ac:dyDescent="0.3">
      <c r="A447" s="5" t="s">
        <v>2354</v>
      </c>
      <c r="B447" s="8" t="s">
        <v>2374</v>
      </c>
      <c r="C447" s="5">
        <v>75</v>
      </c>
      <c r="D447" s="5" t="s">
        <v>2375</v>
      </c>
      <c r="E447" s="5"/>
      <c r="F447" s="5"/>
      <c r="G447" s="5" t="s">
        <v>38</v>
      </c>
      <c r="H447" s="5"/>
      <c r="I447" s="5"/>
      <c r="J447" s="5"/>
      <c r="K447" s="5"/>
      <c r="L447" s="5"/>
      <c r="M447" s="5"/>
      <c r="N447" s="5"/>
      <c r="O447" s="5"/>
    </row>
    <row r="448" spans="1:15" x14ac:dyDescent="0.3">
      <c r="A448" s="5" t="s">
        <v>2354</v>
      </c>
      <c r="B448" s="8" t="s">
        <v>2376</v>
      </c>
      <c r="C448" s="5">
        <v>75</v>
      </c>
      <c r="D448" s="5" t="s">
        <v>2377</v>
      </c>
      <c r="E448" s="5"/>
      <c r="F448" s="5"/>
      <c r="G448" s="5" t="s">
        <v>38</v>
      </c>
      <c r="H448" s="5"/>
      <c r="I448" s="5"/>
      <c r="J448" s="5"/>
      <c r="K448" s="5">
        <v>4.21</v>
      </c>
      <c r="L448" s="5">
        <v>10.31</v>
      </c>
      <c r="M448" s="5"/>
      <c r="N448" s="5"/>
      <c r="O448" s="5"/>
    </row>
    <row r="449" spans="1:15" x14ac:dyDescent="0.3">
      <c r="A449" s="5" t="s">
        <v>2354</v>
      </c>
      <c r="B449" s="8" t="s">
        <v>2378</v>
      </c>
      <c r="C449" s="5">
        <v>75</v>
      </c>
      <c r="D449" s="5" t="s">
        <v>2379</v>
      </c>
      <c r="E449" s="5"/>
      <c r="F449" s="5"/>
      <c r="G449" s="5" t="s">
        <v>38</v>
      </c>
      <c r="H449" s="5"/>
      <c r="I449" s="5"/>
      <c r="J449" s="5"/>
      <c r="K449" s="5"/>
      <c r="L449" s="5"/>
      <c r="M449" s="5"/>
      <c r="N449" s="5"/>
      <c r="O449" s="5"/>
    </row>
    <row r="450" spans="1:15" x14ac:dyDescent="0.3">
      <c r="A450" s="5" t="s">
        <v>2354</v>
      </c>
      <c r="B450" s="8" t="s">
        <v>2380</v>
      </c>
      <c r="C450" s="5">
        <v>75</v>
      </c>
      <c r="D450" s="5" t="s">
        <v>2381</v>
      </c>
      <c r="E450" s="5"/>
      <c r="F450" s="5"/>
      <c r="G450" s="5" t="s">
        <v>38</v>
      </c>
      <c r="H450" s="5"/>
      <c r="I450" s="5"/>
      <c r="J450" s="5"/>
      <c r="K450" s="5"/>
      <c r="L450" s="5"/>
      <c r="M450" s="5"/>
      <c r="N450" s="5"/>
      <c r="O450" s="5"/>
    </row>
    <row r="451" spans="1:15" x14ac:dyDescent="0.3">
      <c r="A451" s="5" t="s">
        <v>2354</v>
      </c>
      <c r="B451" s="8" t="s">
        <v>2382</v>
      </c>
      <c r="C451" s="5">
        <v>75</v>
      </c>
      <c r="D451" s="5" t="s">
        <v>2383</v>
      </c>
      <c r="E451" s="5"/>
      <c r="F451" s="5"/>
      <c r="G451" s="5" t="s">
        <v>38</v>
      </c>
      <c r="H451" s="5"/>
      <c r="I451" s="5"/>
      <c r="J451" s="5"/>
      <c r="K451" s="5"/>
      <c r="L451" s="5"/>
      <c r="M451" s="5"/>
      <c r="N451" s="5"/>
      <c r="O451" s="5"/>
    </row>
    <row r="452" spans="1:15" x14ac:dyDescent="0.3">
      <c r="A452" s="5" t="s">
        <v>2354</v>
      </c>
      <c r="B452" s="8" t="s">
        <v>2384</v>
      </c>
      <c r="C452" s="5">
        <v>75</v>
      </c>
      <c r="D452" s="5" t="s">
        <v>2383</v>
      </c>
      <c r="E452" s="5"/>
      <c r="F452" s="5"/>
      <c r="G452" s="5" t="s">
        <v>38</v>
      </c>
      <c r="H452" s="5"/>
      <c r="I452" s="5"/>
      <c r="J452" s="5"/>
      <c r="K452" s="5"/>
      <c r="L452" s="5"/>
      <c r="M452" s="5"/>
      <c r="N452" s="5"/>
      <c r="O452" s="5"/>
    </row>
    <row r="453" spans="1:15" x14ac:dyDescent="0.3">
      <c r="A453" s="5" t="s">
        <v>2385</v>
      </c>
      <c r="B453" s="8" t="s">
        <v>2386</v>
      </c>
      <c r="C453" s="5">
        <v>839</v>
      </c>
      <c r="D453" s="5" t="s">
        <v>2387</v>
      </c>
      <c r="E453" s="5"/>
      <c r="F453" s="5"/>
      <c r="G453" s="5" t="s">
        <v>38</v>
      </c>
      <c r="H453" s="5"/>
      <c r="I453" s="5"/>
      <c r="J453" s="5"/>
      <c r="K453" s="5"/>
      <c r="L453" s="5"/>
      <c r="M453" s="5"/>
      <c r="N453" s="5"/>
      <c r="O453" s="5"/>
    </row>
    <row r="454" spans="1:15" x14ac:dyDescent="0.3">
      <c r="A454" s="5" t="s">
        <v>2385</v>
      </c>
      <c r="B454" s="8" t="s">
        <v>2388</v>
      </c>
      <c r="C454" s="5"/>
      <c r="D454" s="5" t="s">
        <v>2387</v>
      </c>
      <c r="E454" s="5"/>
      <c r="F454" s="5"/>
      <c r="G454" s="5" t="s">
        <v>38</v>
      </c>
      <c r="H454" s="5"/>
      <c r="I454" s="5"/>
      <c r="J454" s="5"/>
      <c r="K454" s="5"/>
      <c r="L454" s="5"/>
      <c r="M454" s="5"/>
      <c r="N454" s="5"/>
      <c r="O454" s="5"/>
    </row>
    <row r="455" spans="1:15" x14ac:dyDescent="0.3">
      <c r="A455" s="5" t="s">
        <v>2385</v>
      </c>
      <c r="B455" s="8" t="s">
        <v>2389</v>
      </c>
      <c r="C455" s="5"/>
      <c r="D455" s="5" t="s">
        <v>2387</v>
      </c>
      <c r="E455" s="5"/>
      <c r="F455" s="5"/>
      <c r="G455" s="5" t="s">
        <v>38</v>
      </c>
      <c r="H455" s="5"/>
      <c r="I455" s="5"/>
      <c r="J455" s="5"/>
      <c r="K455" s="5"/>
      <c r="L455" s="5"/>
      <c r="M455" s="5"/>
      <c r="N455" s="5"/>
      <c r="O455" s="5"/>
    </row>
    <row r="456" spans="1:15" x14ac:dyDescent="0.3">
      <c r="A456" s="5" t="s">
        <v>2385</v>
      </c>
      <c r="B456" s="8" t="s">
        <v>2390</v>
      </c>
      <c r="C456" s="5"/>
      <c r="D456" s="5" t="s">
        <v>2387</v>
      </c>
      <c r="E456" s="5"/>
      <c r="F456" s="5"/>
      <c r="G456" s="5" t="s">
        <v>38</v>
      </c>
      <c r="H456" s="5"/>
      <c r="I456" s="5"/>
      <c r="J456" s="5"/>
      <c r="K456" s="5"/>
      <c r="L456" s="5"/>
      <c r="M456" s="5"/>
      <c r="N456" s="5"/>
      <c r="O456" s="5"/>
    </row>
    <row r="457" spans="1:15" x14ac:dyDescent="0.3">
      <c r="A457" s="5" t="s">
        <v>2385</v>
      </c>
      <c r="B457" s="8" t="s">
        <v>2391</v>
      </c>
      <c r="C457" s="5"/>
      <c r="D457" s="5" t="s">
        <v>2387</v>
      </c>
      <c r="E457" s="5"/>
      <c r="F457" s="5"/>
      <c r="G457" s="5" t="s">
        <v>38</v>
      </c>
      <c r="H457" s="5"/>
      <c r="I457" s="5"/>
      <c r="J457" s="5"/>
      <c r="K457" s="5"/>
      <c r="L457" s="5"/>
      <c r="M457" s="5"/>
      <c r="N457" s="5"/>
      <c r="O457" s="5"/>
    </row>
    <row r="458" spans="1:15" x14ac:dyDescent="0.3">
      <c r="A458" s="5" t="s">
        <v>2385</v>
      </c>
      <c r="B458" s="8" t="s">
        <v>2392</v>
      </c>
      <c r="C458" s="5"/>
      <c r="D458" s="5" t="s">
        <v>2387</v>
      </c>
      <c r="E458" s="5"/>
      <c r="F458" s="5"/>
      <c r="G458" s="5" t="s">
        <v>38</v>
      </c>
      <c r="H458" s="5"/>
      <c r="I458" s="5"/>
      <c r="J458" s="5"/>
      <c r="K458" s="5"/>
      <c r="L458" s="5"/>
      <c r="M458" s="5"/>
      <c r="N458" s="5"/>
      <c r="O458" s="5"/>
    </row>
    <row r="459" spans="1:15" x14ac:dyDescent="0.3">
      <c r="A459" s="5" t="s">
        <v>2385</v>
      </c>
      <c r="B459" s="8" t="s">
        <v>2393</v>
      </c>
      <c r="C459" s="5"/>
      <c r="D459" s="5" t="s">
        <v>2387</v>
      </c>
      <c r="E459" s="5"/>
      <c r="F459" s="5"/>
      <c r="G459" s="5" t="s">
        <v>38</v>
      </c>
      <c r="H459" s="5"/>
      <c r="I459" s="5"/>
      <c r="J459" s="5"/>
      <c r="K459" s="5"/>
      <c r="L459" s="5"/>
      <c r="M459" s="5"/>
      <c r="N459" s="5"/>
      <c r="O459" s="5"/>
    </row>
    <row r="460" spans="1:15" x14ac:dyDescent="0.3">
      <c r="A460" s="5" t="s">
        <v>2385</v>
      </c>
      <c r="B460" s="8" t="s">
        <v>2394</v>
      </c>
      <c r="C460" s="5"/>
      <c r="D460" s="5" t="s">
        <v>2387</v>
      </c>
      <c r="E460" s="5"/>
      <c r="F460" s="5"/>
      <c r="G460" s="5" t="s">
        <v>38</v>
      </c>
      <c r="H460" s="5"/>
      <c r="I460" s="5"/>
      <c r="J460" s="5"/>
      <c r="K460" s="5"/>
      <c r="L460" s="5"/>
      <c r="M460" s="5"/>
      <c r="N460" s="5"/>
      <c r="O460" s="5"/>
    </row>
    <row r="461" spans="1:15" x14ac:dyDescent="0.3">
      <c r="A461" s="5" t="s">
        <v>2385</v>
      </c>
      <c r="B461" s="8" t="s">
        <v>2395</v>
      </c>
      <c r="C461" s="5"/>
      <c r="D461" s="5" t="s">
        <v>2387</v>
      </c>
      <c r="E461" s="5"/>
      <c r="F461" s="5"/>
      <c r="G461" s="5" t="s">
        <v>38</v>
      </c>
      <c r="H461" s="5"/>
      <c r="I461" s="5"/>
      <c r="J461" s="5"/>
      <c r="K461" s="5"/>
      <c r="L461" s="5"/>
      <c r="M461" s="5"/>
      <c r="N461" s="5"/>
      <c r="O461" s="5"/>
    </row>
    <row r="462" spans="1:15" x14ac:dyDescent="0.3">
      <c r="A462" s="5" t="s">
        <v>2385</v>
      </c>
      <c r="B462" s="8" t="s">
        <v>2396</v>
      </c>
      <c r="C462" s="5"/>
      <c r="D462" s="5" t="s">
        <v>2387</v>
      </c>
      <c r="E462" s="5"/>
      <c r="F462" s="5"/>
      <c r="G462" s="5" t="s">
        <v>38</v>
      </c>
      <c r="H462" s="5"/>
      <c r="I462" s="5"/>
      <c r="J462" s="5"/>
      <c r="K462" s="5"/>
      <c r="L462" s="5"/>
      <c r="M462" s="5"/>
      <c r="N462" s="5"/>
      <c r="O462" s="5"/>
    </row>
    <row r="463" spans="1:15" x14ac:dyDescent="0.3">
      <c r="A463" s="5" t="s">
        <v>2385</v>
      </c>
      <c r="B463" s="8" t="s">
        <v>2397</v>
      </c>
      <c r="C463" s="5"/>
      <c r="D463" s="5" t="s">
        <v>2387</v>
      </c>
      <c r="E463" s="5"/>
      <c r="F463" s="5"/>
      <c r="G463" s="5" t="s">
        <v>38</v>
      </c>
      <c r="H463" s="5"/>
      <c r="I463" s="5"/>
      <c r="J463" s="5"/>
      <c r="K463" s="5"/>
      <c r="L463" s="5"/>
      <c r="M463" s="5"/>
      <c r="N463" s="5"/>
      <c r="O463" s="5"/>
    </row>
    <row r="464" spans="1:15" x14ac:dyDescent="0.3">
      <c r="A464" s="5" t="s">
        <v>2385</v>
      </c>
      <c r="B464" s="8" t="s">
        <v>2398</v>
      </c>
      <c r="C464" s="5"/>
      <c r="D464" s="5" t="s">
        <v>2387</v>
      </c>
      <c r="E464" s="5"/>
      <c r="F464" s="5"/>
      <c r="G464" s="5" t="s">
        <v>38</v>
      </c>
      <c r="H464" s="5"/>
      <c r="I464" s="5"/>
      <c r="J464" s="5"/>
      <c r="K464" s="5"/>
      <c r="L464" s="5"/>
      <c r="M464" s="5"/>
      <c r="N464" s="5"/>
      <c r="O464" s="5"/>
    </row>
    <row r="465" spans="1:15" x14ac:dyDescent="0.3">
      <c r="A465" s="5" t="s">
        <v>2385</v>
      </c>
      <c r="B465" s="8" t="s">
        <v>2399</v>
      </c>
      <c r="C465" s="5"/>
      <c r="D465" s="5" t="s">
        <v>2387</v>
      </c>
      <c r="E465" s="5"/>
      <c r="F465" s="5"/>
      <c r="G465" s="5" t="s">
        <v>38</v>
      </c>
      <c r="H465" s="5"/>
      <c r="I465" s="5"/>
      <c r="J465" s="5"/>
      <c r="K465" s="5"/>
      <c r="L465" s="5"/>
      <c r="M465" s="5"/>
      <c r="N465" s="5"/>
      <c r="O465" s="5"/>
    </row>
    <row r="466" spans="1:15" x14ac:dyDescent="0.3">
      <c r="A466" s="5" t="s">
        <v>2385</v>
      </c>
      <c r="B466" s="8" t="s">
        <v>2400</v>
      </c>
      <c r="C466" s="5"/>
      <c r="D466" s="5" t="s">
        <v>2387</v>
      </c>
      <c r="E466" s="5"/>
      <c r="F466" s="5"/>
      <c r="G466" s="5" t="s">
        <v>38</v>
      </c>
      <c r="H466" s="5"/>
      <c r="I466" s="5"/>
      <c r="J466" s="5"/>
      <c r="K466" s="5"/>
      <c r="L466" s="5"/>
      <c r="M466" s="5"/>
      <c r="N466" s="5"/>
      <c r="O466" s="5"/>
    </row>
    <row r="467" spans="1:15" x14ac:dyDescent="0.3">
      <c r="A467" s="5" t="s">
        <v>2385</v>
      </c>
      <c r="B467" s="8" t="s">
        <v>2401</v>
      </c>
      <c r="C467" s="5"/>
      <c r="D467" s="5" t="s">
        <v>2387</v>
      </c>
      <c r="E467" s="5"/>
      <c r="F467" s="5"/>
      <c r="G467" s="5" t="s">
        <v>38</v>
      </c>
      <c r="H467" s="5"/>
      <c r="I467" s="5"/>
      <c r="J467" s="5"/>
      <c r="K467" s="5"/>
      <c r="L467" s="5"/>
      <c r="M467" s="5"/>
      <c r="N467" s="5"/>
      <c r="O467" s="5"/>
    </row>
    <row r="468" spans="1:15" x14ac:dyDescent="0.3">
      <c r="A468" s="5" t="s">
        <v>2385</v>
      </c>
      <c r="B468" s="8" t="s">
        <v>2402</v>
      </c>
      <c r="C468" s="5"/>
      <c r="D468" s="5" t="s">
        <v>2387</v>
      </c>
      <c r="E468" s="5"/>
      <c r="F468" s="5"/>
      <c r="G468" s="5" t="s">
        <v>38</v>
      </c>
      <c r="H468" s="5"/>
      <c r="I468" s="5"/>
      <c r="J468" s="5"/>
      <c r="K468" s="5"/>
      <c r="L468" s="5"/>
      <c r="M468" s="5"/>
      <c r="N468" s="5"/>
      <c r="O468" s="5"/>
    </row>
    <row r="469" spans="1:15" x14ac:dyDescent="0.3">
      <c r="A469" s="5" t="s">
        <v>2385</v>
      </c>
      <c r="B469" s="8" t="s">
        <v>2403</v>
      </c>
      <c r="C469" s="5"/>
      <c r="D469" s="5" t="s">
        <v>2387</v>
      </c>
      <c r="E469" s="5"/>
      <c r="F469" s="5"/>
      <c r="G469" s="5" t="s">
        <v>38</v>
      </c>
      <c r="H469" s="5"/>
      <c r="I469" s="5"/>
      <c r="J469" s="5"/>
      <c r="K469" s="5"/>
      <c r="L469" s="5"/>
      <c r="M469" s="5"/>
      <c r="N469" s="5"/>
      <c r="O469" s="5"/>
    </row>
    <row r="470" spans="1:15" x14ac:dyDescent="0.3">
      <c r="A470" s="5" t="s">
        <v>2385</v>
      </c>
      <c r="B470" s="8" t="s">
        <v>2404</v>
      </c>
      <c r="C470" s="5">
        <v>513</v>
      </c>
      <c r="D470" s="5" t="s">
        <v>2405</v>
      </c>
      <c r="E470" s="5"/>
      <c r="F470" s="5"/>
      <c r="G470" s="5" t="s">
        <v>38</v>
      </c>
      <c r="H470" s="5"/>
      <c r="I470" s="5"/>
      <c r="J470" s="5"/>
      <c r="K470" s="5"/>
      <c r="L470" s="5"/>
      <c r="M470" s="5"/>
      <c r="N470" s="5"/>
      <c r="O470" s="5"/>
    </row>
    <row r="471" spans="1:15" x14ac:dyDescent="0.3">
      <c r="A471" s="5" t="s">
        <v>2385</v>
      </c>
      <c r="B471" s="8" t="s">
        <v>2406</v>
      </c>
      <c r="C471" s="5"/>
      <c r="D471" s="5" t="s">
        <v>2405</v>
      </c>
      <c r="E471" s="5"/>
      <c r="F471" s="5"/>
      <c r="G471" s="5" t="s">
        <v>38</v>
      </c>
      <c r="H471" s="5"/>
      <c r="I471" s="5"/>
      <c r="J471" s="5"/>
      <c r="K471" s="5"/>
      <c r="L471" s="5"/>
      <c r="M471" s="5"/>
      <c r="N471" s="5"/>
      <c r="O471" s="5"/>
    </row>
    <row r="472" spans="1:15" x14ac:dyDescent="0.3">
      <c r="A472" s="5" t="s">
        <v>2385</v>
      </c>
      <c r="B472" s="8" t="s">
        <v>2407</v>
      </c>
      <c r="C472" s="5"/>
      <c r="D472" s="5" t="s">
        <v>2405</v>
      </c>
      <c r="E472" s="5"/>
      <c r="F472" s="5"/>
      <c r="G472" s="5" t="s">
        <v>38</v>
      </c>
      <c r="H472" s="5"/>
      <c r="I472" s="5"/>
      <c r="J472" s="5"/>
      <c r="K472" s="5"/>
      <c r="L472" s="5"/>
      <c r="M472" s="5"/>
      <c r="N472" s="5"/>
      <c r="O472" s="5"/>
    </row>
    <row r="473" spans="1:15" x14ac:dyDescent="0.3">
      <c r="A473" s="5" t="s">
        <v>2385</v>
      </c>
      <c r="B473" s="8" t="s">
        <v>2408</v>
      </c>
      <c r="C473" s="5"/>
      <c r="D473" s="5" t="s">
        <v>2405</v>
      </c>
      <c r="E473" s="5"/>
      <c r="F473" s="5"/>
      <c r="G473" s="5" t="s">
        <v>38</v>
      </c>
      <c r="H473" s="5"/>
      <c r="I473" s="5"/>
      <c r="J473" s="5"/>
      <c r="K473" s="5"/>
      <c r="L473" s="5"/>
      <c r="M473" s="5"/>
      <c r="N473" s="5"/>
      <c r="O473" s="5"/>
    </row>
    <row r="474" spans="1:15" x14ac:dyDescent="0.3">
      <c r="A474" s="5" t="s">
        <v>2385</v>
      </c>
      <c r="B474" s="8" t="s">
        <v>2409</v>
      </c>
      <c r="C474" s="5"/>
      <c r="D474" s="5" t="s">
        <v>2405</v>
      </c>
      <c r="E474" s="5"/>
      <c r="F474" s="5"/>
      <c r="G474" s="5" t="s">
        <v>38</v>
      </c>
      <c r="H474" s="5"/>
      <c r="I474" s="5"/>
      <c r="J474" s="5"/>
      <c r="K474" s="5"/>
      <c r="L474" s="5"/>
      <c r="M474" s="5"/>
      <c r="N474" s="5"/>
      <c r="O474" s="5"/>
    </row>
    <row r="475" spans="1:15" x14ac:dyDescent="0.3">
      <c r="A475" s="5" t="s">
        <v>2385</v>
      </c>
      <c r="B475" s="8" t="s">
        <v>2410</v>
      </c>
      <c r="C475" s="5"/>
      <c r="D475" s="5" t="s">
        <v>2405</v>
      </c>
      <c r="E475" s="5"/>
      <c r="F475" s="5"/>
      <c r="G475" s="5" t="s">
        <v>38</v>
      </c>
      <c r="H475" s="5"/>
      <c r="I475" s="5"/>
      <c r="J475" s="5"/>
      <c r="K475" s="5"/>
      <c r="L475" s="5"/>
      <c r="M475" s="5"/>
      <c r="N475" s="5"/>
      <c r="O475" s="5"/>
    </row>
    <row r="476" spans="1:15" x14ac:dyDescent="0.3">
      <c r="A476" s="5" t="s">
        <v>2411</v>
      </c>
      <c r="B476" s="8" t="s">
        <v>2412</v>
      </c>
      <c r="C476" s="5">
        <v>75</v>
      </c>
      <c r="D476" s="5" t="s">
        <v>2413</v>
      </c>
      <c r="E476" s="5"/>
      <c r="F476" s="5"/>
      <c r="G476" s="5" t="s">
        <v>38</v>
      </c>
      <c r="H476" s="5"/>
      <c r="I476" s="5"/>
      <c r="J476" s="5"/>
      <c r="K476" s="5"/>
      <c r="L476" s="5"/>
      <c r="M476" s="5"/>
      <c r="N476" s="5"/>
      <c r="O476" s="5"/>
    </row>
    <row r="477" spans="1:15" x14ac:dyDescent="0.3">
      <c r="A477" s="5" t="s">
        <v>2411</v>
      </c>
      <c r="B477" s="8" t="s">
        <v>2414</v>
      </c>
      <c r="C477" s="5">
        <v>75</v>
      </c>
      <c r="D477" s="5" t="s">
        <v>2413</v>
      </c>
      <c r="E477" s="5"/>
      <c r="F477" s="5"/>
      <c r="G477" s="5" t="s">
        <v>38</v>
      </c>
      <c r="H477" s="5"/>
      <c r="I477" s="5"/>
      <c r="J477" s="5"/>
      <c r="K477" s="5"/>
      <c r="L477" s="5"/>
      <c r="M477" s="5"/>
      <c r="N477" s="5"/>
      <c r="O477" s="5"/>
    </row>
    <row r="478" spans="1:15" x14ac:dyDescent="0.3">
      <c r="A478" s="5" t="s">
        <v>2411</v>
      </c>
      <c r="B478" s="8" t="s">
        <v>2415</v>
      </c>
      <c r="C478" s="5">
        <v>75</v>
      </c>
      <c r="D478" s="5" t="s">
        <v>2416</v>
      </c>
      <c r="E478" s="5"/>
      <c r="F478" s="5"/>
      <c r="G478" s="5" t="s">
        <v>38</v>
      </c>
      <c r="H478" s="5"/>
      <c r="I478" s="5"/>
      <c r="J478" s="5"/>
      <c r="K478" s="5"/>
      <c r="L478" s="5"/>
      <c r="M478" s="5"/>
      <c r="N478" s="5"/>
      <c r="O478" s="5"/>
    </row>
    <row r="479" spans="1:15" x14ac:dyDescent="0.3">
      <c r="A479" s="5" t="s">
        <v>2411</v>
      </c>
      <c r="B479" s="8" t="s">
        <v>2417</v>
      </c>
      <c r="C479" s="5">
        <v>75</v>
      </c>
      <c r="D479" s="5" t="s">
        <v>2418</v>
      </c>
      <c r="E479" s="5"/>
      <c r="F479" s="5"/>
      <c r="G479" s="5" t="s">
        <v>38</v>
      </c>
      <c r="H479" s="5"/>
      <c r="I479" s="5"/>
      <c r="J479" s="5"/>
      <c r="K479" s="5" t="s">
        <v>1826</v>
      </c>
      <c r="L479" s="5"/>
      <c r="M479" s="5"/>
      <c r="N479" s="5"/>
      <c r="O479" s="5"/>
    </row>
    <row r="480" spans="1:15" x14ac:dyDescent="0.3">
      <c r="A480" s="5" t="s">
        <v>2411</v>
      </c>
      <c r="B480" s="8" t="s">
        <v>2419</v>
      </c>
      <c r="C480" s="5">
        <v>75</v>
      </c>
      <c r="D480" s="5" t="s">
        <v>2420</v>
      </c>
      <c r="E480" s="5"/>
      <c r="F480" s="5"/>
      <c r="G480" s="5" t="s">
        <v>38</v>
      </c>
      <c r="H480" s="5"/>
      <c r="I480" s="5"/>
      <c r="J480" s="5"/>
      <c r="K480" s="5" t="s">
        <v>1826</v>
      </c>
      <c r="L480" s="5"/>
      <c r="M480" s="5"/>
      <c r="N480" s="5"/>
      <c r="O480" s="5"/>
    </row>
    <row r="481" spans="1:15" x14ac:dyDescent="0.3">
      <c r="A481" s="5" t="s">
        <v>2411</v>
      </c>
      <c r="B481" s="8" t="s">
        <v>2421</v>
      </c>
      <c r="C481" s="5">
        <v>75</v>
      </c>
      <c r="D481" s="5" t="s">
        <v>2422</v>
      </c>
      <c r="E481" s="5"/>
      <c r="F481" s="5"/>
      <c r="G481" s="5" t="s">
        <v>38</v>
      </c>
      <c r="H481" s="5"/>
      <c r="I481" s="5"/>
      <c r="J481" s="5"/>
      <c r="K481" s="5"/>
      <c r="L481" s="5"/>
      <c r="M481" s="5"/>
      <c r="N481" s="5"/>
      <c r="O481" s="5"/>
    </row>
    <row r="482" spans="1:15" x14ac:dyDescent="0.3">
      <c r="A482" s="5" t="s">
        <v>2411</v>
      </c>
      <c r="B482" s="8" t="s">
        <v>2423</v>
      </c>
      <c r="C482" s="5">
        <v>75</v>
      </c>
      <c r="D482" s="5" t="s">
        <v>2424</v>
      </c>
      <c r="E482" s="5"/>
      <c r="F482" s="5"/>
      <c r="G482" s="5" t="s">
        <v>38</v>
      </c>
      <c r="H482" s="5"/>
      <c r="I482" s="5"/>
      <c r="J482" s="5"/>
      <c r="K482" s="5" t="s">
        <v>1826</v>
      </c>
      <c r="L482" s="5" t="s">
        <v>1827</v>
      </c>
      <c r="M482" s="5"/>
      <c r="N482" s="5"/>
      <c r="O482" s="5"/>
    </row>
    <row r="483" spans="1:15" x14ac:dyDescent="0.3">
      <c r="A483" s="5" t="s">
        <v>2411</v>
      </c>
      <c r="B483" s="8" t="s">
        <v>2425</v>
      </c>
      <c r="C483" s="5">
        <v>75</v>
      </c>
      <c r="D483" s="5" t="s">
        <v>2426</v>
      </c>
      <c r="E483" s="5"/>
      <c r="F483" s="5"/>
      <c r="G483" s="5" t="s">
        <v>38</v>
      </c>
      <c r="H483" s="5"/>
      <c r="I483" s="5"/>
      <c r="J483" s="5"/>
      <c r="K483" s="5" t="s">
        <v>1826</v>
      </c>
      <c r="L483" s="5" t="s">
        <v>1827</v>
      </c>
      <c r="M483" s="5"/>
      <c r="N483" s="5"/>
      <c r="O483" s="5"/>
    </row>
    <row r="484" spans="1:15" x14ac:dyDescent="0.3">
      <c r="A484" s="5" t="s">
        <v>2411</v>
      </c>
      <c r="B484" s="8" t="s">
        <v>2427</v>
      </c>
      <c r="C484" s="5">
        <v>75</v>
      </c>
      <c r="D484" s="5" t="s">
        <v>2428</v>
      </c>
      <c r="E484" s="5"/>
      <c r="F484" s="5"/>
      <c r="G484" s="5" t="s">
        <v>38</v>
      </c>
      <c r="H484" s="5"/>
      <c r="I484" s="5"/>
      <c r="J484" s="5"/>
      <c r="K484" s="5" t="s">
        <v>1826</v>
      </c>
      <c r="L484" s="5" t="s">
        <v>1827</v>
      </c>
      <c r="M484" s="5"/>
      <c r="N484" s="5"/>
      <c r="O484" s="5"/>
    </row>
    <row r="485" spans="1:15" x14ac:dyDescent="0.3">
      <c r="A485" s="5" t="s">
        <v>2411</v>
      </c>
      <c r="B485" s="8" t="s">
        <v>2429</v>
      </c>
      <c r="C485" s="5">
        <v>75</v>
      </c>
      <c r="D485" s="5" t="s">
        <v>2430</v>
      </c>
      <c r="E485" s="5"/>
      <c r="F485" s="5"/>
      <c r="G485" s="5" t="s">
        <v>38</v>
      </c>
      <c r="H485" s="5"/>
      <c r="I485" s="5"/>
      <c r="J485" s="5"/>
      <c r="K485" s="5" t="s">
        <v>1826</v>
      </c>
      <c r="L485" s="5" t="s">
        <v>1827</v>
      </c>
      <c r="M485" s="5"/>
      <c r="N485" s="5"/>
      <c r="O485" s="5"/>
    </row>
    <row r="486" spans="1:15" x14ac:dyDescent="0.3">
      <c r="A486" s="5" t="s">
        <v>2411</v>
      </c>
      <c r="B486" s="8" t="s">
        <v>2431</v>
      </c>
      <c r="C486" s="5">
        <v>75</v>
      </c>
      <c r="D486" s="5" t="s">
        <v>2432</v>
      </c>
      <c r="E486" s="5"/>
      <c r="F486" s="5"/>
      <c r="G486" s="5" t="s">
        <v>38</v>
      </c>
      <c r="H486" s="5"/>
      <c r="I486" s="5"/>
      <c r="J486" s="5"/>
      <c r="K486" s="5" t="s">
        <v>1826</v>
      </c>
      <c r="L486" s="5" t="s">
        <v>1827</v>
      </c>
      <c r="M486" s="5"/>
      <c r="N486" s="5"/>
      <c r="O486" s="5"/>
    </row>
    <row r="487" spans="1:15" x14ac:dyDescent="0.3">
      <c r="A487" s="5" t="s">
        <v>2411</v>
      </c>
      <c r="B487" s="8" t="s">
        <v>2433</v>
      </c>
      <c r="C487" s="5">
        <v>75</v>
      </c>
      <c r="D487" s="5" t="s">
        <v>2432</v>
      </c>
      <c r="E487" s="5"/>
      <c r="F487" s="5"/>
      <c r="G487" s="5" t="s">
        <v>38</v>
      </c>
      <c r="H487" s="5"/>
      <c r="I487" s="5"/>
      <c r="J487" s="5"/>
      <c r="K487" s="5" t="s">
        <v>1826</v>
      </c>
      <c r="L487" s="5" t="s">
        <v>1827</v>
      </c>
      <c r="M487" s="5"/>
      <c r="N487" s="5"/>
      <c r="O487" s="5"/>
    </row>
    <row r="488" spans="1:15" x14ac:dyDescent="0.3">
      <c r="A488" s="5" t="s">
        <v>2411</v>
      </c>
      <c r="B488" s="8" t="s">
        <v>2434</v>
      </c>
      <c r="C488" s="8">
        <v>148.71</v>
      </c>
      <c r="D488" s="5" t="s">
        <v>2435</v>
      </c>
      <c r="E488" s="5"/>
      <c r="F488" s="5"/>
      <c r="G488" s="5" t="s">
        <v>38</v>
      </c>
      <c r="H488" s="5"/>
      <c r="I488" s="5"/>
      <c r="J488" s="5"/>
      <c r="K488" s="5"/>
      <c r="L488" s="5"/>
      <c r="M488" s="5"/>
      <c r="N488" s="5"/>
      <c r="O488" s="5"/>
    </row>
    <row r="489" spans="1:15" x14ac:dyDescent="0.3">
      <c r="A489" s="5" t="s">
        <v>2411</v>
      </c>
      <c r="B489" s="8" t="s">
        <v>2436</v>
      </c>
      <c r="C489" s="5"/>
      <c r="D489" s="5" t="s">
        <v>2435</v>
      </c>
      <c r="E489" s="5"/>
      <c r="F489" s="5"/>
      <c r="G489" s="5" t="s">
        <v>38</v>
      </c>
      <c r="H489" s="5"/>
      <c r="I489" s="5"/>
      <c r="J489" s="5"/>
      <c r="K489" s="5"/>
      <c r="L489" s="5"/>
      <c r="M489" s="5"/>
      <c r="N489" s="5"/>
      <c r="O489" s="5"/>
    </row>
    <row r="490" spans="1:15" x14ac:dyDescent="0.3">
      <c r="A490" s="5" t="s">
        <v>2411</v>
      </c>
      <c r="B490" s="8" t="s">
        <v>2437</v>
      </c>
      <c r="C490" s="5">
        <v>75</v>
      </c>
      <c r="D490" s="5" t="s">
        <v>2438</v>
      </c>
      <c r="E490" s="5"/>
      <c r="F490" s="5"/>
      <c r="G490" s="5" t="s">
        <v>38</v>
      </c>
      <c r="H490" s="5"/>
      <c r="I490" s="5"/>
      <c r="J490" s="5"/>
      <c r="K490" s="5"/>
      <c r="L490" s="5"/>
      <c r="M490" s="5"/>
      <c r="N490" s="5"/>
      <c r="O490" s="5"/>
    </row>
    <row r="491" spans="1:15" x14ac:dyDescent="0.3">
      <c r="A491" s="5" t="s">
        <v>2411</v>
      </c>
      <c r="B491" s="8" t="s">
        <v>2439</v>
      </c>
      <c r="C491" s="5">
        <v>75</v>
      </c>
      <c r="D491" s="5" t="s">
        <v>2440</v>
      </c>
      <c r="E491" s="5"/>
      <c r="F491" s="5"/>
      <c r="G491" s="5" t="s">
        <v>38</v>
      </c>
      <c r="H491" s="5"/>
      <c r="I491" s="5"/>
      <c r="J491" s="5"/>
      <c r="K491" s="5"/>
      <c r="L491" s="5"/>
      <c r="M491" s="5"/>
      <c r="N491" s="5"/>
      <c r="O491" s="5"/>
    </row>
    <row r="492" spans="1:15" x14ac:dyDescent="0.3">
      <c r="A492" s="5" t="s">
        <v>2411</v>
      </c>
      <c r="B492" s="8" t="s">
        <v>2441</v>
      </c>
      <c r="C492" s="5">
        <v>75</v>
      </c>
      <c r="D492" s="5" t="s">
        <v>2442</v>
      </c>
      <c r="E492" s="5"/>
      <c r="F492" s="5"/>
      <c r="G492" s="5" t="s">
        <v>38</v>
      </c>
      <c r="H492" s="5"/>
      <c r="I492" s="5"/>
      <c r="J492" s="5"/>
      <c r="K492" s="5"/>
      <c r="L492" s="5"/>
      <c r="M492" s="5"/>
      <c r="N492" s="5"/>
      <c r="O492" s="5"/>
    </row>
    <row r="493" spans="1:15" x14ac:dyDescent="0.3">
      <c r="A493" s="5" t="s">
        <v>2411</v>
      </c>
      <c r="B493" s="8" t="s">
        <v>2443</v>
      </c>
      <c r="C493" s="5">
        <v>75</v>
      </c>
      <c r="D493" s="5" t="s">
        <v>2444</v>
      </c>
      <c r="E493" s="5"/>
      <c r="F493" s="5"/>
      <c r="G493" s="5" t="s">
        <v>38</v>
      </c>
      <c r="H493" s="5"/>
      <c r="I493" s="5"/>
      <c r="J493" s="5"/>
      <c r="K493" s="5"/>
      <c r="L493" s="5"/>
      <c r="M493" s="5"/>
      <c r="N493" s="5"/>
      <c r="O493" s="5"/>
    </row>
    <row r="494" spans="1:15" x14ac:dyDescent="0.3">
      <c r="A494" s="5" t="s">
        <v>2411</v>
      </c>
      <c r="B494" s="8" t="s">
        <v>2445</v>
      </c>
      <c r="C494" s="5">
        <v>75</v>
      </c>
      <c r="D494" s="5" t="s">
        <v>2446</v>
      </c>
      <c r="E494" s="5"/>
      <c r="F494" s="5"/>
      <c r="G494" s="5" t="s">
        <v>38</v>
      </c>
      <c r="H494" s="5"/>
      <c r="I494" s="5"/>
      <c r="J494" s="5"/>
      <c r="K494" s="5"/>
      <c r="L494" s="5"/>
      <c r="M494" s="5"/>
      <c r="N494" s="5"/>
      <c r="O494" s="5"/>
    </row>
    <row r="495" spans="1:15" x14ac:dyDescent="0.3">
      <c r="A495" s="5" t="s">
        <v>2411</v>
      </c>
      <c r="B495" s="8" t="s">
        <v>2447</v>
      </c>
      <c r="C495" s="5">
        <v>75</v>
      </c>
      <c r="D495" s="5" t="s">
        <v>2446</v>
      </c>
      <c r="E495" s="5"/>
      <c r="F495" s="5"/>
      <c r="G495" s="5" t="s">
        <v>38</v>
      </c>
      <c r="H495" s="5"/>
      <c r="I495" s="5"/>
      <c r="J495" s="5"/>
      <c r="K495" s="5"/>
      <c r="L495" s="5"/>
      <c r="M495" s="5"/>
      <c r="N495" s="5"/>
      <c r="O495" s="5"/>
    </row>
    <row r="496" spans="1:15" x14ac:dyDescent="0.3">
      <c r="A496" s="5" t="s">
        <v>2448</v>
      </c>
      <c r="B496" s="8" t="s">
        <v>2449</v>
      </c>
      <c r="C496" s="5">
        <v>63.3</v>
      </c>
      <c r="D496" s="12" t="s">
        <v>2450</v>
      </c>
      <c r="E496" s="5"/>
      <c r="F496" s="5"/>
      <c r="G496" s="5" t="s">
        <v>38</v>
      </c>
      <c r="H496" s="5"/>
      <c r="I496" s="5"/>
      <c r="J496" s="5"/>
      <c r="K496" s="5"/>
      <c r="L496" s="5"/>
      <c r="M496" s="5"/>
      <c r="N496" s="5"/>
      <c r="O496" s="5"/>
    </row>
    <row r="497" spans="1:15" x14ac:dyDescent="0.3">
      <c r="A497" s="5" t="s">
        <v>2448</v>
      </c>
      <c r="B497" s="8" t="s">
        <v>2451</v>
      </c>
      <c r="C497" s="5">
        <v>63.3</v>
      </c>
      <c r="D497" s="5" t="s">
        <v>2452</v>
      </c>
      <c r="E497" s="5"/>
      <c r="F497" s="5"/>
      <c r="G497" s="5" t="s">
        <v>38</v>
      </c>
      <c r="H497" s="5"/>
      <c r="I497" s="5"/>
      <c r="J497" s="5"/>
      <c r="K497" s="5"/>
      <c r="L497" s="5"/>
      <c r="M497" s="5"/>
      <c r="N497" s="5"/>
      <c r="O497" s="5"/>
    </row>
    <row r="498" spans="1:15" x14ac:dyDescent="0.3">
      <c r="A498" s="5" t="s">
        <v>2448</v>
      </c>
      <c r="B498" s="8" t="s">
        <v>2453</v>
      </c>
      <c r="C498" s="5">
        <v>63.3</v>
      </c>
      <c r="D498" s="5" t="s">
        <v>2454</v>
      </c>
      <c r="E498" s="5"/>
      <c r="F498" s="5"/>
      <c r="G498" s="5" t="s">
        <v>38</v>
      </c>
      <c r="H498" s="5"/>
      <c r="I498" s="5"/>
      <c r="J498" s="5"/>
      <c r="K498" s="5"/>
      <c r="L498" s="5"/>
      <c r="M498" s="5"/>
      <c r="N498" s="5"/>
      <c r="O498" s="5"/>
    </row>
    <row r="499" spans="1:15" x14ac:dyDescent="0.3">
      <c r="A499" s="5" t="s">
        <v>2448</v>
      </c>
      <c r="B499" s="8" t="s">
        <v>2455</v>
      </c>
      <c r="C499" s="5">
        <v>63.3</v>
      </c>
      <c r="D499" s="5" t="s">
        <v>2454</v>
      </c>
      <c r="E499" s="5"/>
      <c r="F499" s="5"/>
      <c r="G499" s="5" t="s">
        <v>38</v>
      </c>
      <c r="H499" s="5"/>
      <c r="I499" s="5"/>
      <c r="J499" s="5"/>
      <c r="K499" s="5"/>
      <c r="L499" s="5"/>
      <c r="M499" s="5"/>
      <c r="N499" s="5"/>
      <c r="O499" s="5"/>
    </row>
    <row r="500" spans="1:15" x14ac:dyDescent="0.3">
      <c r="A500" s="5" t="s">
        <v>2448</v>
      </c>
      <c r="B500" s="8" t="s">
        <v>2456</v>
      </c>
      <c r="C500" s="5">
        <v>63.3</v>
      </c>
      <c r="D500" s="5" t="s">
        <v>2454</v>
      </c>
      <c r="E500" s="5"/>
      <c r="F500" s="5"/>
      <c r="G500" s="5" t="s">
        <v>38</v>
      </c>
      <c r="H500" s="5"/>
      <c r="I500" s="5"/>
      <c r="J500" s="5"/>
      <c r="K500" s="5"/>
      <c r="L500" s="5"/>
      <c r="M500" s="5"/>
      <c r="N500" s="5"/>
      <c r="O500" s="5"/>
    </row>
    <row r="501" spans="1:15" x14ac:dyDescent="0.3">
      <c r="A501" s="5" t="s">
        <v>2448</v>
      </c>
      <c r="B501" s="8" t="s">
        <v>2457</v>
      </c>
      <c r="C501" s="5">
        <v>63.3</v>
      </c>
      <c r="D501" s="5" t="s">
        <v>2454</v>
      </c>
      <c r="E501" s="5"/>
      <c r="F501" s="5"/>
      <c r="G501" s="5" t="s">
        <v>38</v>
      </c>
      <c r="H501" s="5"/>
      <c r="I501" s="5"/>
      <c r="J501" s="5"/>
      <c r="K501" s="5"/>
      <c r="L501" s="5"/>
      <c r="M501" s="5"/>
      <c r="N501" s="5"/>
      <c r="O501" s="5"/>
    </row>
    <row r="502" spans="1:15" x14ac:dyDescent="0.3">
      <c r="A502" s="5" t="s">
        <v>2448</v>
      </c>
      <c r="B502" s="8" t="s">
        <v>2458</v>
      </c>
      <c r="C502" s="5">
        <v>63.3</v>
      </c>
      <c r="D502" s="5" t="s">
        <v>2454</v>
      </c>
      <c r="E502" s="5"/>
      <c r="F502" s="5"/>
      <c r="G502" s="5" t="s">
        <v>38</v>
      </c>
      <c r="H502" s="5"/>
      <c r="I502" s="5"/>
      <c r="J502" s="5"/>
      <c r="K502" s="5"/>
      <c r="L502" s="5"/>
      <c r="M502" s="5"/>
      <c r="N502" s="5"/>
      <c r="O502" s="5"/>
    </row>
    <row r="503" spans="1:15" x14ac:dyDescent="0.3">
      <c r="A503" s="5" t="s">
        <v>2448</v>
      </c>
      <c r="B503" s="8" t="s">
        <v>2459</v>
      </c>
      <c r="C503" s="5">
        <v>63.3</v>
      </c>
      <c r="D503" s="5" t="s">
        <v>2454</v>
      </c>
      <c r="E503" s="5"/>
      <c r="F503" s="5"/>
      <c r="G503" s="5" t="s">
        <v>38</v>
      </c>
      <c r="H503" s="5"/>
      <c r="I503" s="5"/>
      <c r="J503" s="5"/>
      <c r="K503" s="5"/>
      <c r="L503" s="5"/>
      <c r="M503" s="5"/>
      <c r="N503" s="5"/>
      <c r="O503" s="5"/>
    </row>
    <row r="504" spans="1:15" x14ac:dyDescent="0.3">
      <c r="A504" s="5" t="s">
        <v>2448</v>
      </c>
      <c r="B504" s="8" t="s">
        <v>2460</v>
      </c>
      <c r="C504" s="5">
        <v>63.3</v>
      </c>
      <c r="D504" s="5" t="s">
        <v>2461</v>
      </c>
      <c r="E504" s="5"/>
      <c r="F504" s="5"/>
      <c r="G504" s="5" t="s">
        <v>38</v>
      </c>
      <c r="H504" s="5"/>
      <c r="I504" s="5"/>
      <c r="J504" s="5"/>
      <c r="K504" s="5"/>
      <c r="L504" s="5"/>
      <c r="M504" s="5"/>
      <c r="N504" s="5"/>
      <c r="O504" s="5"/>
    </row>
    <row r="505" spans="1:15" x14ac:dyDescent="0.3">
      <c r="A505" s="5" t="s">
        <v>2448</v>
      </c>
      <c r="B505" s="8" t="s">
        <v>2462</v>
      </c>
      <c r="C505" s="5">
        <v>63.3</v>
      </c>
      <c r="D505" s="5" t="s">
        <v>2461</v>
      </c>
      <c r="E505" s="5"/>
      <c r="F505" s="5"/>
      <c r="G505" s="5" t="s">
        <v>38</v>
      </c>
      <c r="H505" s="5"/>
      <c r="I505" s="5"/>
      <c r="J505" s="5"/>
      <c r="K505" s="5"/>
      <c r="L505" s="5"/>
      <c r="M505" s="5"/>
      <c r="N505" s="5"/>
      <c r="O505" s="5"/>
    </row>
    <row r="506" spans="1:15" x14ac:dyDescent="0.3">
      <c r="A506" s="5" t="s">
        <v>2448</v>
      </c>
      <c r="B506" s="8" t="s">
        <v>2463</v>
      </c>
      <c r="C506" s="5">
        <v>63.3</v>
      </c>
      <c r="D506" s="5" t="s">
        <v>2461</v>
      </c>
      <c r="E506" s="5"/>
      <c r="F506" s="5"/>
      <c r="G506" s="5" t="s">
        <v>38</v>
      </c>
      <c r="H506" s="5"/>
      <c r="I506" s="5"/>
      <c r="J506" s="5"/>
      <c r="K506" s="5"/>
      <c r="L506" s="5"/>
      <c r="M506" s="5"/>
      <c r="N506" s="5"/>
      <c r="O506" s="5"/>
    </row>
    <row r="507" spans="1:15" x14ac:dyDescent="0.3">
      <c r="A507" s="5" t="s">
        <v>2448</v>
      </c>
      <c r="B507" s="8" t="s">
        <v>2464</v>
      </c>
      <c r="C507" s="5">
        <v>63.3</v>
      </c>
      <c r="D507" s="5" t="s">
        <v>2461</v>
      </c>
      <c r="E507" s="5"/>
      <c r="F507" s="5"/>
      <c r="G507" s="5" t="s">
        <v>38</v>
      </c>
      <c r="H507" s="5"/>
      <c r="I507" s="5"/>
      <c r="J507" s="5"/>
      <c r="K507" s="5"/>
      <c r="L507" s="5"/>
      <c r="M507" s="5"/>
      <c r="N507" s="5"/>
      <c r="O507" s="5"/>
    </row>
    <row r="508" spans="1:15" x14ac:dyDescent="0.3">
      <c r="A508" s="5" t="s">
        <v>2448</v>
      </c>
      <c r="B508" s="8" t="s">
        <v>2465</v>
      </c>
      <c r="C508" s="5">
        <v>63.3</v>
      </c>
      <c r="D508" s="5" t="s">
        <v>2461</v>
      </c>
      <c r="E508" s="5"/>
      <c r="F508" s="5"/>
      <c r="G508" s="5" t="s">
        <v>38</v>
      </c>
      <c r="H508" s="5"/>
      <c r="I508" s="5"/>
      <c r="J508" s="5"/>
      <c r="K508" s="5"/>
      <c r="L508" s="5"/>
      <c r="M508" s="5"/>
      <c r="N508" s="5"/>
      <c r="O508" s="5"/>
    </row>
    <row r="509" spans="1:15" x14ac:dyDescent="0.3">
      <c r="A509" s="5" t="s">
        <v>2448</v>
      </c>
      <c r="B509" s="8" t="s">
        <v>2466</v>
      </c>
      <c r="C509" s="5">
        <v>63.3</v>
      </c>
      <c r="D509" s="5" t="s">
        <v>2467</v>
      </c>
      <c r="E509" s="5"/>
      <c r="F509" s="5"/>
      <c r="G509" s="5" t="s">
        <v>38</v>
      </c>
      <c r="H509" s="5"/>
      <c r="I509" s="5"/>
      <c r="J509" s="5"/>
      <c r="K509" s="5"/>
      <c r="L509" s="5"/>
      <c r="M509" s="5"/>
      <c r="N509" s="5"/>
      <c r="O509" s="5"/>
    </row>
    <row r="510" spans="1:15" x14ac:dyDescent="0.3">
      <c r="A510" s="5" t="s">
        <v>2448</v>
      </c>
      <c r="B510" s="8" t="s">
        <v>2468</v>
      </c>
      <c r="C510" s="5">
        <v>63.3</v>
      </c>
      <c r="D510" s="5" t="s">
        <v>2467</v>
      </c>
      <c r="E510" s="5"/>
      <c r="F510" s="5"/>
      <c r="G510" s="5" t="s">
        <v>38</v>
      </c>
      <c r="H510" s="5"/>
      <c r="I510" s="5"/>
      <c r="J510" s="5"/>
      <c r="K510" s="5"/>
      <c r="L510" s="5"/>
      <c r="M510" s="5"/>
      <c r="N510" s="5"/>
      <c r="O510" s="5"/>
    </row>
    <row r="511" spans="1:15" x14ac:dyDescent="0.3">
      <c r="A511" s="5" t="s">
        <v>2448</v>
      </c>
      <c r="B511" s="8" t="s">
        <v>2469</v>
      </c>
      <c r="C511" s="5">
        <v>63.3</v>
      </c>
      <c r="D511" s="5" t="s">
        <v>2467</v>
      </c>
      <c r="E511" s="5"/>
      <c r="F511" s="5"/>
      <c r="G511" s="5" t="s">
        <v>38</v>
      </c>
      <c r="H511" s="5"/>
      <c r="I511" s="5"/>
      <c r="J511" s="5"/>
      <c r="K511" s="5"/>
      <c r="L511" s="5"/>
      <c r="M511" s="5"/>
      <c r="N511" s="5"/>
      <c r="O511" s="5"/>
    </row>
    <row r="512" spans="1:15" x14ac:dyDescent="0.3">
      <c r="A512" s="5" t="s">
        <v>2448</v>
      </c>
      <c r="B512" s="8" t="s">
        <v>2470</v>
      </c>
      <c r="C512" s="5">
        <v>63.3</v>
      </c>
      <c r="D512" s="5" t="s">
        <v>2467</v>
      </c>
      <c r="E512" s="5"/>
      <c r="F512" s="5"/>
      <c r="G512" s="5" t="s">
        <v>38</v>
      </c>
      <c r="H512" s="5"/>
      <c r="I512" s="5"/>
      <c r="J512" s="5"/>
      <c r="K512" s="5"/>
      <c r="L512" s="5"/>
      <c r="M512" s="5"/>
      <c r="N512" s="5"/>
      <c r="O512" s="5"/>
    </row>
    <row r="513" spans="1:15" x14ac:dyDescent="0.3">
      <c r="A513" s="5" t="s">
        <v>2448</v>
      </c>
      <c r="B513" s="8" t="s">
        <v>2471</v>
      </c>
      <c r="C513" s="5">
        <v>63.3</v>
      </c>
      <c r="D513" s="5" t="s">
        <v>2467</v>
      </c>
      <c r="E513" s="5"/>
      <c r="F513" s="5"/>
      <c r="G513" s="5" t="s">
        <v>38</v>
      </c>
      <c r="H513" s="5"/>
      <c r="I513" s="5"/>
      <c r="J513" s="5"/>
      <c r="K513" s="5"/>
      <c r="L513" s="5"/>
      <c r="M513" s="5"/>
      <c r="N513" s="5"/>
      <c r="O513" s="5"/>
    </row>
    <row r="514" spans="1:15" x14ac:dyDescent="0.3">
      <c r="A514" s="5" t="s">
        <v>2448</v>
      </c>
      <c r="B514" s="8" t="s">
        <v>2472</v>
      </c>
      <c r="C514" s="5">
        <v>63.3</v>
      </c>
      <c r="D514" s="5" t="s">
        <v>2467</v>
      </c>
      <c r="E514" s="5"/>
      <c r="F514" s="5"/>
      <c r="G514" s="5" t="s">
        <v>38</v>
      </c>
      <c r="H514" s="5"/>
      <c r="I514" s="5"/>
      <c r="J514" s="5"/>
      <c r="K514" s="5"/>
      <c r="L514" s="5"/>
      <c r="M514" s="5"/>
      <c r="N514" s="5"/>
      <c r="O514" s="5"/>
    </row>
    <row r="515" spans="1:15" x14ac:dyDescent="0.3">
      <c r="A515" s="5" t="s">
        <v>2448</v>
      </c>
      <c r="B515" s="8" t="s">
        <v>2473</v>
      </c>
      <c r="C515" s="5">
        <v>63.3</v>
      </c>
      <c r="D515" s="5" t="s">
        <v>2467</v>
      </c>
      <c r="E515" s="5"/>
      <c r="F515" s="5"/>
      <c r="G515" s="5" t="s">
        <v>38</v>
      </c>
      <c r="H515" s="5"/>
      <c r="I515" s="5"/>
      <c r="J515" s="5"/>
      <c r="K515" s="5"/>
      <c r="L515" s="5"/>
      <c r="M515" s="5"/>
      <c r="N515" s="5"/>
      <c r="O515" s="5"/>
    </row>
    <row r="516" spans="1:15" x14ac:dyDescent="0.3">
      <c r="A516" s="5" t="s">
        <v>2474</v>
      </c>
      <c r="B516" s="8" t="s">
        <v>2475</v>
      </c>
      <c r="C516" s="5">
        <v>82</v>
      </c>
      <c r="D516" s="5" t="s">
        <v>2476</v>
      </c>
      <c r="E516" s="5"/>
      <c r="F516" s="5"/>
      <c r="G516" s="5" t="s">
        <v>38</v>
      </c>
      <c r="H516" s="5"/>
      <c r="I516" s="5"/>
      <c r="J516" s="5"/>
      <c r="K516" s="5"/>
      <c r="L516" s="5"/>
      <c r="M516" s="5"/>
      <c r="N516" s="5"/>
      <c r="O516" s="5"/>
    </row>
    <row r="517" spans="1:15" x14ac:dyDescent="0.3">
      <c r="A517" s="5" t="s">
        <v>2474</v>
      </c>
      <c r="B517" s="8" t="s">
        <v>2477</v>
      </c>
      <c r="C517" s="5">
        <v>82</v>
      </c>
      <c r="D517" s="5" t="s">
        <v>2478</v>
      </c>
      <c r="E517" s="5"/>
      <c r="F517" s="5"/>
      <c r="G517" s="5" t="s">
        <v>38</v>
      </c>
      <c r="H517" s="5"/>
      <c r="I517" s="5"/>
      <c r="J517" s="5"/>
      <c r="K517" s="5"/>
      <c r="L517" s="5"/>
      <c r="M517" s="5"/>
      <c r="N517" s="5"/>
      <c r="O517" s="5"/>
    </row>
    <row r="518" spans="1:15" x14ac:dyDescent="0.3">
      <c r="A518" s="5" t="s">
        <v>2474</v>
      </c>
      <c r="B518" s="8" t="s">
        <v>2479</v>
      </c>
      <c r="C518" s="5">
        <v>82</v>
      </c>
      <c r="D518" s="5" t="s">
        <v>2480</v>
      </c>
      <c r="E518" s="5"/>
      <c r="F518" s="5"/>
      <c r="G518" s="5" t="s">
        <v>38</v>
      </c>
      <c r="H518" s="5"/>
      <c r="I518" s="5"/>
      <c r="J518" s="5"/>
      <c r="K518" s="5"/>
      <c r="L518" s="5"/>
      <c r="M518" s="5"/>
      <c r="N518" s="5"/>
      <c r="O518" s="5"/>
    </row>
    <row r="519" spans="1:15" x14ac:dyDescent="0.3">
      <c r="A519" s="5" t="s">
        <v>2474</v>
      </c>
      <c r="B519" s="8" t="s">
        <v>2481</v>
      </c>
      <c r="C519" s="5">
        <v>82</v>
      </c>
      <c r="D519" s="5" t="s">
        <v>2482</v>
      </c>
      <c r="E519" s="5"/>
      <c r="F519" s="5"/>
      <c r="G519" s="5" t="s">
        <v>38</v>
      </c>
      <c r="H519" s="5"/>
      <c r="I519" s="5"/>
      <c r="J519" s="5"/>
      <c r="K519" s="5"/>
      <c r="L519" s="5"/>
      <c r="M519" s="5"/>
      <c r="N519" s="5"/>
      <c r="O519" s="5"/>
    </row>
    <row r="520" spans="1:15" x14ac:dyDescent="0.3">
      <c r="A520" s="5" t="s">
        <v>2474</v>
      </c>
      <c r="B520" s="8" t="s">
        <v>2483</v>
      </c>
      <c r="C520" s="5">
        <v>82</v>
      </c>
      <c r="D520" s="5" t="s">
        <v>2484</v>
      </c>
      <c r="E520" s="5"/>
      <c r="F520" s="5"/>
      <c r="G520" s="5" t="s">
        <v>38</v>
      </c>
      <c r="H520" s="5"/>
      <c r="I520" s="5"/>
      <c r="J520" s="5"/>
      <c r="K520" s="5"/>
      <c r="L520" s="5"/>
      <c r="M520" s="5"/>
      <c r="N520" s="5"/>
      <c r="O520" s="5"/>
    </row>
    <row r="521" spans="1:15" x14ac:dyDescent="0.3">
      <c r="A521" s="5" t="s">
        <v>2474</v>
      </c>
      <c r="B521" s="8" t="s">
        <v>2485</v>
      </c>
      <c r="C521" s="5">
        <v>82</v>
      </c>
      <c r="D521" s="5" t="s">
        <v>2486</v>
      </c>
      <c r="E521" s="5"/>
      <c r="F521" s="5"/>
      <c r="G521" s="5" t="s">
        <v>38</v>
      </c>
      <c r="H521" s="5"/>
      <c r="I521" s="5"/>
      <c r="J521" s="5"/>
      <c r="K521" s="5"/>
      <c r="L521" s="5"/>
      <c r="M521" s="5"/>
      <c r="N521" s="5"/>
      <c r="O521" s="5"/>
    </row>
    <row r="522" spans="1:15" x14ac:dyDescent="0.3">
      <c r="A522" s="5" t="s">
        <v>2474</v>
      </c>
      <c r="B522" s="8" t="s">
        <v>2487</v>
      </c>
      <c r="C522" s="5">
        <v>82</v>
      </c>
      <c r="D522" s="5" t="s">
        <v>2488</v>
      </c>
      <c r="E522" s="5"/>
      <c r="F522" s="5"/>
      <c r="G522" s="5" t="s">
        <v>38</v>
      </c>
      <c r="H522" s="5"/>
      <c r="I522" s="5"/>
      <c r="J522" s="5"/>
      <c r="K522" s="5"/>
      <c r="L522" s="5"/>
      <c r="M522" s="5"/>
      <c r="N522" s="5"/>
      <c r="O522" s="5"/>
    </row>
    <row r="523" spans="1:15" x14ac:dyDescent="0.3">
      <c r="A523" s="5" t="s">
        <v>2474</v>
      </c>
      <c r="B523" s="8" t="s">
        <v>2489</v>
      </c>
      <c r="C523" s="5">
        <v>82</v>
      </c>
      <c r="D523" s="5" t="s">
        <v>2488</v>
      </c>
      <c r="E523" s="5"/>
      <c r="F523" s="5"/>
      <c r="G523" s="5" t="s">
        <v>38</v>
      </c>
      <c r="H523" s="5"/>
      <c r="I523" s="5"/>
      <c r="J523" s="5"/>
      <c r="K523" s="5"/>
      <c r="L523" s="5"/>
      <c r="M523" s="5"/>
      <c r="N523" s="5"/>
      <c r="O523" s="5"/>
    </row>
    <row r="524" spans="1:15" x14ac:dyDescent="0.3">
      <c r="A524" s="5" t="s">
        <v>2474</v>
      </c>
      <c r="B524" s="8" t="s">
        <v>2490</v>
      </c>
      <c r="C524" s="5">
        <v>82</v>
      </c>
      <c r="D524" s="5" t="s">
        <v>2491</v>
      </c>
      <c r="E524" s="5"/>
      <c r="F524" s="5"/>
      <c r="G524" s="5" t="s">
        <v>38</v>
      </c>
      <c r="H524" s="5"/>
      <c r="I524" s="5"/>
      <c r="J524" s="5"/>
      <c r="K524" s="5"/>
      <c r="L524" s="5"/>
      <c r="M524" s="5"/>
      <c r="N524" s="5"/>
      <c r="O524" s="5"/>
    </row>
    <row r="525" spans="1:15" x14ac:dyDescent="0.3">
      <c r="A525" s="5" t="s">
        <v>2474</v>
      </c>
      <c r="B525" s="8" t="s">
        <v>2492</v>
      </c>
      <c r="C525" s="5">
        <v>82</v>
      </c>
      <c r="D525" s="5" t="s">
        <v>2491</v>
      </c>
      <c r="E525" s="5"/>
      <c r="F525" s="5"/>
      <c r="G525" s="5" t="s">
        <v>38</v>
      </c>
      <c r="H525" s="5"/>
      <c r="I525" s="5"/>
      <c r="J525" s="5"/>
      <c r="K525" s="5"/>
      <c r="L525" s="5"/>
      <c r="M525" s="5"/>
      <c r="N525" s="5"/>
      <c r="O525" s="5"/>
    </row>
    <row r="526" spans="1:15" x14ac:dyDescent="0.3">
      <c r="A526" s="5" t="s">
        <v>2474</v>
      </c>
      <c r="B526" s="8" t="s">
        <v>2493</v>
      </c>
      <c r="C526" s="5">
        <v>82</v>
      </c>
      <c r="D526" s="5" t="s">
        <v>2494</v>
      </c>
      <c r="E526" s="5"/>
      <c r="F526" s="5"/>
      <c r="G526" s="5" t="s">
        <v>38</v>
      </c>
      <c r="H526" s="5"/>
      <c r="I526" s="5"/>
      <c r="J526" s="5"/>
      <c r="K526" s="5"/>
      <c r="L526" s="5"/>
      <c r="M526" s="5"/>
      <c r="N526" s="5"/>
      <c r="O526" s="5"/>
    </row>
    <row r="527" spans="1:15" x14ac:dyDescent="0.3">
      <c r="A527" s="5" t="s">
        <v>2474</v>
      </c>
      <c r="B527" s="8" t="s">
        <v>2495</v>
      </c>
      <c r="C527" s="5">
        <v>82</v>
      </c>
      <c r="D527" s="5" t="s">
        <v>2494</v>
      </c>
      <c r="E527" s="5"/>
      <c r="F527" s="5"/>
      <c r="G527" s="5" t="s">
        <v>38</v>
      </c>
      <c r="H527" s="5"/>
      <c r="I527" s="5"/>
      <c r="J527" s="5"/>
      <c r="K527" s="5"/>
      <c r="L527" s="5"/>
      <c r="M527" s="5"/>
      <c r="N527" s="5"/>
      <c r="O527" s="5"/>
    </row>
    <row r="528" spans="1:15" x14ac:dyDescent="0.3">
      <c r="A528" s="5" t="s">
        <v>2474</v>
      </c>
      <c r="B528" s="8" t="s">
        <v>2496</v>
      </c>
      <c r="C528" s="5">
        <v>82</v>
      </c>
      <c r="D528" s="5" t="s">
        <v>2497</v>
      </c>
      <c r="E528" s="5"/>
      <c r="F528" s="5"/>
      <c r="G528" s="5" t="s">
        <v>38</v>
      </c>
      <c r="H528" s="5"/>
      <c r="I528" s="5"/>
      <c r="J528" s="5"/>
      <c r="K528" s="5"/>
      <c r="L528" s="5"/>
      <c r="M528" s="5"/>
      <c r="N528" s="5"/>
      <c r="O528" s="5"/>
    </row>
    <row r="529" spans="1:15" x14ac:dyDescent="0.3">
      <c r="A529" s="5" t="s">
        <v>2474</v>
      </c>
      <c r="B529" s="8" t="s">
        <v>2498</v>
      </c>
      <c r="C529" s="5">
        <v>82</v>
      </c>
      <c r="D529" s="5" t="s">
        <v>2497</v>
      </c>
      <c r="E529" s="5"/>
      <c r="F529" s="5"/>
      <c r="G529" s="5" t="s">
        <v>38</v>
      </c>
      <c r="H529" s="5"/>
      <c r="I529" s="5"/>
      <c r="J529" s="5"/>
      <c r="K529" s="5"/>
      <c r="L529" s="5"/>
      <c r="M529" s="5"/>
      <c r="N529" s="5"/>
      <c r="O529" s="5"/>
    </row>
    <row r="530" spans="1:15" x14ac:dyDescent="0.3">
      <c r="A530" s="5" t="s">
        <v>2474</v>
      </c>
      <c r="B530" s="8" t="s">
        <v>2499</v>
      </c>
      <c r="C530" s="5">
        <v>82</v>
      </c>
      <c r="D530" s="5" t="s">
        <v>2500</v>
      </c>
      <c r="E530" s="5"/>
      <c r="F530" s="5"/>
      <c r="G530" s="5" t="s">
        <v>38</v>
      </c>
      <c r="H530" s="5"/>
      <c r="I530" s="5"/>
      <c r="J530" s="5"/>
      <c r="K530" s="5"/>
      <c r="L530" s="5"/>
      <c r="M530" s="5"/>
      <c r="N530" s="5"/>
      <c r="O530" s="5"/>
    </row>
    <row r="531" spans="1:15" x14ac:dyDescent="0.3">
      <c r="A531" s="5" t="s">
        <v>2474</v>
      </c>
      <c r="B531" s="8" t="s">
        <v>2501</v>
      </c>
      <c r="C531" s="5">
        <v>82</v>
      </c>
      <c r="D531" s="5" t="s">
        <v>2500</v>
      </c>
      <c r="E531" s="5"/>
      <c r="F531" s="5"/>
      <c r="G531" s="5" t="s">
        <v>38</v>
      </c>
      <c r="H531" s="5"/>
      <c r="I531" s="5"/>
      <c r="J531" s="5"/>
      <c r="K531" s="5"/>
      <c r="L531" s="5"/>
      <c r="M531" s="5"/>
      <c r="N531" s="5"/>
      <c r="O531" s="5"/>
    </row>
    <row r="532" spans="1:15" x14ac:dyDescent="0.3">
      <c r="A532" s="5" t="s">
        <v>2474</v>
      </c>
      <c r="B532" s="8" t="s">
        <v>2502</v>
      </c>
      <c r="C532" s="5">
        <v>82</v>
      </c>
      <c r="D532" s="5" t="s">
        <v>2503</v>
      </c>
      <c r="E532" s="5"/>
      <c r="F532" s="5"/>
      <c r="G532" s="5" t="s">
        <v>38</v>
      </c>
      <c r="H532" s="5"/>
      <c r="I532" s="5"/>
      <c r="J532" s="5"/>
      <c r="K532" s="5"/>
      <c r="L532" s="5"/>
      <c r="M532" s="5"/>
      <c r="N532" s="5"/>
      <c r="O532" s="5"/>
    </row>
    <row r="533" spans="1:15" x14ac:dyDescent="0.3">
      <c r="A533" s="5" t="s">
        <v>2474</v>
      </c>
      <c r="B533" s="8" t="s">
        <v>2504</v>
      </c>
      <c r="C533" s="5">
        <v>82</v>
      </c>
      <c r="D533" s="5" t="s">
        <v>2503</v>
      </c>
      <c r="E533" s="5"/>
      <c r="F533" s="5"/>
      <c r="G533" s="5" t="s">
        <v>38</v>
      </c>
      <c r="H533" s="5"/>
      <c r="I533" s="5"/>
      <c r="J533" s="5"/>
      <c r="K533" s="5"/>
      <c r="L533" s="5"/>
      <c r="M533" s="5"/>
      <c r="N533" s="5"/>
      <c r="O533" s="5"/>
    </row>
    <row r="534" spans="1:15" x14ac:dyDescent="0.3">
      <c r="A534" s="7" t="s">
        <v>2474</v>
      </c>
      <c r="B534" s="7" t="s">
        <v>2505</v>
      </c>
      <c r="C534" s="15"/>
      <c r="D534" s="5" t="s">
        <v>2506</v>
      </c>
      <c r="E534" s="5"/>
      <c r="F534" s="5"/>
      <c r="G534" s="5" t="s">
        <v>38</v>
      </c>
      <c r="H534" s="5"/>
      <c r="I534" s="5"/>
      <c r="J534" s="5"/>
      <c r="K534" s="5"/>
      <c r="L534" s="5"/>
      <c r="M534" s="5"/>
      <c r="N534" s="5"/>
      <c r="O534" s="5"/>
    </row>
    <row r="535" spans="1:15" x14ac:dyDescent="0.3">
      <c r="A535" s="7" t="s">
        <v>2474</v>
      </c>
      <c r="B535" s="7" t="s">
        <v>2507</v>
      </c>
      <c r="C535" s="5">
        <v>164</v>
      </c>
      <c r="D535" s="5" t="s">
        <v>2506</v>
      </c>
      <c r="E535" s="5"/>
      <c r="F535" s="5"/>
      <c r="G535" s="5" t="s">
        <v>38</v>
      </c>
      <c r="H535" s="5"/>
      <c r="I535" s="5"/>
      <c r="J535" s="5"/>
      <c r="K535" s="5"/>
      <c r="L535" s="5"/>
      <c r="M535" s="5"/>
      <c r="N535" s="5"/>
      <c r="O535" s="5"/>
    </row>
    <row r="536" spans="1:15" x14ac:dyDescent="0.3">
      <c r="A536" s="7" t="s">
        <v>2474</v>
      </c>
      <c r="B536" s="7" t="s">
        <v>2508</v>
      </c>
      <c r="C536" s="5">
        <v>269</v>
      </c>
      <c r="D536" s="5" t="s">
        <v>2506</v>
      </c>
      <c r="E536" s="5"/>
      <c r="F536" s="5"/>
      <c r="G536" s="5" t="s">
        <v>38</v>
      </c>
      <c r="H536" s="5"/>
      <c r="I536" s="5"/>
      <c r="J536" s="5"/>
      <c r="K536" s="5"/>
      <c r="L536" s="5"/>
      <c r="M536" s="5"/>
      <c r="N536" s="5"/>
      <c r="O536" s="5"/>
    </row>
    <row r="537" spans="1:15" x14ac:dyDescent="0.3">
      <c r="A537" s="7" t="s">
        <v>2474</v>
      </c>
      <c r="B537" s="7" t="s">
        <v>2509</v>
      </c>
      <c r="C537" s="5"/>
      <c r="D537" s="5" t="s">
        <v>2506</v>
      </c>
      <c r="E537" s="5"/>
      <c r="F537" s="5"/>
      <c r="G537" s="5" t="s">
        <v>38</v>
      </c>
      <c r="H537" s="5"/>
      <c r="I537" s="5"/>
      <c r="J537" s="5"/>
      <c r="K537" s="5"/>
      <c r="L537" s="5"/>
      <c r="M537" s="5"/>
      <c r="N537" s="5"/>
      <c r="O537" s="5"/>
    </row>
    <row r="538" spans="1:15" x14ac:dyDescent="0.3">
      <c r="A538" s="7" t="s">
        <v>2474</v>
      </c>
      <c r="B538" s="7" t="s">
        <v>2510</v>
      </c>
      <c r="C538" s="5"/>
      <c r="D538" s="5" t="s">
        <v>2506</v>
      </c>
      <c r="E538" s="5"/>
      <c r="F538" s="5"/>
      <c r="G538" s="5" t="s">
        <v>38</v>
      </c>
      <c r="H538" s="5"/>
      <c r="I538" s="5"/>
      <c r="J538" s="5"/>
      <c r="K538" s="5"/>
      <c r="L538" s="5"/>
      <c r="M538" s="5"/>
      <c r="N538" s="5"/>
      <c r="O538" s="5"/>
    </row>
    <row r="539" spans="1:15" x14ac:dyDescent="0.3">
      <c r="A539" s="5" t="s">
        <v>2474</v>
      </c>
      <c r="B539" s="8" t="s">
        <v>2511</v>
      </c>
      <c r="C539" s="5">
        <v>82</v>
      </c>
      <c r="D539" s="5" t="s">
        <v>2512</v>
      </c>
      <c r="E539" s="5"/>
      <c r="F539" s="5"/>
      <c r="G539" s="5" t="s">
        <v>38</v>
      </c>
      <c r="H539" s="5"/>
      <c r="I539" s="5"/>
      <c r="J539" s="5"/>
      <c r="K539" s="5"/>
      <c r="L539" s="5"/>
      <c r="M539" s="5"/>
      <c r="N539" s="5"/>
      <c r="O539" s="5"/>
    </row>
    <row r="540" spans="1:15" x14ac:dyDescent="0.3">
      <c r="A540" s="5" t="s">
        <v>2474</v>
      </c>
      <c r="B540" s="8" t="s">
        <v>2513</v>
      </c>
      <c r="C540" s="5">
        <v>82</v>
      </c>
      <c r="D540" s="5" t="s">
        <v>2512</v>
      </c>
      <c r="E540" s="5"/>
      <c r="F540" s="5"/>
      <c r="G540" s="5" t="s">
        <v>38</v>
      </c>
      <c r="H540" s="5"/>
      <c r="I540" s="5"/>
      <c r="J540" s="5"/>
      <c r="K540" s="5"/>
      <c r="L540" s="5"/>
      <c r="M540" s="5"/>
      <c r="N540" s="5"/>
      <c r="O540" s="5"/>
    </row>
    <row r="541" spans="1:15" x14ac:dyDescent="0.3">
      <c r="A541" s="6" t="s">
        <v>2474</v>
      </c>
      <c r="B541" s="7" t="s">
        <v>2514</v>
      </c>
      <c r="C541" s="6">
        <v>82</v>
      </c>
      <c r="D541" s="6" t="s">
        <v>2515</v>
      </c>
      <c r="E541" s="5"/>
      <c r="F541" s="5"/>
      <c r="G541" s="5" t="s">
        <v>38</v>
      </c>
      <c r="H541" s="5"/>
      <c r="I541" s="5"/>
      <c r="J541" s="5"/>
      <c r="K541" s="5"/>
      <c r="L541" s="5"/>
      <c r="M541" s="5"/>
      <c r="N541" s="5"/>
      <c r="O541" s="5"/>
    </row>
    <row r="542" spans="1:15" x14ac:dyDescent="0.3">
      <c r="A542" s="6" t="s">
        <v>2474</v>
      </c>
      <c r="B542" s="7" t="s">
        <v>2516</v>
      </c>
      <c r="C542" s="6">
        <v>82</v>
      </c>
      <c r="D542" s="6" t="s">
        <v>2517</v>
      </c>
      <c r="E542" s="5"/>
      <c r="F542" s="5"/>
      <c r="G542" s="5" t="s">
        <v>38</v>
      </c>
      <c r="H542" s="5"/>
      <c r="I542" s="5"/>
      <c r="J542" s="5"/>
      <c r="K542" s="5"/>
      <c r="L542" s="5"/>
      <c r="M542" s="5"/>
      <c r="N542" s="5"/>
      <c r="O542" s="5"/>
    </row>
    <row r="543" spans="1:15" x14ac:dyDescent="0.3">
      <c r="A543" s="6" t="s">
        <v>2474</v>
      </c>
      <c r="B543" s="7" t="s">
        <v>2518</v>
      </c>
      <c r="C543" s="6">
        <v>82</v>
      </c>
      <c r="D543" s="6" t="s">
        <v>2519</v>
      </c>
      <c r="E543" s="5"/>
      <c r="F543" s="5"/>
      <c r="G543" s="5" t="s">
        <v>38</v>
      </c>
      <c r="H543" s="5"/>
      <c r="I543" s="5"/>
      <c r="J543" s="5"/>
      <c r="K543" s="5"/>
      <c r="L543" s="5"/>
      <c r="M543" s="5"/>
      <c r="N543" s="5"/>
      <c r="O543" s="5"/>
    </row>
    <row r="544" spans="1:15" x14ac:dyDescent="0.3">
      <c r="A544" s="6" t="s">
        <v>2474</v>
      </c>
      <c r="B544" s="7" t="s">
        <v>2520</v>
      </c>
      <c r="C544" s="6">
        <v>82</v>
      </c>
      <c r="D544" s="6" t="s">
        <v>2519</v>
      </c>
      <c r="E544" s="5"/>
      <c r="F544" s="5"/>
      <c r="G544" s="5" t="s">
        <v>38</v>
      </c>
      <c r="H544" s="5"/>
      <c r="I544" s="5"/>
      <c r="J544" s="5"/>
      <c r="K544" s="5"/>
      <c r="L544" s="5"/>
      <c r="M544" s="5"/>
      <c r="N544" s="5"/>
      <c r="O544" s="5"/>
    </row>
    <row r="545" spans="1:15" x14ac:dyDescent="0.3">
      <c r="A545" s="6" t="s">
        <v>2474</v>
      </c>
      <c r="B545" s="7" t="s">
        <v>2521</v>
      </c>
      <c r="C545" s="6">
        <v>82</v>
      </c>
      <c r="D545" s="6" t="s">
        <v>2522</v>
      </c>
      <c r="E545" s="5"/>
      <c r="F545" s="5"/>
      <c r="G545" s="5" t="s">
        <v>38</v>
      </c>
      <c r="H545" s="5"/>
      <c r="I545" s="5"/>
      <c r="J545" s="5"/>
      <c r="K545" s="5"/>
      <c r="L545" s="5"/>
      <c r="M545" s="5"/>
      <c r="N545" s="5"/>
      <c r="O545" s="5"/>
    </row>
    <row r="546" spans="1:15" x14ac:dyDescent="0.3">
      <c r="A546" s="6" t="s">
        <v>2474</v>
      </c>
      <c r="B546" s="7" t="s">
        <v>2523</v>
      </c>
      <c r="C546" s="6">
        <v>82</v>
      </c>
      <c r="D546" s="6" t="s">
        <v>2522</v>
      </c>
      <c r="E546" s="5"/>
      <c r="F546" s="5"/>
      <c r="G546" s="5" t="s">
        <v>38</v>
      </c>
      <c r="H546" s="5"/>
      <c r="I546" s="5"/>
      <c r="J546" s="5"/>
      <c r="K546" s="5"/>
      <c r="L546" s="5"/>
      <c r="M546" s="5"/>
      <c r="N546" s="5"/>
      <c r="O546" s="5"/>
    </row>
    <row r="547" spans="1:15" x14ac:dyDescent="0.3">
      <c r="A547" s="16" t="s">
        <v>2524</v>
      </c>
      <c r="B547" s="11" t="s">
        <v>2525</v>
      </c>
      <c r="C547" s="16">
        <v>240</v>
      </c>
      <c r="D547" s="16" t="s">
        <v>2526</v>
      </c>
      <c r="E547" s="5"/>
      <c r="F547" s="5"/>
      <c r="G547" s="5" t="s">
        <v>38</v>
      </c>
      <c r="H547" s="5"/>
      <c r="I547" s="5"/>
      <c r="J547" s="5"/>
      <c r="K547" s="5"/>
      <c r="L547" s="5"/>
      <c r="M547" s="5"/>
      <c r="N547" s="5"/>
      <c r="O547" s="5"/>
    </row>
    <row r="548" spans="1:15" x14ac:dyDescent="0.3">
      <c r="A548" s="16" t="s">
        <v>2524</v>
      </c>
      <c r="B548" s="11" t="s">
        <v>2527</v>
      </c>
      <c r="C548" s="16"/>
      <c r="D548" s="16" t="s">
        <v>2528</v>
      </c>
      <c r="E548" s="5"/>
      <c r="F548" s="5"/>
      <c r="G548" s="5" t="s">
        <v>38</v>
      </c>
      <c r="H548" s="5"/>
      <c r="I548" s="5"/>
      <c r="J548" s="5"/>
      <c r="K548" s="5"/>
      <c r="L548" s="5"/>
      <c r="M548" s="5"/>
      <c r="N548" s="5"/>
      <c r="O548" s="5"/>
    </row>
    <row r="549" spans="1:15" x14ac:dyDescent="0.3">
      <c r="A549" s="16" t="s">
        <v>2524</v>
      </c>
      <c r="B549" s="11" t="s">
        <v>2529</v>
      </c>
      <c r="C549" s="16"/>
      <c r="D549" s="16" t="s">
        <v>2528</v>
      </c>
      <c r="E549" s="5"/>
      <c r="F549" s="5"/>
      <c r="G549" s="5" t="s">
        <v>38</v>
      </c>
      <c r="H549" s="5"/>
      <c r="I549" s="5"/>
      <c r="J549" s="5"/>
      <c r="K549" s="5"/>
      <c r="L549" s="5"/>
      <c r="M549" s="5"/>
      <c r="N549" s="5"/>
      <c r="O549" s="5"/>
    </row>
    <row r="550" spans="1:15" x14ac:dyDescent="0.3">
      <c r="A550" s="16" t="s">
        <v>2524</v>
      </c>
      <c r="B550" s="11" t="s">
        <v>2530</v>
      </c>
      <c r="C550" s="16"/>
      <c r="D550" s="16" t="s">
        <v>2528</v>
      </c>
      <c r="E550" s="5"/>
      <c r="F550" s="5"/>
      <c r="G550" s="5" t="s">
        <v>38</v>
      </c>
      <c r="H550" s="5"/>
      <c r="I550" s="5"/>
      <c r="J550" s="5"/>
      <c r="K550" s="5"/>
      <c r="L550" s="5"/>
      <c r="M550" s="5"/>
      <c r="N550" s="5"/>
      <c r="O550" s="5"/>
    </row>
    <row r="551" spans="1:15" x14ac:dyDescent="0.3">
      <c r="A551" s="17" t="s">
        <v>2524</v>
      </c>
      <c r="B551" s="18" t="s">
        <v>2531</v>
      </c>
      <c r="C551" s="17">
        <v>241</v>
      </c>
      <c r="D551" s="17" t="s">
        <v>2532</v>
      </c>
      <c r="E551" s="5"/>
      <c r="F551" s="5"/>
      <c r="G551" s="5" t="s">
        <v>38</v>
      </c>
      <c r="H551" s="5"/>
      <c r="I551" s="5"/>
      <c r="J551" s="5"/>
      <c r="K551" s="5"/>
      <c r="L551" s="5"/>
      <c r="M551" s="5"/>
      <c r="N551" s="5"/>
      <c r="O551" s="5"/>
    </row>
    <row r="552" spans="1:15" x14ac:dyDescent="0.3">
      <c r="A552" s="17" t="s">
        <v>2524</v>
      </c>
      <c r="B552" s="18" t="s">
        <v>2533</v>
      </c>
      <c r="C552" s="17"/>
      <c r="D552" s="17" t="s">
        <v>2532</v>
      </c>
      <c r="E552" s="5"/>
      <c r="F552" s="5"/>
      <c r="G552" s="5" t="s">
        <v>38</v>
      </c>
      <c r="H552" s="5"/>
      <c r="I552" s="5"/>
      <c r="J552" s="5"/>
      <c r="K552" s="5"/>
      <c r="L552" s="5"/>
      <c r="M552" s="5"/>
      <c r="N552" s="5"/>
      <c r="O552" s="5"/>
    </row>
    <row r="553" spans="1:15" x14ac:dyDescent="0.3">
      <c r="A553" s="17" t="s">
        <v>2524</v>
      </c>
      <c r="B553" s="18" t="s">
        <v>2534</v>
      </c>
      <c r="C553" s="17"/>
      <c r="D553" s="17" t="s">
        <v>2532</v>
      </c>
      <c r="E553" s="5"/>
      <c r="F553" s="5"/>
      <c r="G553" s="5" t="s">
        <v>38</v>
      </c>
      <c r="H553" s="5"/>
      <c r="I553" s="5"/>
      <c r="J553" s="5"/>
      <c r="K553" s="5"/>
      <c r="L553" s="5"/>
      <c r="M553" s="5"/>
      <c r="N553" s="5"/>
      <c r="O553" s="5"/>
    </row>
    <row r="554" spans="1:15" x14ac:dyDescent="0.3">
      <c r="A554" s="17" t="s">
        <v>2524</v>
      </c>
      <c r="B554" s="18" t="s">
        <v>2535</v>
      </c>
      <c r="C554" s="17"/>
      <c r="D554" s="17" t="s">
        <v>2532</v>
      </c>
      <c r="E554" s="5"/>
      <c r="F554" s="5"/>
      <c r="G554" s="5" t="s">
        <v>38</v>
      </c>
      <c r="H554" s="5"/>
      <c r="I554" s="5"/>
      <c r="J554" s="5"/>
      <c r="K554" s="5"/>
      <c r="L554" s="5"/>
      <c r="M554" s="5"/>
      <c r="N554" s="5"/>
      <c r="O554" s="5"/>
    </row>
    <row r="555" spans="1:15" x14ac:dyDescent="0.3">
      <c r="A555" s="16" t="s">
        <v>2524</v>
      </c>
      <c r="B555" s="11" t="s">
        <v>2536</v>
      </c>
      <c r="C555" s="16">
        <v>180</v>
      </c>
      <c r="D555" s="16" t="s">
        <v>2537</v>
      </c>
      <c r="E555" s="5"/>
      <c r="F555" s="5"/>
      <c r="G555" s="5" t="s">
        <v>38</v>
      </c>
      <c r="H555" s="5"/>
      <c r="I555" s="5"/>
      <c r="J555" s="5"/>
      <c r="K555" s="5"/>
      <c r="L555" s="5"/>
      <c r="M555" s="5"/>
      <c r="N555" s="5"/>
      <c r="O555" s="5"/>
    </row>
    <row r="556" spans="1:15" x14ac:dyDescent="0.3">
      <c r="A556" s="16" t="s">
        <v>2524</v>
      </c>
      <c r="B556" s="11" t="s">
        <v>2538</v>
      </c>
      <c r="C556" s="16"/>
      <c r="D556" s="16" t="s">
        <v>2537</v>
      </c>
      <c r="E556" s="5"/>
      <c r="F556" s="5"/>
      <c r="G556" s="5" t="s">
        <v>38</v>
      </c>
      <c r="H556" s="5"/>
      <c r="I556" s="5"/>
      <c r="J556" s="5"/>
      <c r="K556" s="5"/>
      <c r="L556" s="5"/>
      <c r="M556" s="5"/>
      <c r="N556" s="5"/>
      <c r="O556" s="5"/>
    </row>
    <row r="557" spans="1:15" x14ac:dyDescent="0.3">
      <c r="A557" s="5" t="s">
        <v>2524</v>
      </c>
      <c r="B557" s="8" t="s">
        <v>2539</v>
      </c>
      <c r="C557" s="5">
        <v>70</v>
      </c>
      <c r="D557" s="16" t="s">
        <v>2540</v>
      </c>
      <c r="E557" s="5"/>
      <c r="F557" s="5"/>
      <c r="G557" s="5" t="s">
        <v>38</v>
      </c>
      <c r="H557" s="5"/>
      <c r="I557" s="5"/>
      <c r="J557" s="5"/>
      <c r="K557" s="5"/>
      <c r="L557" s="5"/>
      <c r="M557" s="5"/>
      <c r="N557" s="5"/>
      <c r="O557" s="5"/>
    </row>
    <row r="558" spans="1:15" x14ac:dyDescent="0.3">
      <c r="A558" s="5" t="s">
        <v>2524</v>
      </c>
      <c r="B558" s="8" t="s">
        <v>2541</v>
      </c>
      <c r="C558" s="5">
        <v>70</v>
      </c>
      <c r="D558" s="16" t="s">
        <v>2540</v>
      </c>
      <c r="E558" s="5"/>
      <c r="F558" s="5"/>
      <c r="G558" s="5" t="s">
        <v>38</v>
      </c>
      <c r="H558" s="5"/>
      <c r="I558" s="5"/>
      <c r="J558" s="5"/>
      <c r="K558" s="5"/>
      <c r="L558" s="5"/>
      <c r="M558" s="5"/>
      <c r="N558" s="5"/>
      <c r="O558" s="5"/>
    </row>
    <row r="559" spans="1:15" x14ac:dyDescent="0.3">
      <c r="A559" s="5" t="s">
        <v>2524</v>
      </c>
      <c r="B559" s="8" t="s">
        <v>2542</v>
      </c>
      <c r="C559" s="5">
        <v>70</v>
      </c>
      <c r="D559" s="16" t="s">
        <v>2540</v>
      </c>
      <c r="E559" s="5"/>
      <c r="F559" s="5"/>
      <c r="G559" s="5" t="s">
        <v>38</v>
      </c>
      <c r="H559" s="5"/>
      <c r="I559" s="5"/>
      <c r="J559" s="5"/>
      <c r="K559" s="5"/>
      <c r="L559" s="5"/>
      <c r="M559" s="5"/>
      <c r="N559" s="5"/>
      <c r="O559" s="5"/>
    </row>
    <row r="560" spans="1:15" x14ac:dyDescent="0.3">
      <c r="A560" s="5" t="s">
        <v>2524</v>
      </c>
      <c r="B560" s="8" t="s">
        <v>2543</v>
      </c>
      <c r="C560" s="5">
        <v>68.3</v>
      </c>
      <c r="D560" s="5" t="s">
        <v>2544</v>
      </c>
      <c r="E560" s="5"/>
      <c r="F560" s="5"/>
      <c r="G560" s="5" t="s">
        <v>38</v>
      </c>
      <c r="H560" s="5"/>
      <c r="I560" s="5"/>
      <c r="J560" s="5"/>
      <c r="K560" s="5"/>
      <c r="L560" s="5"/>
      <c r="M560" s="5"/>
      <c r="N560" s="5"/>
      <c r="O560" s="5"/>
    </row>
    <row r="561" spans="1:15" x14ac:dyDescent="0.3">
      <c r="A561" s="16" t="s">
        <v>2524</v>
      </c>
      <c r="B561" s="11" t="s">
        <v>2545</v>
      </c>
      <c r="C561" s="16">
        <v>360</v>
      </c>
      <c r="D561" s="16" t="s">
        <v>2540</v>
      </c>
      <c r="E561" s="5"/>
      <c r="F561" s="5"/>
      <c r="G561" s="5" t="s">
        <v>38</v>
      </c>
      <c r="H561" s="5"/>
      <c r="I561" s="5"/>
      <c r="J561" s="5"/>
      <c r="K561" s="5"/>
      <c r="L561" s="5"/>
      <c r="M561" s="5"/>
      <c r="N561" s="5"/>
      <c r="O561" s="5"/>
    </row>
    <row r="562" spans="1:15" x14ac:dyDescent="0.3">
      <c r="A562" s="16" t="s">
        <v>2524</v>
      </c>
      <c r="B562" s="11" t="s">
        <v>2546</v>
      </c>
      <c r="C562" s="16"/>
      <c r="D562" s="16" t="s">
        <v>2540</v>
      </c>
      <c r="E562" s="5"/>
      <c r="F562" s="5"/>
      <c r="G562" s="5" t="s">
        <v>38</v>
      </c>
      <c r="H562" s="5"/>
      <c r="I562" s="5"/>
      <c r="J562" s="5"/>
      <c r="K562" s="5"/>
      <c r="L562" s="5"/>
      <c r="M562" s="5"/>
      <c r="N562" s="5"/>
      <c r="O562" s="5"/>
    </row>
    <row r="563" spans="1:15" x14ac:dyDescent="0.3">
      <c r="A563" s="16" t="s">
        <v>2524</v>
      </c>
      <c r="B563" s="11" t="s">
        <v>2547</v>
      </c>
      <c r="C563" s="16"/>
      <c r="D563" s="16" t="s">
        <v>2540</v>
      </c>
      <c r="E563" s="5"/>
      <c r="F563" s="5"/>
      <c r="G563" s="5" t="s">
        <v>38</v>
      </c>
      <c r="H563" s="5"/>
      <c r="I563" s="5"/>
      <c r="J563" s="5"/>
      <c r="K563" s="5"/>
      <c r="L563" s="5"/>
      <c r="M563" s="5"/>
      <c r="N563" s="5"/>
      <c r="O563" s="5"/>
    </row>
    <row r="564" spans="1:15" x14ac:dyDescent="0.3">
      <c r="A564" s="16" t="s">
        <v>2524</v>
      </c>
      <c r="B564" s="11" t="s">
        <v>2548</v>
      </c>
      <c r="C564" s="16"/>
      <c r="D564" s="16" t="s">
        <v>2540</v>
      </c>
      <c r="E564" s="5"/>
      <c r="F564" s="5"/>
      <c r="G564" s="5" t="s">
        <v>38</v>
      </c>
      <c r="H564" s="5"/>
      <c r="I564" s="5"/>
      <c r="J564" s="5"/>
      <c r="K564" s="5"/>
      <c r="L564" s="5"/>
      <c r="M564" s="5"/>
      <c r="N564" s="5"/>
      <c r="O564" s="5"/>
    </row>
    <row r="565" spans="1:15" x14ac:dyDescent="0.3">
      <c r="A565" s="16" t="s">
        <v>2524</v>
      </c>
      <c r="B565" s="11" t="s">
        <v>2549</v>
      </c>
      <c r="C565" s="16"/>
      <c r="D565" s="16" t="s">
        <v>2540</v>
      </c>
      <c r="E565" s="5"/>
      <c r="F565" s="5"/>
      <c r="G565" s="5" t="s">
        <v>38</v>
      </c>
      <c r="H565" s="5"/>
      <c r="I565" s="5"/>
      <c r="J565" s="5"/>
      <c r="K565" s="5"/>
      <c r="L565" s="5"/>
      <c r="M565" s="5"/>
      <c r="N565" s="5"/>
      <c r="O565" s="5"/>
    </row>
    <row r="566" spans="1:15" x14ac:dyDescent="0.3">
      <c r="A566" s="16" t="s">
        <v>2524</v>
      </c>
      <c r="B566" s="11" t="s">
        <v>2550</v>
      </c>
      <c r="C566" s="16"/>
      <c r="D566" s="16" t="s">
        <v>2540</v>
      </c>
      <c r="E566" s="5"/>
      <c r="F566" s="5"/>
      <c r="G566" s="5" t="s">
        <v>38</v>
      </c>
      <c r="H566" s="5"/>
      <c r="I566" s="5"/>
      <c r="J566" s="5"/>
      <c r="K566" s="5"/>
      <c r="L566" s="5"/>
      <c r="M566" s="5"/>
      <c r="N566" s="5"/>
      <c r="O566" s="5"/>
    </row>
    <row r="567" spans="1:15" x14ac:dyDescent="0.3">
      <c r="A567" s="16" t="s">
        <v>2524</v>
      </c>
      <c r="B567" s="11" t="s">
        <v>2551</v>
      </c>
      <c r="C567" s="16">
        <v>300</v>
      </c>
      <c r="D567" s="16" t="s">
        <v>2552</v>
      </c>
      <c r="E567" s="5"/>
      <c r="F567" s="5"/>
      <c r="G567" s="5" t="s">
        <v>38</v>
      </c>
      <c r="H567" s="5"/>
      <c r="I567" s="5"/>
      <c r="J567" s="5"/>
      <c r="K567" s="5"/>
      <c r="L567" s="5"/>
      <c r="M567" s="5"/>
      <c r="N567" s="5"/>
      <c r="O567" s="5"/>
    </row>
    <row r="568" spans="1:15" x14ac:dyDescent="0.3">
      <c r="A568" s="16" t="s">
        <v>2524</v>
      </c>
      <c r="B568" s="11" t="s">
        <v>2553</v>
      </c>
      <c r="C568" s="16"/>
      <c r="D568" s="16" t="s">
        <v>2552</v>
      </c>
      <c r="E568" s="5"/>
      <c r="F568" s="5"/>
      <c r="G568" s="5" t="s">
        <v>38</v>
      </c>
      <c r="H568" s="5"/>
      <c r="I568" s="5"/>
      <c r="J568" s="5"/>
      <c r="K568" s="5"/>
      <c r="L568" s="5"/>
      <c r="M568" s="5"/>
      <c r="N568" s="5"/>
      <c r="O568" s="5"/>
    </row>
    <row r="569" spans="1:15" x14ac:dyDescent="0.3">
      <c r="A569" s="16" t="s">
        <v>2524</v>
      </c>
      <c r="B569" s="11" t="s">
        <v>2554</v>
      </c>
      <c r="C569" s="16"/>
      <c r="D569" s="16" t="s">
        <v>2552</v>
      </c>
      <c r="E569" s="5"/>
      <c r="F569" s="5"/>
      <c r="G569" s="5" t="s">
        <v>38</v>
      </c>
      <c r="H569" s="5"/>
      <c r="I569" s="5"/>
      <c r="J569" s="5"/>
      <c r="K569" s="5"/>
      <c r="L569" s="5"/>
      <c r="M569" s="5"/>
      <c r="N569" s="5"/>
      <c r="O569" s="5"/>
    </row>
    <row r="570" spans="1:15" x14ac:dyDescent="0.3">
      <c r="A570" s="16" t="s">
        <v>2524</v>
      </c>
      <c r="B570" s="11" t="s">
        <v>2555</v>
      </c>
      <c r="C570" s="16"/>
      <c r="D570" s="16" t="s">
        <v>2552</v>
      </c>
      <c r="E570" s="5"/>
      <c r="F570" s="5"/>
      <c r="G570" s="5" t="s">
        <v>38</v>
      </c>
      <c r="H570" s="5"/>
      <c r="I570" s="5"/>
      <c r="J570" s="5"/>
      <c r="K570" s="5"/>
      <c r="L570" s="5"/>
      <c r="M570" s="5"/>
      <c r="N570" s="5"/>
      <c r="O570" s="5"/>
    </row>
    <row r="571" spans="1:15" x14ac:dyDescent="0.3">
      <c r="A571" s="16" t="s">
        <v>2524</v>
      </c>
      <c r="B571" s="11" t="s">
        <v>2556</v>
      </c>
      <c r="C571" s="16"/>
      <c r="D571" s="16" t="s">
        <v>2552</v>
      </c>
      <c r="E571" s="5"/>
      <c r="F571" s="5"/>
      <c r="G571" s="5" t="s">
        <v>38</v>
      </c>
      <c r="H571" s="5"/>
      <c r="I571" s="5"/>
      <c r="J571" s="5"/>
      <c r="K571" s="5"/>
      <c r="L571" s="5"/>
      <c r="M571" s="5"/>
      <c r="N571" s="5"/>
      <c r="O571" s="5"/>
    </row>
    <row r="572" spans="1:15" x14ac:dyDescent="0.3">
      <c r="A572" s="16" t="s">
        <v>2524</v>
      </c>
      <c r="B572" s="11" t="s">
        <v>2557</v>
      </c>
      <c r="C572" s="16">
        <v>180</v>
      </c>
      <c r="D572" s="16" t="s">
        <v>2558</v>
      </c>
      <c r="E572" s="5"/>
      <c r="F572" s="5"/>
      <c r="G572" s="5" t="s">
        <v>38</v>
      </c>
      <c r="H572" s="5"/>
      <c r="I572" s="5"/>
      <c r="J572" s="5"/>
      <c r="K572" s="5"/>
      <c r="L572" s="5"/>
      <c r="M572" s="5"/>
      <c r="N572" s="5"/>
      <c r="O572" s="5"/>
    </row>
    <row r="573" spans="1:15" x14ac:dyDescent="0.3">
      <c r="A573" s="16" t="s">
        <v>2524</v>
      </c>
      <c r="B573" s="11" t="s">
        <v>2559</v>
      </c>
      <c r="C573" s="16"/>
      <c r="D573" s="16" t="s">
        <v>2528</v>
      </c>
      <c r="E573" s="5"/>
      <c r="F573" s="5"/>
      <c r="G573" s="5" t="s">
        <v>38</v>
      </c>
      <c r="H573" s="5"/>
      <c r="I573" s="5"/>
      <c r="J573" s="5"/>
      <c r="K573" s="5"/>
      <c r="L573" s="5"/>
      <c r="M573" s="5"/>
      <c r="N573" s="5"/>
      <c r="O573" s="5"/>
    </row>
    <row r="574" spans="1:15" x14ac:dyDescent="0.3">
      <c r="A574" s="16" t="s">
        <v>2524</v>
      </c>
      <c r="B574" s="11" t="s">
        <v>2560</v>
      </c>
      <c r="C574" s="16"/>
      <c r="D574" s="16" t="s">
        <v>2528</v>
      </c>
      <c r="E574" s="5"/>
      <c r="F574" s="5"/>
      <c r="G574" s="5" t="s">
        <v>38</v>
      </c>
      <c r="H574" s="5"/>
      <c r="I574" s="5"/>
      <c r="J574" s="5"/>
      <c r="K574" s="5"/>
      <c r="L574" s="5"/>
      <c r="M574" s="5"/>
      <c r="N574" s="5"/>
      <c r="O574" s="5"/>
    </row>
    <row r="575" spans="1:15" x14ac:dyDescent="0.3">
      <c r="A575" s="5" t="s">
        <v>2524</v>
      </c>
      <c r="B575" s="8" t="s">
        <v>2561</v>
      </c>
      <c r="C575" s="8">
        <v>68</v>
      </c>
      <c r="D575" s="16" t="s">
        <v>2540</v>
      </c>
      <c r="E575" s="5"/>
      <c r="F575" s="5"/>
      <c r="G575" s="5" t="s">
        <v>38</v>
      </c>
      <c r="H575" s="5"/>
      <c r="I575" s="5"/>
      <c r="J575" s="5"/>
      <c r="K575" s="5"/>
      <c r="L575" s="5"/>
      <c r="M575" s="5"/>
      <c r="N575" s="5"/>
      <c r="O575" s="5"/>
    </row>
    <row r="576" spans="1:15" x14ac:dyDescent="0.3">
      <c r="A576" s="5" t="s">
        <v>2524</v>
      </c>
      <c r="B576" s="8" t="s">
        <v>2562</v>
      </c>
      <c r="C576" s="8">
        <v>68</v>
      </c>
      <c r="D576" s="16" t="s">
        <v>2540</v>
      </c>
      <c r="E576" s="5"/>
      <c r="F576" s="5"/>
      <c r="G576" s="5" t="s">
        <v>38</v>
      </c>
      <c r="H576" s="5"/>
      <c r="I576" s="5"/>
      <c r="J576" s="5"/>
      <c r="K576" s="5"/>
      <c r="L576" s="5"/>
      <c r="M576" s="5"/>
      <c r="N576" s="5"/>
      <c r="O576" s="5"/>
    </row>
    <row r="577" spans="1:15" x14ac:dyDescent="0.3">
      <c r="A577" s="5" t="s">
        <v>2524</v>
      </c>
      <c r="B577" s="8" t="s">
        <v>2563</v>
      </c>
      <c r="C577" s="8">
        <v>68</v>
      </c>
      <c r="D577" s="16" t="s">
        <v>2540</v>
      </c>
      <c r="E577" s="5"/>
      <c r="F577" s="5"/>
      <c r="G577" s="5" t="s">
        <v>38</v>
      </c>
      <c r="H577" s="5"/>
      <c r="I577" s="5"/>
      <c r="J577" s="5"/>
      <c r="K577" s="5"/>
      <c r="L577" s="5"/>
      <c r="M577" s="5"/>
      <c r="N577" s="5"/>
      <c r="O577" s="5"/>
    </row>
    <row r="578" spans="1:15" x14ac:dyDescent="0.3">
      <c r="A578" s="8" t="s">
        <v>2524</v>
      </c>
      <c r="B578" s="8" t="s">
        <v>2564</v>
      </c>
      <c r="C578" s="8">
        <v>68</v>
      </c>
      <c r="D578" s="8" t="s">
        <v>2565</v>
      </c>
      <c r="E578" s="5"/>
      <c r="F578" s="5"/>
      <c r="G578" s="5" t="s">
        <v>38</v>
      </c>
      <c r="H578" s="5"/>
      <c r="I578" s="5"/>
      <c r="J578" s="5"/>
      <c r="K578" s="5"/>
      <c r="L578" s="5"/>
      <c r="M578" s="5"/>
      <c r="N578" s="5"/>
      <c r="O578" s="5"/>
    </row>
    <row r="579" spans="1:15" x14ac:dyDescent="0.3">
      <c r="A579" s="13" t="s">
        <v>2566</v>
      </c>
      <c r="B579" s="13"/>
      <c r="C579" s="13"/>
      <c r="D579" s="13" t="s">
        <v>2565</v>
      </c>
      <c r="E579" s="5"/>
      <c r="F579" s="5"/>
      <c r="G579" s="5" t="s">
        <v>38</v>
      </c>
      <c r="H579" s="5"/>
      <c r="I579" s="5"/>
      <c r="J579" s="5"/>
      <c r="K579" s="5"/>
      <c r="L579" s="5"/>
      <c r="M579" s="5"/>
      <c r="N579" s="5"/>
      <c r="O579" s="5"/>
    </row>
    <row r="580" spans="1:15" x14ac:dyDescent="0.3">
      <c r="A580" s="19" t="s">
        <v>2567</v>
      </c>
      <c r="B580" s="13" t="s">
        <v>2567</v>
      </c>
      <c r="C580" s="13"/>
      <c r="D580" s="13" t="s">
        <v>2568</v>
      </c>
      <c r="E580" s="5"/>
      <c r="F580" s="5"/>
      <c r="G580" s="5" t="s">
        <v>38</v>
      </c>
      <c r="H580" s="5"/>
      <c r="I580" s="5"/>
      <c r="J580" s="5"/>
      <c r="K580" s="5"/>
      <c r="L580" s="5"/>
      <c r="M580" s="5"/>
      <c r="N580" s="5"/>
      <c r="O580" s="5"/>
    </row>
    <row r="581" spans="1:15" ht="28" x14ac:dyDescent="0.3">
      <c r="A581" s="13" t="s">
        <v>2569</v>
      </c>
      <c r="B581" s="13" t="s">
        <v>2570</v>
      </c>
      <c r="C581" s="13"/>
      <c r="D581" s="13" t="s">
        <v>2571</v>
      </c>
      <c r="E581" s="5"/>
      <c r="F581" s="5"/>
      <c r="G581" s="5" t="s">
        <v>38</v>
      </c>
      <c r="H581" s="5"/>
      <c r="I581" s="5"/>
      <c r="J581" s="5"/>
      <c r="K581" s="5"/>
      <c r="L581" s="5"/>
      <c r="M581" s="5"/>
      <c r="N581" s="5"/>
      <c r="O581" s="5"/>
    </row>
    <row r="582" spans="1:15" x14ac:dyDescent="0.3">
      <c r="A582" s="5" t="s">
        <v>1034</v>
      </c>
      <c r="B582" s="8"/>
      <c r="C582" s="20">
        <f>SUBTOTAL(9,C2:C581)</f>
        <v>35334.639999999999</v>
      </c>
      <c r="D582" s="5"/>
      <c r="E582" s="5"/>
      <c r="F582" s="5"/>
      <c r="G582" s="5" t="s">
        <v>74</v>
      </c>
      <c r="H582" s="5"/>
      <c r="I582" s="5"/>
      <c r="J582" s="5"/>
      <c r="K582" s="5"/>
      <c r="L582" s="5"/>
      <c r="M582" s="5"/>
      <c r="N582" s="5"/>
      <c r="O582" s="5"/>
    </row>
    <row r="583" spans="1:15" x14ac:dyDescent="0.3">
      <c r="A583" s="5"/>
      <c r="B583" s="8"/>
      <c r="C583" s="5"/>
      <c r="D583" s="5"/>
      <c r="E583" s="5"/>
      <c r="F583" s="5"/>
      <c r="G583" s="5" t="s">
        <v>74</v>
      </c>
      <c r="H583" s="5"/>
      <c r="I583" s="5"/>
      <c r="J583" s="5"/>
      <c r="K583" s="5"/>
      <c r="L583" s="5"/>
      <c r="M583" s="5"/>
      <c r="N583" s="5"/>
      <c r="O583" s="5"/>
    </row>
    <row r="584" spans="1:15" x14ac:dyDescent="0.3">
      <c r="A584" s="10" t="s">
        <v>2572</v>
      </c>
      <c r="B584" s="10" t="s">
        <v>2573</v>
      </c>
      <c r="C584" s="10"/>
      <c r="D584" s="10" t="s">
        <v>2574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 spans="1:15" x14ac:dyDescent="0.3">
      <c r="A585" s="10"/>
      <c r="B585" s="10"/>
      <c r="C585" s="10"/>
      <c r="D585" s="10"/>
      <c r="E585" s="5"/>
      <c r="F585" s="5"/>
      <c r="G585" s="5" t="s">
        <v>74</v>
      </c>
      <c r="H585" s="5"/>
      <c r="I585" s="5"/>
      <c r="J585" s="5"/>
      <c r="K585" s="5"/>
      <c r="L585" s="5"/>
      <c r="M585" s="5"/>
      <c r="N585" s="5"/>
      <c r="O585" s="5"/>
    </row>
    <row r="586" spans="1:15" x14ac:dyDescent="0.3">
      <c r="A586" s="21"/>
      <c r="B586" s="10"/>
      <c r="C586" s="10"/>
      <c r="D586" s="10"/>
      <c r="E586" s="5"/>
      <c r="F586" s="5"/>
      <c r="G586" s="5" t="s">
        <v>74</v>
      </c>
      <c r="H586" s="5"/>
      <c r="I586" s="5"/>
      <c r="J586" s="5"/>
      <c r="K586" s="5"/>
      <c r="L586" s="5"/>
      <c r="M586" s="5"/>
      <c r="N586" s="5"/>
      <c r="O586" s="5"/>
    </row>
    <row r="595" spans="2:2" x14ac:dyDescent="0.3">
      <c r="B595" s="2" t="s">
        <v>2575</v>
      </c>
    </row>
  </sheetData>
  <autoFilter ref="A1:O586" xr:uid="{00000000-0009-0000-0000-000009000000}"/>
  <phoneticPr fontId="24" type="noConversion"/>
  <conditionalFormatting sqref="D136">
    <cfRule type="duplicateValues" dxfId="1" priority="2"/>
  </conditionalFormatting>
  <conditionalFormatting sqref="D13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汇总</vt:lpstr>
      <vt:lpstr>云汀汇 </vt:lpstr>
      <vt:lpstr>金澎来 </vt:lpstr>
      <vt:lpstr>庆丰二路</vt:lpstr>
      <vt:lpstr>创意园</vt:lpstr>
      <vt:lpstr>兆丰壹号</vt:lpstr>
      <vt:lpstr>国大广场</vt:lpstr>
      <vt:lpstr>皮具城</vt:lpstr>
      <vt:lpstr>鞋城</vt:lpstr>
      <vt:lpstr>纺织中心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子全 何</dc:creator>
  <cp:lastModifiedBy>子全 何</cp:lastModifiedBy>
  <dcterms:created xsi:type="dcterms:W3CDTF">2026-03-12T01:26:00Z</dcterms:created>
  <dcterms:modified xsi:type="dcterms:W3CDTF">2026-04-04T07:48:25Z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27D26AC9ED0E49458321F2D157574ECE_13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