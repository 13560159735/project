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117\"/>
    </mc:Choice>
  </mc:AlternateContent>
  <xr:revisionPtr revIDLastSave="0" documentId="13_ncr:1_{E820396F-6747-4DB4-82BF-98F465B55766}" xr6:coauthVersionLast="47" xr6:coauthVersionMax="47" xr10:uidLastSave="{00000000-0000-0000-0000-000000000000}"/>
  <bookViews>
    <workbookView xWindow="0" yWindow="270" windowWidth="19530" windowHeight="11660" xr2:uid="{03684BEA-F124-4F43-98B6-F298495015D6}"/>
  </bookViews>
  <sheets>
    <sheet name="2025.12.1" sheetId="1" r:id="rId1"/>
  </sheets>
  <definedNames>
    <definedName name="_xlnm._FilterDatabase" localSheetId="0" hidden="1">'2025.12.1'!$A$4:$AQ$14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1" l="1"/>
  <c r="S14" i="1"/>
  <c r="A14" i="1"/>
  <c r="T13" i="1"/>
  <c r="S13" i="1"/>
  <c r="A13" i="1"/>
  <c r="T12" i="1"/>
  <c r="S12" i="1"/>
  <c r="A12" i="1"/>
  <c r="T11" i="1"/>
  <c r="S11" i="1"/>
  <c r="A11" i="1"/>
  <c r="T10" i="1"/>
  <c r="S10" i="1"/>
  <c r="K10" i="1"/>
  <c r="A10" i="1"/>
  <c r="T9" i="1"/>
  <c r="S9" i="1"/>
  <c r="A9" i="1"/>
  <c r="T8" i="1"/>
  <c r="S8" i="1"/>
  <c r="A8" i="1"/>
  <c r="T7" i="1"/>
  <c r="S7" i="1"/>
  <c r="A7" i="1"/>
  <c r="T6" i="1"/>
  <c r="S6" i="1"/>
  <c r="A6" i="1"/>
  <c r="T5" i="1"/>
  <c r="S5" i="1"/>
  <c r="A5" i="1"/>
</calcChain>
</file>

<file path=xl/sharedStrings.xml><?xml version="1.0" encoding="utf-8"?>
<sst xmlns="http://schemas.openxmlformats.org/spreadsheetml/2006/main" count="129" uniqueCount="69">
  <si>
    <t xml:space="preserve">鞋城 物业租赁情况表  </t>
  </si>
  <si>
    <t>序号</t>
  </si>
  <si>
    <t>基本信息</t>
  </si>
  <si>
    <t>公司定价</t>
  </si>
  <si>
    <t>物业实际出租情况</t>
  </si>
  <si>
    <t>备  注</t>
  </si>
  <si>
    <t>基本区域</t>
  </si>
  <si>
    <t>档号</t>
  </si>
  <si>
    <t>使用面积（㎡）</t>
  </si>
  <si>
    <t>建筑面积（使用率50%）㎡</t>
  </si>
  <si>
    <t>单价</t>
  </si>
  <si>
    <t>月租</t>
  </si>
  <si>
    <t>管理费</t>
  </si>
  <si>
    <t>档主名</t>
  </si>
  <si>
    <t>状态</t>
  </si>
  <si>
    <t>连档说明</t>
  </si>
  <si>
    <t>租赁性质</t>
  </si>
  <si>
    <t>签约日期</t>
  </si>
  <si>
    <t>起租日</t>
  </si>
  <si>
    <t>到期日</t>
  </si>
  <si>
    <t>计租日</t>
  </si>
  <si>
    <t>租金</t>
  </si>
  <si>
    <t>月份</t>
  </si>
  <si>
    <t>保证金</t>
  </si>
  <si>
    <t>递增日（2023）</t>
  </si>
  <si>
    <t>递增金额</t>
  </si>
  <si>
    <t>递增日（2024）</t>
  </si>
  <si>
    <t>请示报告单</t>
  </si>
  <si>
    <t>身份证复印件</t>
  </si>
  <si>
    <t>商铺转租记录</t>
  </si>
  <si>
    <t>市场管理规定</t>
  </si>
  <si>
    <t>防火安全责任</t>
  </si>
  <si>
    <t>申请书</t>
  </si>
  <si>
    <t>优惠协议</t>
  </si>
  <si>
    <t>承诺书</t>
  </si>
  <si>
    <t>面积确认单</t>
  </si>
  <si>
    <t>成交单</t>
  </si>
  <si>
    <t>档主身份证号码</t>
  </si>
  <si>
    <t>档主联系电话</t>
  </si>
  <si>
    <t>主合同租金</t>
    <phoneticPr fontId="5" type="noConversion"/>
  </si>
  <si>
    <t>管理合同租金</t>
  </si>
  <si>
    <t>总租金</t>
  </si>
  <si>
    <t>电费</t>
  </si>
  <si>
    <t>水费</t>
  </si>
  <si>
    <t>一楼商铺</t>
  </si>
  <si>
    <t>1001-01（临一）</t>
  </si>
  <si>
    <t>何具达</t>
  </si>
  <si>
    <t>1001-01</t>
  </si>
  <si>
    <t>V</t>
  </si>
  <si>
    <t>440882198810050015</t>
  </si>
  <si>
    <t>邓凤强</t>
  </si>
  <si>
    <t>440882198603076511</t>
  </si>
  <si>
    <t>2024年合同期不递增有报告</t>
  </si>
  <si>
    <t>苏建柳</t>
  </si>
  <si>
    <t>441581198609261433</t>
  </si>
  <si>
    <t>李鹏飞</t>
  </si>
  <si>
    <t>1003/1004</t>
  </si>
  <si>
    <t>412824200002037712</t>
  </si>
  <si>
    <t>412727198210018050</t>
  </si>
  <si>
    <t>黄腾凌</t>
  </si>
  <si>
    <t>445221198309154557</t>
  </si>
  <si>
    <t>刘展</t>
  </si>
  <si>
    <t>1006</t>
  </si>
  <si>
    <t>441521199306234137</t>
  </si>
  <si>
    <t>王正庚</t>
  </si>
  <si>
    <t>360313198810055510</t>
  </si>
  <si>
    <t>潭日标</t>
  </si>
  <si>
    <t>1008/1009</t>
  </si>
  <si>
    <t>44020419910318014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</si>
</sst>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_);[Red]\(0\)"/>
    <numFmt numFmtId="177" formatCode="0.00_);[Red]\(0.00\)"/>
    <numFmt numFmtId="178" formatCode="0.000_);[Red]\(0.000\)"/>
    <numFmt numFmtId="179" formatCode="yyyy/m/d;@"/>
    <numFmt numFmtId="180" formatCode="yy/m/d;@"/>
  </numFmts>
  <fonts count="8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sz val="9"/>
      <name val="Arial Narrow"/>
      <family val="2"/>
      <charset val="134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1" xfId="3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49" fontId="2" fillId="0" borderId="3" xfId="2" applyNumberFormat="1" applyFont="1" applyFill="1" applyBorder="1" applyAlignment="1">
      <alignment horizontal="center" vertical="center" wrapText="1"/>
    </xf>
    <xf numFmtId="177" fontId="2" fillId="0" borderId="6" xfId="2" applyNumberFormat="1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180" fontId="2" fillId="0" borderId="8" xfId="2" applyNumberFormat="1" applyFont="1" applyFill="1" applyBorder="1" applyAlignment="1">
      <alignment horizontal="center" vertical="center" shrinkToFit="1"/>
    </xf>
    <xf numFmtId="49" fontId="2" fillId="0" borderId="6" xfId="2" applyNumberFormat="1" applyFont="1" applyFill="1" applyBorder="1" applyAlignment="1">
      <alignment horizontal="center" vertical="center" wrapText="1"/>
    </xf>
    <xf numFmtId="180" fontId="2" fillId="0" borderId="6" xfId="2" applyNumberFormat="1" applyFont="1" applyFill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shrinkToFit="1"/>
    </xf>
    <xf numFmtId="14" fontId="2" fillId="0" borderId="6" xfId="0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178" fontId="2" fillId="0" borderId="0" xfId="1" applyNumberFormat="1" applyFont="1" applyFill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2" fillId="0" borderId="4" xfId="2" applyFont="1" applyFill="1" applyBorder="1" applyAlignment="1">
      <alignment horizontal="center" vertical="center" shrinkToFit="1"/>
    </xf>
    <xf numFmtId="0" fontId="2" fillId="0" borderId="10" xfId="2" applyFont="1" applyFill="1" applyBorder="1" applyAlignment="1">
      <alignment horizontal="center" vertical="center" shrinkToFit="1"/>
    </xf>
    <xf numFmtId="0" fontId="2" fillId="0" borderId="3" xfId="2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center" wrapText="1"/>
    </xf>
    <xf numFmtId="0" fontId="2" fillId="0" borderId="9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179" fontId="2" fillId="0" borderId="6" xfId="2" applyNumberFormat="1" applyFont="1" applyFill="1" applyBorder="1" applyAlignment="1">
      <alignment horizontal="center" vertical="center" shrinkToFit="1"/>
    </xf>
    <xf numFmtId="180" fontId="2" fillId="0" borderId="7" xfId="2" applyNumberFormat="1" applyFont="1" applyFill="1" applyBorder="1" applyAlignment="1">
      <alignment horizontal="center" vertical="center" shrinkToFit="1"/>
    </xf>
    <xf numFmtId="180" fontId="2" fillId="0" borderId="8" xfId="2" applyNumberFormat="1" applyFont="1" applyFill="1" applyBorder="1" applyAlignment="1">
      <alignment horizontal="center" vertical="center" shrinkToFit="1"/>
    </xf>
    <xf numFmtId="176" fontId="2" fillId="0" borderId="9" xfId="2" applyNumberFormat="1" applyFont="1" applyFill="1" applyBorder="1" applyAlignment="1">
      <alignment horizontal="center" vertical="center" shrinkToFit="1"/>
    </xf>
    <xf numFmtId="176" fontId="2" fillId="0" borderId="11" xfId="2" applyNumberFormat="1" applyFont="1" applyFill="1" applyBorder="1" applyAlignment="1">
      <alignment horizontal="center" vertical="center" shrinkToFit="1"/>
    </xf>
    <xf numFmtId="179" fontId="2" fillId="0" borderId="6" xfId="2" applyNumberFormat="1" applyFont="1" applyFill="1" applyBorder="1" applyAlignment="1">
      <alignment horizontal="center" vertical="center" wrapText="1"/>
    </xf>
    <xf numFmtId="176" fontId="2" fillId="0" borderId="6" xfId="2" applyNumberFormat="1" applyFont="1" applyFill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/>
    </xf>
    <xf numFmtId="0" fontId="2" fillId="0" borderId="2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176" fontId="2" fillId="0" borderId="3" xfId="2" applyNumberFormat="1" applyFont="1" applyFill="1" applyBorder="1" applyAlignment="1">
      <alignment horizontal="center" vertical="center" wrapText="1"/>
    </xf>
    <xf numFmtId="0" fontId="2" fillId="0" borderId="3" xfId="2" applyNumberFormat="1" applyFont="1" applyFill="1" applyBorder="1" applyAlignment="1">
      <alignment horizontal="center" vertical="center" wrapText="1"/>
    </xf>
    <xf numFmtId="178" fontId="2" fillId="0" borderId="6" xfId="1" applyNumberFormat="1" applyFont="1" applyFill="1" applyBorder="1" applyAlignment="1">
      <alignment horizontal="center" vertical="center" wrapText="1"/>
    </xf>
  </cellXfs>
  <cellStyles count="8">
    <cellStyle name="常规" xfId="0" builtinId="0"/>
    <cellStyle name="常规 4" xfId="4" xr:uid="{308342FE-85F0-4783-9BA5-B449854C4751}"/>
    <cellStyle name="常规 5" xfId="5" xr:uid="{D2A55278-12FB-4B8A-96CA-74065776DACB}"/>
    <cellStyle name="常规 6" xfId="6" xr:uid="{2181B220-ED20-433B-98CA-3875A9BA9EBE}"/>
    <cellStyle name="常规 7" xfId="7" xr:uid="{14138B5D-FC0E-4154-801E-A2979354658B}"/>
    <cellStyle name="常规_Sheet1" xfId="3" xr:uid="{8EECE396-3C05-41A1-B941-6CE57FD74497}"/>
    <cellStyle name="千位分隔" xfId="1" builtinId="3"/>
    <cellStyle name="着色 1" xfId="2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A214-3C0B-42D8-970D-D7E7D027211B}">
  <dimension ref="A1:AQ14"/>
  <sheetViews>
    <sheetView tabSelected="1" workbookViewId="0">
      <selection activeCell="Q10" sqref="Q10"/>
    </sheetView>
  </sheetViews>
  <sheetFormatPr defaultColWidth="9" defaultRowHeight="14" outlineLevelCol="1" x14ac:dyDescent="0.25"/>
  <cols>
    <col min="1" max="1" width="5.08203125" style="2" customWidth="1"/>
    <col min="2" max="2" width="8.83203125" style="2" customWidth="1"/>
    <col min="3" max="3" width="16.83203125" style="2" customWidth="1"/>
    <col min="4" max="4" width="7.75" style="30" customWidth="1" outlineLevel="1"/>
    <col min="5" max="5" width="7.75" style="26" customWidth="1" outlineLevel="1"/>
    <col min="6" max="6" width="7.75" style="28" customWidth="1" outlineLevel="1"/>
    <col min="7" max="8" width="7.75" style="31" customWidth="1" outlineLevel="1"/>
    <col min="9" max="9" width="9.08203125" style="2" customWidth="1"/>
    <col min="10" max="10" width="7.75" style="2" hidden="1" customWidth="1"/>
    <col min="11" max="11" width="10.25" style="2" hidden="1" customWidth="1"/>
    <col min="12" max="12" width="11.5" style="29" hidden="1" customWidth="1"/>
    <col min="13" max="13" width="11.5" style="27" customWidth="1"/>
    <col min="14" max="14" width="11" style="27" customWidth="1"/>
    <col min="15" max="15" width="11.58203125" style="27" customWidth="1"/>
    <col min="16" max="16" width="11.83203125" style="27" customWidth="1"/>
    <col min="17" max="17" width="8.5" style="28" customWidth="1"/>
    <col min="18" max="18" width="7.5" style="28" customWidth="1"/>
    <col min="19" max="19" width="7" style="28" customWidth="1"/>
    <col min="20" max="20" width="5.25" style="28" customWidth="1"/>
    <col min="21" max="21" width="7.33203125" style="2" customWidth="1"/>
    <col min="22" max="22" width="7.83203125" style="2" customWidth="1"/>
    <col min="23" max="23" width="5.33203125" style="2" customWidth="1"/>
    <col min="24" max="24" width="8.08203125" style="2" customWidth="1"/>
    <col min="25" max="25" width="8.83203125" style="2" customWidth="1"/>
    <col min="26" max="26" width="11" style="2" hidden="1" customWidth="1"/>
    <col min="27" max="27" width="8.08203125" style="2" hidden="1" customWidth="1"/>
    <col min="28" max="29" width="10.33203125" style="2" hidden="1" customWidth="1"/>
    <col min="30" max="40" width="3.58203125" style="2" customWidth="1"/>
    <col min="41" max="41" width="22.08203125" style="24" customWidth="1"/>
    <col min="42" max="42" width="22.08203125" style="2" customWidth="1"/>
    <col min="43" max="43" width="32.5" style="2" customWidth="1"/>
    <col min="44" max="16384" width="9" style="25"/>
  </cols>
  <sheetData>
    <row r="1" spans="1:43" s="2" customFormat="1" ht="20.149999999999999" customHeight="1" thickBot="1" x14ac:dyDescent="0.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s="2" customFormat="1" ht="20.149999999999999" customHeight="1" x14ac:dyDescent="0.25">
      <c r="A2" s="48" t="s">
        <v>1</v>
      </c>
      <c r="B2" s="50" t="s">
        <v>2</v>
      </c>
      <c r="C2" s="50"/>
      <c r="D2" s="50"/>
      <c r="E2" s="50"/>
      <c r="F2" s="50" t="s">
        <v>3</v>
      </c>
      <c r="G2" s="50"/>
      <c r="H2" s="50"/>
      <c r="I2" s="34" t="s">
        <v>4</v>
      </c>
      <c r="J2" s="34"/>
      <c r="K2" s="51"/>
      <c r="L2" s="34"/>
      <c r="M2" s="34"/>
      <c r="N2" s="34"/>
      <c r="O2" s="34"/>
      <c r="P2" s="34"/>
      <c r="Q2" s="34"/>
      <c r="R2" s="34"/>
      <c r="S2" s="34"/>
      <c r="T2" s="34"/>
      <c r="U2" s="4"/>
      <c r="V2" s="4"/>
      <c r="W2" s="4"/>
      <c r="X2" s="4"/>
      <c r="Y2" s="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5"/>
      <c r="AP2" s="3"/>
      <c r="AQ2" s="32" t="s">
        <v>5</v>
      </c>
    </row>
    <row r="3" spans="1:43" s="2" customFormat="1" ht="20.149999999999999" customHeight="1" x14ac:dyDescent="0.25">
      <c r="A3" s="49"/>
      <c r="B3" s="45" t="s">
        <v>6</v>
      </c>
      <c r="C3" s="45" t="s">
        <v>7</v>
      </c>
      <c r="D3" s="6" t="s">
        <v>8</v>
      </c>
      <c r="E3" s="52" t="s">
        <v>9</v>
      </c>
      <c r="F3" s="35" t="s">
        <v>10</v>
      </c>
      <c r="G3" s="38" t="s">
        <v>11</v>
      </c>
      <c r="H3" s="38" t="s">
        <v>12</v>
      </c>
      <c r="I3" s="35" t="s">
        <v>13</v>
      </c>
      <c r="J3" s="45" t="s">
        <v>14</v>
      </c>
      <c r="K3" s="46" t="s">
        <v>15</v>
      </c>
      <c r="L3" s="35" t="s">
        <v>16</v>
      </c>
      <c r="M3" s="44" t="s">
        <v>17</v>
      </c>
      <c r="N3" s="39" t="s">
        <v>18</v>
      </c>
      <c r="O3" s="39" t="s">
        <v>19</v>
      </c>
      <c r="P3" s="39" t="s">
        <v>20</v>
      </c>
      <c r="Q3" s="40" t="s">
        <v>21</v>
      </c>
      <c r="R3" s="41"/>
      <c r="S3" s="8"/>
      <c r="T3" s="42" t="s">
        <v>22</v>
      </c>
      <c r="U3" s="35" t="s">
        <v>23</v>
      </c>
      <c r="V3" s="7"/>
      <c r="W3" s="7"/>
      <c r="X3" s="7"/>
      <c r="Y3" s="7"/>
      <c r="Z3" s="44" t="s">
        <v>24</v>
      </c>
      <c r="AA3" s="35" t="s">
        <v>25</v>
      </c>
      <c r="AB3" s="44" t="s">
        <v>26</v>
      </c>
      <c r="AC3" s="35" t="s">
        <v>25</v>
      </c>
      <c r="AD3" s="36" t="s">
        <v>27</v>
      </c>
      <c r="AE3" s="36" t="s">
        <v>28</v>
      </c>
      <c r="AF3" s="36" t="s">
        <v>29</v>
      </c>
      <c r="AG3" s="36" t="s">
        <v>30</v>
      </c>
      <c r="AH3" s="36" t="s">
        <v>31</v>
      </c>
      <c r="AI3" s="36" t="s">
        <v>32</v>
      </c>
      <c r="AJ3" s="36" t="s">
        <v>33</v>
      </c>
      <c r="AK3" s="36" t="s">
        <v>34</v>
      </c>
      <c r="AL3" s="36" t="s">
        <v>35</v>
      </c>
      <c r="AM3" s="35" t="s">
        <v>36</v>
      </c>
      <c r="AN3" s="35" t="s">
        <v>35</v>
      </c>
      <c r="AO3" s="9" t="s">
        <v>37</v>
      </c>
      <c r="AP3" s="7" t="s">
        <v>38</v>
      </c>
      <c r="AQ3" s="33"/>
    </row>
    <row r="4" spans="1:43" s="2" customFormat="1" ht="14" customHeight="1" x14ac:dyDescent="0.25">
      <c r="A4" s="49"/>
      <c r="B4" s="45"/>
      <c r="C4" s="45"/>
      <c r="D4" s="6"/>
      <c r="E4" s="52"/>
      <c r="F4" s="35"/>
      <c r="G4" s="38"/>
      <c r="H4" s="38"/>
      <c r="I4" s="35"/>
      <c r="J4" s="45"/>
      <c r="K4" s="46"/>
      <c r="L4" s="35"/>
      <c r="M4" s="44"/>
      <c r="N4" s="39"/>
      <c r="O4" s="39"/>
      <c r="P4" s="39"/>
      <c r="Q4" s="10" t="s">
        <v>39</v>
      </c>
      <c r="R4" s="10" t="s">
        <v>40</v>
      </c>
      <c r="S4" s="10" t="s">
        <v>41</v>
      </c>
      <c r="T4" s="43"/>
      <c r="U4" s="35"/>
      <c r="V4" s="7" t="s">
        <v>11</v>
      </c>
      <c r="W4" s="7" t="s">
        <v>12</v>
      </c>
      <c r="X4" s="7" t="s">
        <v>42</v>
      </c>
      <c r="Y4" s="7" t="s">
        <v>43</v>
      </c>
      <c r="Z4" s="44"/>
      <c r="AA4" s="35"/>
      <c r="AB4" s="44"/>
      <c r="AC4" s="35"/>
      <c r="AD4" s="37"/>
      <c r="AE4" s="37"/>
      <c r="AF4" s="37"/>
      <c r="AG4" s="37"/>
      <c r="AH4" s="37"/>
      <c r="AI4" s="37"/>
      <c r="AJ4" s="37"/>
      <c r="AK4" s="37"/>
      <c r="AL4" s="37"/>
      <c r="AM4" s="35"/>
      <c r="AN4" s="35"/>
      <c r="AO4" s="9"/>
      <c r="AP4" s="7"/>
      <c r="AQ4" s="33"/>
    </row>
    <row r="5" spans="1:43" s="2" customFormat="1" ht="20.149999999999999" customHeight="1" x14ac:dyDescent="0.25">
      <c r="A5" s="11">
        <f t="shared" ref="A5:A14" si="0">ROW()-4</f>
        <v>1</v>
      </c>
      <c r="B5" s="11" t="s">
        <v>44</v>
      </c>
      <c r="C5" s="11" t="s">
        <v>45</v>
      </c>
      <c r="D5" s="12"/>
      <c r="E5" s="13">
        <v>19.5</v>
      </c>
      <c r="F5" s="11"/>
      <c r="G5" s="11">
        <v>2178</v>
      </c>
      <c r="H5" s="11">
        <v>210</v>
      </c>
      <c r="I5" s="11" t="s">
        <v>46</v>
      </c>
      <c r="J5" s="11"/>
      <c r="K5" s="14" t="s">
        <v>47</v>
      </c>
      <c r="L5" s="11" t="s">
        <v>11</v>
      </c>
      <c r="M5" s="15">
        <v>45603</v>
      </c>
      <c r="N5" s="15">
        <v>45717</v>
      </c>
      <c r="O5" s="15">
        <v>46081</v>
      </c>
      <c r="P5" s="15">
        <v>45717</v>
      </c>
      <c r="Q5" s="16">
        <v>3052</v>
      </c>
      <c r="R5" s="16"/>
      <c r="S5" s="16">
        <f t="shared" ref="S5:S14" si="1">Q5+R5</f>
        <v>3052</v>
      </c>
      <c r="T5" s="16">
        <f t="shared" ref="T5:T14" si="2">(O5-N5)/365*12</f>
        <v>11.967123287671233</v>
      </c>
      <c r="U5" s="11">
        <v>10000</v>
      </c>
      <c r="V5" s="11">
        <v>3052</v>
      </c>
      <c r="W5" s="11">
        <v>210</v>
      </c>
      <c r="X5" s="11"/>
      <c r="Y5" s="11"/>
      <c r="Z5" s="11"/>
      <c r="AA5" s="11"/>
      <c r="AB5" s="11"/>
      <c r="AC5" s="11"/>
      <c r="AD5" s="11"/>
      <c r="AE5" s="11" t="s">
        <v>48</v>
      </c>
      <c r="AF5" s="11"/>
      <c r="AG5" s="11" t="s">
        <v>48</v>
      </c>
      <c r="AH5" s="11" t="s">
        <v>48</v>
      </c>
      <c r="AI5" s="11"/>
      <c r="AJ5" s="11"/>
      <c r="AK5" s="11"/>
      <c r="AL5" s="11" t="s">
        <v>48</v>
      </c>
      <c r="AM5" s="11"/>
      <c r="AN5" s="11"/>
      <c r="AO5" s="17" t="s">
        <v>49</v>
      </c>
      <c r="AP5" s="11">
        <v>13711538691</v>
      </c>
      <c r="AQ5" s="11"/>
    </row>
    <row r="6" spans="1:43" s="2" customFormat="1" ht="20.149999999999999" customHeight="1" x14ac:dyDescent="0.25">
      <c r="A6" s="11">
        <f t="shared" si="0"/>
        <v>2</v>
      </c>
      <c r="B6" s="11" t="s">
        <v>44</v>
      </c>
      <c r="C6" s="11">
        <v>1001</v>
      </c>
      <c r="D6" s="12"/>
      <c r="E6" s="13">
        <v>21.87</v>
      </c>
      <c r="F6" s="11"/>
      <c r="G6" s="11">
        <v>3812</v>
      </c>
      <c r="H6" s="11">
        <v>500</v>
      </c>
      <c r="I6" s="11" t="s">
        <v>50</v>
      </c>
      <c r="J6" s="11"/>
      <c r="K6" s="14">
        <v>1001</v>
      </c>
      <c r="L6" s="11" t="s">
        <v>11</v>
      </c>
      <c r="M6" s="15">
        <v>45600</v>
      </c>
      <c r="N6" s="15">
        <v>45748</v>
      </c>
      <c r="O6" s="15">
        <v>46112</v>
      </c>
      <c r="P6" s="15">
        <v>45748</v>
      </c>
      <c r="Q6" s="16">
        <v>4200</v>
      </c>
      <c r="R6" s="16"/>
      <c r="S6" s="16">
        <f t="shared" si="1"/>
        <v>4200</v>
      </c>
      <c r="T6" s="16">
        <f t="shared" si="2"/>
        <v>11.967123287671233</v>
      </c>
      <c r="U6" s="11">
        <v>10000</v>
      </c>
      <c r="V6" s="11">
        <v>4200</v>
      </c>
      <c r="W6" s="11">
        <v>500</v>
      </c>
      <c r="X6" s="11"/>
      <c r="Y6" s="11"/>
      <c r="Z6" s="18"/>
      <c r="AA6" s="11"/>
      <c r="AB6" s="18"/>
      <c r="AC6" s="11"/>
      <c r="AD6" s="11"/>
      <c r="AE6" s="11" t="s">
        <v>48</v>
      </c>
      <c r="AF6" s="11"/>
      <c r="AG6" s="11" t="s">
        <v>48</v>
      </c>
      <c r="AH6" s="11" t="s">
        <v>48</v>
      </c>
      <c r="AI6" s="11"/>
      <c r="AJ6" s="11"/>
      <c r="AK6" s="11"/>
      <c r="AL6" s="11" t="s">
        <v>48</v>
      </c>
      <c r="AM6" s="11"/>
      <c r="AN6" s="11"/>
      <c r="AO6" s="17" t="s">
        <v>51</v>
      </c>
      <c r="AP6" s="11">
        <v>13428880727</v>
      </c>
      <c r="AQ6" s="11" t="s">
        <v>52</v>
      </c>
    </row>
    <row r="7" spans="1:43" s="2" customFormat="1" ht="20.149999999999999" customHeight="1" x14ac:dyDescent="0.25">
      <c r="A7" s="11">
        <f t="shared" si="0"/>
        <v>3</v>
      </c>
      <c r="B7" s="11" t="s">
        <v>44</v>
      </c>
      <c r="C7" s="11">
        <v>1002</v>
      </c>
      <c r="D7" s="12"/>
      <c r="E7" s="13">
        <v>21.87</v>
      </c>
      <c r="F7" s="11"/>
      <c r="G7" s="11">
        <v>3630</v>
      </c>
      <c r="H7" s="11">
        <v>500</v>
      </c>
      <c r="I7" s="11" t="s">
        <v>53</v>
      </c>
      <c r="J7" s="11"/>
      <c r="K7" s="14">
        <v>1002</v>
      </c>
      <c r="L7" s="11" t="s">
        <v>11</v>
      </c>
      <c r="M7" s="15">
        <v>45632</v>
      </c>
      <c r="N7" s="15">
        <v>45717</v>
      </c>
      <c r="O7" s="15">
        <v>46081</v>
      </c>
      <c r="P7" s="15">
        <v>45717</v>
      </c>
      <c r="Q7" s="16"/>
      <c r="R7" s="16"/>
      <c r="S7" s="16">
        <f t="shared" si="1"/>
        <v>0</v>
      </c>
      <c r="T7" s="16">
        <f t="shared" si="2"/>
        <v>11.967123287671233</v>
      </c>
      <c r="U7" s="11">
        <v>10000</v>
      </c>
      <c r="V7" s="11">
        <v>1500</v>
      </c>
      <c r="W7" s="11"/>
      <c r="X7" s="11"/>
      <c r="Y7" s="11"/>
      <c r="Z7" s="11"/>
      <c r="AA7" s="11"/>
      <c r="AB7" s="11"/>
      <c r="AC7" s="11"/>
      <c r="AD7" s="11"/>
      <c r="AE7" s="11" t="s">
        <v>48</v>
      </c>
      <c r="AF7" s="11"/>
      <c r="AG7" s="11" t="s">
        <v>48</v>
      </c>
      <c r="AH7" s="11" t="s">
        <v>48</v>
      </c>
      <c r="AI7" s="11"/>
      <c r="AJ7" s="11"/>
      <c r="AK7" s="11"/>
      <c r="AL7" s="11" t="s">
        <v>48</v>
      </c>
      <c r="AM7" s="11"/>
      <c r="AN7" s="11"/>
      <c r="AO7" s="19" t="s">
        <v>54</v>
      </c>
      <c r="AP7" s="20">
        <v>13660380227</v>
      </c>
      <c r="AQ7" s="11"/>
    </row>
    <row r="8" spans="1:43" s="2" customFormat="1" ht="20.149999999999999" customHeight="1" x14ac:dyDescent="0.25">
      <c r="A8" s="11">
        <f t="shared" si="0"/>
        <v>4</v>
      </c>
      <c r="B8" s="11" t="s">
        <v>44</v>
      </c>
      <c r="C8" s="11">
        <v>1003</v>
      </c>
      <c r="D8" s="12"/>
      <c r="E8" s="13">
        <v>21.87</v>
      </c>
      <c r="F8" s="11"/>
      <c r="G8" s="11">
        <v>3000</v>
      </c>
      <c r="H8" s="11">
        <v>500</v>
      </c>
      <c r="I8" s="11" t="s">
        <v>55</v>
      </c>
      <c r="J8" s="11"/>
      <c r="K8" s="14" t="s">
        <v>56</v>
      </c>
      <c r="L8" s="11" t="s">
        <v>11</v>
      </c>
      <c r="M8" s="15">
        <v>45861</v>
      </c>
      <c r="N8" s="15">
        <v>45870</v>
      </c>
      <c r="O8" s="15">
        <v>46234</v>
      </c>
      <c r="P8" s="15">
        <v>45901</v>
      </c>
      <c r="Q8" s="16">
        <v>3000</v>
      </c>
      <c r="R8" s="16"/>
      <c r="S8" s="16">
        <f t="shared" si="1"/>
        <v>3000</v>
      </c>
      <c r="T8" s="16">
        <f t="shared" si="2"/>
        <v>11.967123287671233</v>
      </c>
      <c r="U8" s="11">
        <v>20000</v>
      </c>
      <c r="V8" s="11">
        <v>3000</v>
      </c>
      <c r="W8" s="11">
        <v>0</v>
      </c>
      <c r="X8" s="11"/>
      <c r="Y8" s="11"/>
      <c r="Z8" s="21"/>
      <c r="AA8" s="21"/>
      <c r="AB8" s="21"/>
      <c r="AC8" s="21"/>
      <c r="AD8" s="11" t="s">
        <v>48</v>
      </c>
      <c r="AE8" s="11" t="s">
        <v>48</v>
      </c>
      <c r="AF8" s="11" t="s">
        <v>48</v>
      </c>
      <c r="AG8" s="11" t="s">
        <v>48</v>
      </c>
      <c r="AH8" s="11" t="s">
        <v>48</v>
      </c>
      <c r="AI8" s="11" t="s">
        <v>48</v>
      </c>
      <c r="AJ8" s="11" t="s">
        <v>48</v>
      </c>
      <c r="AK8" s="11" t="s">
        <v>48</v>
      </c>
      <c r="AL8" s="11" t="s">
        <v>48</v>
      </c>
      <c r="AM8" s="11" t="s">
        <v>48</v>
      </c>
      <c r="AN8" s="11" t="s">
        <v>48</v>
      </c>
      <c r="AO8" s="17" t="s">
        <v>57</v>
      </c>
      <c r="AP8" s="11">
        <v>17513552887</v>
      </c>
      <c r="AQ8" s="11"/>
    </row>
    <row r="9" spans="1:43" s="2" customFormat="1" ht="20.149999999999999" customHeight="1" x14ac:dyDescent="0.25">
      <c r="A9" s="11">
        <f t="shared" si="0"/>
        <v>5</v>
      </c>
      <c r="B9" s="11" t="s">
        <v>44</v>
      </c>
      <c r="C9" s="11">
        <v>1004</v>
      </c>
      <c r="D9" s="12"/>
      <c r="E9" s="13">
        <v>27.15</v>
      </c>
      <c r="F9" s="11"/>
      <c r="G9" s="11">
        <v>3812</v>
      </c>
      <c r="H9" s="11">
        <v>500</v>
      </c>
      <c r="I9" s="11" t="s">
        <v>55</v>
      </c>
      <c r="J9" s="11"/>
      <c r="K9" s="14" t="s">
        <v>56</v>
      </c>
      <c r="L9" s="11" t="s">
        <v>11</v>
      </c>
      <c r="M9" s="15">
        <v>45861</v>
      </c>
      <c r="N9" s="15">
        <v>45870</v>
      </c>
      <c r="O9" s="15">
        <v>46234</v>
      </c>
      <c r="P9" s="15">
        <v>45901</v>
      </c>
      <c r="Q9" s="16"/>
      <c r="R9" s="16"/>
      <c r="S9" s="16">
        <f t="shared" si="1"/>
        <v>0</v>
      </c>
      <c r="T9" s="16">
        <f t="shared" si="2"/>
        <v>11.967123287671233</v>
      </c>
      <c r="U9" s="11"/>
      <c r="V9" s="11"/>
      <c r="W9" s="11"/>
      <c r="X9" s="11"/>
      <c r="Y9" s="11"/>
      <c r="Z9" s="21"/>
      <c r="AA9" s="21"/>
      <c r="AB9" s="21"/>
      <c r="AC9" s="2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7" t="s">
        <v>58</v>
      </c>
      <c r="AP9" s="22">
        <v>13006899773</v>
      </c>
      <c r="AQ9" s="11"/>
    </row>
    <row r="10" spans="1:43" s="2" customFormat="1" ht="20.149999999999999" customHeight="1" x14ac:dyDescent="0.25">
      <c r="A10" s="11">
        <f t="shared" si="0"/>
        <v>6</v>
      </c>
      <c r="B10" s="11" t="s">
        <v>44</v>
      </c>
      <c r="C10" s="11">
        <v>1005</v>
      </c>
      <c r="D10" s="12"/>
      <c r="E10" s="13">
        <v>27.15</v>
      </c>
      <c r="F10" s="11"/>
      <c r="G10" s="11">
        <v>3832</v>
      </c>
      <c r="H10" s="11">
        <v>500</v>
      </c>
      <c r="I10" s="11" t="s">
        <v>59</v>
      </c>
      <c r="J10" s="11"/>
      <c r="K10" s="11">
        <f>C10</f>
        <v>1005</v>
      </c>
      <c r="L10" s="11" t="s">
        <v>11</v>
      </c>
      <c r="M10" s="15">
        <v>45792</v>
      </c>
      <c r="N10" s="15">
        <v>45788</v>
      </c>
      <c r="O10" s="15">
        <v>46152</v>
      </c>
      <c r="P10" s="15">
        <v>45788</v>
      </c>
      <c r="Q10" s="16">
        <v>1200</v>
      </c>
      <c r="R10" s="16"/>
      <c r="S10" s="16">
        <f t="shared" si="1"/>
        <v>1200</v>
      </c>
      <c r="T10" s="16">
        <f t="shared" si="2"/>
        <v>11.967123287671233</v>
      </c>
      <c r="U10" s="11">
        <v>3000</v>
      </c>
      <c r="V10" s="11">
        <v>1200</v>
      </c>
      <c r="W10" s="11">
        <v>200</v>
      </c>
      <c r="X10" s="11"/>
      <c r="Y10" s="11"/>
      <c r="Z10" s="23"/>
      <c r="AA10" s="23"/>
      <c r="AB10" s="23"/>
      <c r="AC10" s="2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7" t="s">
        <v>60</v>
      </c>
      <c r="AP10" s="11">
        <v>15360812072</v>
      </c>
      <c r="AQ10" s="11"/>
    </row>
    <row r="11" spans="1:43" s="2" customFormat="1" ht="20.149999999999999" customHeight="1" x14ac:dyDescent="0.25">
      <c r="A11" s="11">
        <f t="shared" si="0"/>
        <v>7</v>
      </c>
      <c r="B11" s="11" t="s">
        <v>44</v>
      </c>
      <c r="C11" s="11">
        <v>1006</v>
      </c>
      <c r="D11" s="12"/>
      <c r="E11" s="13">
        <v>27.15</v>
      </c>
      <c r="F11" s="11"/>
      <c r="G11" s="11">
        <v>3832</v>
      </c>
      <c r="H11" s="11">
        <v>500</v>
      </c>
      <c r="I11" s="11" t="s">
        <v>61</v>
      </c>
      <c r="J11" s="11"/>
      <c r="K11" s="14" t="s">
        <v>62</v>
      </c>
      <c r="L11" s="11" t="s">
        <v>11</v>
      </c>
      <c r="M11" s="15">
        <v>45770</v>
      </c>
      <c r="N11" s="15">
        <v>45778</v>
      </c>
      <c r="O11" s="15">
        <v>46142</v>
      </c>
      <c r="P11" s="15">
        <v>45778</v>
      </c>
      <c r="Q11" s="16">
        <v>1200</v>
      </c>
      <c r="R11" s="16"/>
      <c r="S11" s="16">
        <f t="shared" si="1"/>
        <v>1200</v>
      </c>
      <c r="T11" s="16">
        <f t="shared" si="2"/>
        <v>11.967123287671233</v>
      </c>
      <c r="U11" s="11">
        <v>3600</v>
      </c>
      <c r="V11" s="11">
        <v>1200</v>
      </c>
      <c r="W11" s="11">
        <v>200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7" t="s">
        <v>63</v>
      </c>
      <c r="AP11" s="11">
        <v>13633344422</v>
      </c>
      <c r="AQ11" s="11"/>
    </row>
    <row r="12" spans="1:43" s="2" customFormat="1" ht="20.149999999999999" customHeight="1" x14ac:dyDescent="0.25">
      <c r="A12" s="11">
        <f t="shared" si="0"/>
        <v>8</v>
      </c>
      <c r="B12" s="11" t="s">
        <v>44</v>
      </c>
      <c r="C12" s="11">
        <v>1007</v>
      </c>
      <c r="D12" s="12"/>
      <c r="E12" s="13">
        <v>27.15</v>
      </c>
      <c r="F12" s="11"/>
      <c r="G12" s="11">
        <v>3630</v>
      </c>
      <c r="H12" s="11">
        <v>500</v>
      </c>
      <c r="I12" s="11" t="s">
        <v>64</v>
      </c>
      <c r="J12" s="11"/>
      <c r="K12" s="11">
        <v>1007</v>
      </c>
      <c r="L12" s="11" t="s">
        <v>11</v>
      </c>
      <c r="M12" s="15">
        <v>45843</v>
      </c>
      <c r="N12" s="15">
        <v>45845</v>
      </c>
      <c r="O12" s="15">
        <v>46209</v>
      </c>
      <c r="P12" s="15">
        <v>45845</v>
      </c>
      <c r="Q12" s="16">
        <v>1200</v>
      </c>
      <c r="R12" s="16"/>
      <c r="S12" s="16">
        <f t="shared" si="1"/>
        <v>1200</v>
      </c>
      <c r="T12" s="16">
        <f t="shared" si="2"/>
        <v>11.967123287671233</v>
      </c>
      <c r="U12" s="11">
        <v>3600</v>
      </c>
      <c r="V12" s="11">
        <v>1200</v>
      </c>
      <c r="W12" s="11">
        <v>0</v>
      </c>
      <c r="X12" s="11"/>
      <c r="Y12" s="11"/>
      <c r="Z12" s="21"/>
      <c r="AA12" s="21"/>
      <c r="AB12" s="21"/>
      <c r="AC12" s="21"/>
      <c r="AD12" s="11"/>
      <c r="AE12" s="11" t="s">
        <v>48</v>
      </c>
      <c r="AF12" s="11" t="s">
        <v>48</v>
      </c>
      <c r="AG12" s="11" t="s">
        <v>48</v>
      </c>
      <c r="AH12" s="11" t="s">
        <v>48</v>
      </c>
      <c r="AI12" s="11" t="s">
        <v>48</v>
      </c>
      <c r="AJ12" s="11" t="s">
        <v>48</v>
      </c>
      <c r="AK12" s="11" t="s">
        <v>48</v>
      </c>
      <c r="AL12" s="11" t="s">
        <v>48</v>
      </c>
      <c r="AM12" s="11" t="s">
        <v>48</v>
      </c>
      <c r="AN12" s="11" t="s">
        <v>48</v>
      </c>
      <c r="AO12" s="17" t="s">
        <v>65</v>
      </c>
      <c r="AP12" s="11">
        <v>13286811871</v>
      </c>
      <c r="AQ12" s="11"/>
    </row>
    <row r="13" spans="1:43" s="2" customFormat="1" ht="20.149999999999999" customHeight="1" x14ac:dyDescent="0.25">
      <c r="A13" s="11">
        <f t="shared" si="0"/>
        <v>9</v>
      </c>
      <c r="B13" s="11" t="s">
        <v>44</v>
      </c>
      <c r="C13" s="11">
        <v>1008</v>
      </c>
      <c r="D13" s="12"/>
      <c r="E13" s="13">
        <v>27.15</v>
      </c>
      <c r="F13" s="11"/>
      <c r="G13" s="11">
        <v>3000</v>
      </c>
      <c r="H13" s="11">
        <v>500</v>
      </c>
      <c r="I13" s="11" t="s">
        <v>66</v>
      </c>
      <c r="J13" s="11"/>
      <c r="K13" s="11" t="s">
        <v>67</v>
      </c>
      <c r="L13" s="11" t="s">
        <v>11</v>
      </c>
      <c r="M13" s="15">
        <v>45623</v>
      </c>
      <c r="N13" s="15">
        <v>45717</v>
      </c>
      <c r="O13" s="15">
        <v>46081</v>
      </c>
      <c r="P13" s="15">
        <v>45717</v>
      </c>
      <c r="Q13" s="16">
        <v>2500</v>
      </c>
      <c r="R13" s="16"/>
      <c r="S13" s="16">
        <f t="shared" si="1"/>
        <v>2500</v>
      </c>
      <c r="T13" s="16">
        <f t="shared" si="2"/>
        <v>11.967123287671233</v>
      </c>
      <c r="U13" s="11">
        <v>10000</v>
      </c>
      <c r="V13" s="11">
        <v>2500</v>
      </c>
      <c r="W13" s="11">
        <v>0</v>
      </c>
      <c r="X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 t="s">
        <v>68</v>
      </c>
      <c r="AP13" s="11">
        <v>13622212348</v>
      </c>
      <c r="AQ13" s="11"/>
    </row>
    <row r="14" spans="1:43" s="2" customFormat="1" ht="20.149999999999999" customHeight="1" x14ac:dyDescent="0.25">
      <c r="A14" s="11">
        <f t="shared" si="0"/>
        <v>10</v>
      </c>
      <c r="B14" s="11" t="s">
        <v>44</v>
      </c>
      <c r="C14" s="11">
        <v>1009</v>
      </c>
      <c r="D14" s="12"/>
      <c r="E14" s="13">
        <v>27.15</v>
      </c>
      <c r="F14" s="11"/>
      <c r="G14" s="16">
        <v>3812</v>
      </c>
      <c r="H14" s="11">
        <v>500</v>
      </c>
      <c r="I14" s="11" t="s">
        <v>66</v>
      </c>
      <c r="J14" s="11"/>
      <c r="K14" s="11" t="s">
        <v>67</v>
      </c>
      <c r="L14" s="11" t="s">
        <v>11</v>
      </c>
      <c r="M14" s="15">
        <v>45623</v>
      </c>
      <c r="N14" s="15">
        <v>45717</v>
      </c>
      <c r="O14" s="15">
        <v>46081</v>
      </c>
      <c r="P14" s="15">
        <v>45717</v>
      </c>
      <c r="Q14" s="16"/>
      <c r="R14" s="16"/>
      <c r="S14" s="16">
        <f t="shared" si="1"/>
        <v>0</v>
      </c>
      <c r="T14" s="16">
        <f t="shared" si="2"/>
        <v>11.967123287671233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 t="s">
        <v>68</v>
      </c>
      <c r="AP14" s="11">
        <v>13622212348</v>
      </c>
      <c r="AQ14" s="11"/>
    </row>
  </sheetData>
  <autoFilter ref="A4:AQ14" xr:uid="{00000000-0009-0000-0000-00001A000000}"/>
  <mergeCells count="39">
    <mergeCell ref="J3:J4"/>
    <mergeCell ref="K3:K4"/>
    <mergeCell ref="A1:R1"/>
    <mergeCell ref="A2:A4"/>
    <mergeCell ref="B2:E2"/>
    <mergeCell ref="F2:H2"/>
    <mergeCell ref="I2:T2"/>
    <mergeCell ref="L3:L4"/>
    <mergeCell ref="M3:M4"/>
    <mergeCell ref="N3:N4"/>
    <mergeCell ref="O3:O4"/>
    <mergeCell ref="B3:B4"/>
    <mergeCell ref="C3:C4"/>
    <mergeCell ref="E3:E4"/>
    <mergeCell ref="F3:F4"/>
    <mergeCell ref="G3:G4"/>
    <mergeCell ref="AG3:AG4"/>
    <mergeCell ref="P3:P4"/>
    <mergeCell ref="Q3:R3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H3:H4"/>
    <mergeCell ref="I3:I4"/>
    <mergeCell ref="AQ2:AQ4"/>
    <mergeCell ref="Z2:AN2"/>
    <mergeCell ref="AN3:AN4"/>
    <mergeCell ref="AH3:AH4"/>
    <mergeCell ref="AI3:AI4"/>
    <mergeCell ref="AJ3:AJ4"/>
    <mergeCell ref="AK3:AK4"/>
    <mergeCell ref="AL3:AL4"/>
    <mergeCell ref="AM3:AM4"/>
  </mergeCells>
  <phoneticPr fontId="3" type="noConversion"/>
  <dataValidations count="1">
    <dataValidation type="list" allowBlank="1" showInputMessage="1" showErrorMessage="1" sqref="L5:L14" xr:uid="{6A83BB53-8F20-4A14-B95D-6FFB536AA043}">
      <formula1>"月租,半年租,年租,一次性"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2025.12.1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子全 何</cp:lastModifiedBy>
  <dcterms:created xsi:type="dcterms:W3CDTF">2026-01-11T13:58:36Z</dcterms:created>
  <dcterms:modified xsi:type="dcterms:W3CDTF">2026-01-18T07:43:40Z</dcterms:modified>
</cp:coreProperties>
</file>